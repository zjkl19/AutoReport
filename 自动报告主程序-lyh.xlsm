
<file path=[Content_Types].xml><?xml version="1.0" encoding="utf-8"?>
<Types xmlns="http://schemas.openxmlformats.org/package/2006/content-types">
  <Default Extension="vml" ContentType="application/vnd.openxmlformats-officedocument.vmlDrawing"/>
  <Default Extension="png" ContentType="image/png"/>
  <Default Extension="rels" ContentType="application/vnd.openxmlformats-package.relationships+xml"/>
  <Default Extension="xml" ContentType="application/xml"/>
  <Override PartName="/docProps/app.xml" ContentType="application/vnd.openxmlformats-officedocument.extended-properties+xml"/>
  <Override PartName="/docProps/core.xml" ContentType="application/vnd.openxmlformats-package.core-properties+xml"/>
  <Override PartName="/docProps/custom.xml" ContentType="application/vnd.openxmlformats-officedocument.custom-properties+xml"/>
  <Override PartName="/xl/charts/chart1.xml" ContentType="application/vnd.openxmlformats-officedocument.drawingml.chart+xml"/>
  <Override PartName="/xl/charts/chart10.xml" ContentType="application/vnd.openxmlformats-officedocument.drawingml.chart+xml"/>
  <Override PartName="/xl/charts/chart11.xml" ContentType="application/vnd.openxmlformats-officedocument.drawingml.chart+xml"/>
  <Override PartName="/xl/charts/chart2.xml" ContentType="application/vnd.openxmlformats-officedocument.drawingml.chart+xml"/>
  <Override PartName="/xl/charts/chart3.xml" ContentType="application/vnd.openxmlformats-officedocument.drawingml.chart+xml"/>
  <Override PartName="/xl/charts/chart4.xml" ContentType="application/vnd.openxmlformats-officedocument.drawingml.chart+xml"/>
  <Override PartName="/xl/charts/chart5.xml" ContentType="application/vnd.openxmlformats-officedocument.drawingml.chart+xml"/>
  <Override PartName="/xl/charts/chart6.xml" ContentType="application/vnd.openxmlformats-officedocument.drawingml.chart+xml"/>
  <Override PartName="/xl/charts/chart7.xml" ContentType="application/vnd.openxmlformats-officedocument.drawingml.chart+xml"/>
  <Override PartName="/xl/charts/chart8.xml" ContentType="application/vnd.openxmlformats-officedocument.drawingml.chart+xml"/>
  <Override PartName="/xl/charts/chart9.xml" ContentType="application/vnd.openxmlformats-officedocument.drawingml.chart+xml"/>
  <Override PartName="/xl/charts/colors1.xml" ContentType="application/vnd.ms-office.chartcolorstyle+xml"/>
  <Override PartName="/xl/charts/colors10.xml" ContentType="application/vnd.ms-office.chartcolorstyle+xml"/>
  <Override PartName="/xl/charts/colors11.xml" ContentType="application/vnd.ms-office.chartcolorstyle+xml"/>
  <Override PartName="/xl/charts/colors2.xml" ContentType="application/vnd.ms-office.chartcolorstyle+xml"/>
  <Override PartName="/xl/charts/colors3.xml" ContentType="application/vnd.ms-office.chartcolorstyle+xml"/>
  <Override PartName="/xl/charts/colors4.xml" ContentType="application/vnd.ms-office.chartcolorstyle+xml"/>
  <Override PartName="/xl/charts/colors5.xml" ContentType="application/vnd.ms-office.chartcolorstyle+xml"/>
  <Override PartName="/xl/charts/colors6.xml" ContentType="application/vnd.ms-office.chartcolorstyle+xml"/>
  <Override PartName="/xl/charts/colors7.xml" ContentType="application/vnd.ms-office.chartcolorstyle+xml"/>
  <Override PartName="/xl/charts/colors8.xml" ContentType="application/vnd.ms-office.chartcolorstyle+xml"/>
  <Override PartName="/xl/charts/colors9.xml" ContentType="application/vnd.ms-office.chartcolorstyle+xml"/>
  <Override PartName="/xl/charts/style1.xml" ContentType="application/vnd.ms-office.chartstyle+xml"/>
  <Override PartName="/xl/charts/style10.xml" ContentType="application/vnd.ms-office.chartstyle+xml"/>
  <Override PartName="/xl/charts/style11.xml" ContentType="application/vnd.ms-office.chartstyle+xml"/>
  <Override PartName="/xl/charts/style2.xml" ContentType="application/vnd.ms-office.chartstyle+xml"/>
  <Override PartName="/xl/charts/style3.xml" ContentType="application/vnd.ms-office.chartstyle+xml"/>
  <Override PartName="/xl/charts/style4.xml" ContentType="application/vnd.ms-office.chartstyle+xml"/>
  <Override PartName="/xl/charts/style5.xml" ContentType="application/vnd.ms-office.chartstyle+xml"/>
  <Override PartName="/xl/charts/style6.xml" ContentType="application/vnd.ms-office.chartstyle+xml"/>
  <Override PartName="/xl/charts/style7.xml" ContentType="application/vnd.ms-office.chartstyle+xml"/>
  <Override PartName="/xl/charts/style8.xml" ContentType="application/vnd.ms-office.chartstyle+xml"/>
  <Override PartName="/xl/charts/style9.xml" ContentType="application/vnd.ms-office.chartstyle+xml"/>
  <Override PartName="/xl/comments1.xml" ContentType="application/vnd.openxmlformats-officedocument.spreadsheetml.comments+xml"/>
  <Override PartName="/xl/ctrlProps/ctrlProp1.xml" ContentType="application/vnd.ms-excel.controlproperties+xml"/>
  <Override PartName="/xl/ctrlProps/ctrlProp10.xml" ContentType="application/vnd.ms-excel.controlproperties+xml"/>
  <Override PartName="/xl/ctrlProps/ctrlProp11.xml" ContentType="application/vnd.ms-excel.controlproperties+xml"/>
  <Override PartName="/xl/ctrlProps/ctrlProp12.xml" ContentType="application/vnd.ms-excel.controlproperties+xml"/>
  <Override PartName="/xl/ctrlProps/ctrlProp13.xml" ContentType="application/vnd.ms-excel.controlproperties+xml"/>
  <Override PartName="/xl/ctrlProps/ctrlProp14.xml" ContentType="application/vnd.ms-excel.controlproperties+xml"/>
  <Override PartName="/xl/ctrlProps/ctrlProp15.xml" ContentType="application/vnd.ms-excel.controlproperties+xml"/>
  <Override PartName="/xl/ctrlProps/ctrlProp16.xml" ContentType="application/vnd.ms-excel.controlproperties+xml"/>
  <Override PartName="/xl/ctrlProps/ctrlProp17.xml" ContentType="application/vnd.ms-excel.controlproperties+xml"/>
  <Override PartName="/xl/ctrlProps/ctrlProp18.xml" ContentType="application/vnd.ms-excel.controlproperties+xml"/>
  <Override PartName="/xl/ctrlProps/ctrlProp19.xml" ContentType="application/vnd.ms-excel.controlproperties+xml"/>
  <Override PartName="/xl/ctrlProps/ctrlProp2.xml" ContentType="application/vnd.ms-excel.controlproperties+xml"/>
  <Override PartName="/xl/ctrlProps/ctrlProp20.xml" ContentType="application/vnd.ms-excel.controlproperties+xml"/>
  <Override PartName="/xl/ctrlProps/ctrlProp21.xml" ContentType="application/vnd.ms-excel.controlproperties+xml"/>
  <Override PartName="/xl/ctrlProps/ctrlProp22.xml" ContentType="application/vnd.ms-excel.controlproperties+xml"/>
  <Override PartName="/xl/ctrlProps/ctrlProp23.xml" ContentType="application/vnd.ms-excel.controlproperties+xml"/>
  <Override PartName="/xl/ctrlProps/ctrlProp24.xml" ContentType="application/vnd.ms-excel.controlproperties+xml"/>
  <Override PartName="/xl/ctrlProps/ctrlProp25.xml" ContentType="application/vnd.ms-excel.controlproperties+xml"/>
  <Override PartName="/xl/ctrlProps/ctrlProp26.xml" ContentType="application/vnd.ms-excel.controlproperties+xml"/>
  <Override PartName="/xl/ctrlProps/ctrlProp27.xml" ContentType="application/vnd.ms-excel.controlproperties+xml"/>
  <Override PartName="/xl/ctrlProps/ctrlProp28.xml" ContentType="application/vnd.ms-excel.controlproperties+xml"/>
  <Override PartName="/xl/ctrlProps/ctrlProp29.xml" ContentType="application/vnd.ms-excel.controlproperties+xml"/>
  <Override PartName="/xl/ctrlProps/ctrlProp3.xml" ContentType="application/vnd.ms-excel.controlproperties+xml"/>
  <Override PartName="/xl/ctrlProps/ctrlProp30.xml" ContentType="application/vnd.ms-excel.controlproperties+xml"/>
  <Override PartName="/xl/ctrlProps/ctrlProp31.xml" ContentType="application/vnd.ms-excel.controlproperties+xml"/>
  <Override PartName="/xl/ctrlProps/ctrlProp32.xml" ContentType="application/vnd.ms-excel.controlproperties+xml"/>
  <Override PartName="/xl/ctrlProps/ctrlProp33.xml" ContentType="application/vnd.ms-excel.controlproperties+xml"/>
  <Override PartName="/xl/ctrlProps/ctrlProp34.xml" ContentType="application/vnd.ms-excel.controlproperties+xml"/>
  <Override PartName="/xl/ctrlProps/ctrlProp35.xml" ContentType="application/vnd.ms-excel.controlproperties+xml"/>
  <Override PartName="/xl/ctrlProps/ctrlProp36.xml" ContentType="application/vnd.ms-excel.controlproperties+xml"/>
  <Override PartName="/xl/ctrlProps/ctrlProp37.xml" ContentType="application/vnd.ms-excel.controlproperties+xml"/>
  <Override PartName="/xl/ctrlProps/ctrlProp38.xml" ContentType="application/vnd.ms-excel.controlproperties+xml"/>
  <Override PartName="/xl/ctrlProps/ctrlProp39.xml" ContentType="application/vnd.ms-excel.controlproperties+xml"/>
  <Override PartName="/xl/ctrlProps/ctrlProp4.xml" ContentType="application/vnd.ms-excel.controlproperties+xml"/>
  <Override PartName="/xl/ctrlProps/ctrlProp40.xml" ContentType="application/vnd.ms-excel.controlproperties+xml"/>
  <Override PartName="/xl/ctrlProps/ctrlProp41.xml" ContentType="application/vnd.ms-excel.controlproperties+xml"/>
  <Override PartName="/xl/ctrlProps/ctrlProp42.xml" ContentType="application/vnd.ms-excel.controlproperties+xml"/>
  <Override PartName="/xl/ctrlProps/ctrlProp43.xml" ContentType="application/vnd.ms-excel.controlproperties+xml"/>
  <Override PartName="/xl/ctrlProps/ctrlProp44.xml" ContentType="application/vnd.ms-excel.controlproperties+xml"/>
  <Override PartName="/xl/ctrlProps/ctrlProp45.xml" ContentType="application/vnd.ms-excel.controlproperties+xml"/>
  <Override PartName="/xl/ctrlProps/ctrlProp46.xml" ContentType="application/vnd.ms-excel.controlproperties+xml"/>
  <Override PartName="/xl/ctrlProps/ctrlProp47.xml" ContentType="application/vnd.ms-excel.controlproperties+xml"/>
  <Override PartName="/xl/ctrlProps/ctrlProp48.xml" ContentType="application/vnd.ms-excel.controlproperties+xml"/>
  <Override PartName="/xl/ctrlProps/ctrlProp49.xml" ContentType="application/vnd.ms-excel.controlproperties+xml"/>
  <Override PartName="/xl/ctrlProps/ctrlProp5.xml" ContentType="application/vnd.ms-excel.controlproperties+xml"/>
  <Override PartName="/xl/ctrlProps/ctrlProp50.xml" ContentType="application/vnd.ms-excel.controlproperties+xml"/>
  <Override PartName="/xl/ctrlProps/ctrlProp51.xml" ContentType="application/vnd.ms-excel.controlproperties+xml"/>
  <Override PartName="/xl/ctrlProps/ctrlProp52.xml" ContentType="application/vnd.ms-excel.controlproperties+xml"/>
  <Override PartName="/xl/ctrlProps/ctrlProp53.xml" ContentType="application/vnd.ms-excel.controlproperties+xml"/>
  <Override PartName="/xl/ctrlProps/ctrlProp54.xml" ContentType="application/vnd.ms-excel.controlproperties+xml"/>
  <Override PartName="/xl/ctrlProps/ctrlProp55.xml" ContentType="application/vnd.ms-excel.controlproperties+xml"/>
  <Override PartName="/xl/ctrlProps/ctrlProp56.xml" ContentType="application/vnd.ms-excel.controlproperties+xml"/>
  <Override PartName="/xl/ctrlProps/ctrlProp57.xml" ContentType="application/vnd.ms-excel.controlproperties+xml"/>
  <Override PartName="/xl/ctrlProps/ctrlProp58.xml" ContentType="application/vnd.ms-excel.controlproperties+xml"/>
  <Override PartName="/xl/ctrlProps/ctrlProp59.xml" ContentType="application/vnd.ms-excel.controlproperties+xml"/>
  <Override PartName="/xl/ctrlProps/ctrlProp6.xml" ContentType="application/vnd.ms-excel.controlproperties+xml"/>
  <Override PartName="/xl/ctrlProps/ctrlProp60.xml" ContentType="application/vnd.ms-excel.controlproperties+xml"/>
  <Override PartName="/xl/ctrlProps/ctrlProp61.xml" ContentType="application/vnd.ms-excel.controlproperties+xml"/>
  <Override PartName="/xl/ctrlProps/ctrlProp62.xml" ContentType="application/vnd.ms-excel.controlproperties+xml"/>
  <Override PartName="/xl/ctrlProps/ctrlProp63.xml" ContentType="application/vnd.ms-excel.controlproperties+xml"/>
  <Override PartName="/xl/ctrlProps/ctrlProp64.xml" ContentType="application/vnd.ms-excel.controlproperties+xml"/>
  <Override PartName="/xl/ctrlProps/ctrlProp65.xml" ContentType="application/vnd.ms-excel.controlproperties+xml"/>
  <Override PartName="/xl/ctrlProps/ctrlProp66.xml" ContentType="application/vnd.ms-excel.controlproperties+xml"/>
  <Override PartName="/xl/ctrlProps/ctrlProp67.xml" ContentType="application/vnd.ms-excel.controlproperties+xml"/>
  <Override PartName="/xl/ctrlProps/ctrlProp68.xml" ContentType="application/vnd.ms-excel.controlproperties+xml"/>
  <Override PartName="/xl/ctrlProps/ctrlProp69.xml" ContentType="application/vnd.ms-excel.controlproperties+xml"/>
  <Override PartName="/xl/ctrlProps/ctrlProp7.xml" ContentType="application/vnd.ms-excel.controlproperties+xml"/>
  <Override PartName="/xl/ctrlProps/ctrlProp70.xml" ContentType="application/vnd.ms-excel.controlproperties+xml"/>
  <Override PartName="/xl/ctrlProps/ctrlProp71.xml" ContentType="application/vnd.ms-excel.controlproperties+xml"/>
  <Override PartName="/xl/ctrlProps/ctrlProp72.xml" ContentType="application/vnd.ms-excel.controlproperties+xml"/>
  <Override PartName="/xl/ctrlProps/ctrlProp73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drawings/drawing1.xml" ContentType="application/vnd.openxmlformats-officedocument.drawing+xml"/>
  <Override PartName="/xl/drawings/drawing10.xml" ContentType="application/vnd.openxmlformats-officedocument.drawing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drawings/drawing4.xml" ContentType="application/vnd.openxmlformats-officedocument.drawing+xml"/>
  <Override PartName="/xl/drawings/drawing5.xml" ContentType="application/vnd.openxmlformats-officedocument.drawing+xml"/>
  <Override PartName="/xl/drawings/drawing6.xml" ContentType="application/vnd.openxmlformats-officedocument.drawing+xml"/>
  <Override PartName="/xl/drawings/drawing7.xml" ContentType="application/vnd.openxmlformats-officedocument.drawing+xml"/>
  <Override PartName="/xl/drawings/drawing8.xml" ContentType="application/vnd.openxmlformats-officedocument.drawing+xml"/>
  <Override PartName="/xl/drawings/drawing9.xml" ContentType="application/vnd.openxmlformats-officedocument.drawing+xml"/>
  <Override PartName="/xl/sharedStrings.xml" ContentType="application/vnd.openxmlformats-officedocument.spreadsheetml.sharedStrings+xml"/>
  <Override PartName="/xl/styles.xml" ContentType="application/vnd.openxmlformats-officedocument.spreadsheetml.styles+xml"/>
  <Override PartName="/xl/theme/theme1.xml" ContentType="application/vnd.openxmlformats-officedocument.theme+xml"/>
  <Override PartName="/xl/vbaProject.bin" ContentType="application/vnd.ms-office.vbaProject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</Types>
</file>

<file path=_rels/.rels><?xml version="1.0" encoding="UTF-8" standalone="yes"?>
<Relationships xmlns="http://schemas.openxmlformats.org/package/2006/relationships"><Relationship Id="rId1" Type="http://schemas.openxmlformats.org/officeDocument/2006/relationships/officeDocument" Target="xl/workbook.xml"/><Relationship Id="rId3" Type="http://schemas.openxmlformats.org/package/2006/relationships/metadata/core-properties" Target="docProps/core.xml"/><Relationship Id="rId2" Type="http://schemas.openxmlformats.org/officeDocument/2006/relationships/extended-properties" Target="docProps/app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3" lowestEdited="5" rupBuild="9302"/>
  <workbookPr codeName="ThisWorkbook"/>
  <bookViews>
    <workbookView windowWidth="28080" windowHeight="12645" activeTab="3"/>
  </bookViews>
  <sheets>
    <sheet name="首页" sheetId="8" r:id="rId1"/>
    <sheet name="仪器管理" sheetId="11" r:id="rId2"/>
    <sheet name="挠度" sheetId="1" r:id="rId3"/>
    <sheet name="应变" sheetId="2" r:id="rId4"/>
    <sheet name="栏杆推力" sheetId="9" r:id="rId5"/>
    <sheet name="生成Word报告" sheetId="4" r:id="rId6"/>
    <sheet name="原始记录" sheetId="10" r:id="rId7"/>
    <sheet name="水准测量转换" sheetId="7" r:id="rId8"/>
    <sheet name="草稿" sheetId="3" r:id="rId9"/>
    <sheet name="水准测量草稿" sheetId="12" r:id="rId10"/>
    <sheet name="应变测试" sheetId="6" state="hidden" r:id="rId11"/>
    <sheet name="挠度测试" sheetId="5" state="hidden" r:id="rId12"/>
  </sheets>
  <definedNames>
    <definedName name="_xlnm._FilterDatabase" localSheetId="1" hidden="1">仪器管理!$L$9:$R$27</definedName>
  </definedNames>
  <calcPr calcId="144525" refMode="R1C1"/>
</workbook>
</file>

<file path=xl/comments1.xml><?xml version="1.0" encoding="utf-8"?>
<comments xmlns="http://schemas.openxmlformats.org/spreadsheetml/2006/main">
  <authors>
    <author>林迪南</author>
  </authors>
  <commentList>
    <comment ref="K13" authorId="0">
      <text>
        <r>
          <rPr>
            <b/>
            <sz val="9"/>
            <rFont val="宋体"/>
            <charset val="134"/>
          </rPr>
          <t>林迪南:</t>
        </r>
        <r>
          <rPr>
            <sz val="9"/>
            <rFont val="宋体"/>
            <charset val="134"/>
          </rPr>
          <t xml:space="preserve">
可填写1、2或不填
不填或填1：基康应变计
填2：长沙金码JMZX-212HAT
</t>
        </r>
      </text>
    </comment>
  </commentList>
</comments>
</file>

<file path=xl/sharedStrings.xml><?xml version="1.0" encoding="utf-8"?>
<sst xmlns="http://schemas.openxmlformats.org/spreadsheetml/2006/main" count="235">
  <si>
    <t>临界校准日期</t>
  </si>
  <si>
    <t>排序</t>
  </si>
  <si>
    <t>特征字符串</t>
  </si>
  <si>
    <t>特征型号</t>
  </si>
  <si>
    <t>报告名称</t>
  </si>
  <si>
    <t>序号</t>
  </si>
  <si>
    <t>报告资产名称</t>
  </si>
  <si>
    <t>资产名称</t>
  </si>
  <si>
    <t>资产编号</t>
  </si>
  <si>
    <t>规格型号</t>
  </si>
  <si>
    <t>旧系统仪器设备编号</t>
  </si>
  <si>
    <t>校准有效期至</t>
  </si>
  <si>
    <t>出厂编号</t>
  </si>
  <si>
    <t>选择</t>
  </si>
  <si>
    <t>数量</t>
  </si>
  <si>
    <t>仪器名称</t>
  </si>
  <si>
    <t>型号规格</t>
  </si>
  <si>
    <t>管理编号</t>
  </si>
  <si>
    <t>数据库文件名</t>
  </si>
  <si>
    <t>校准通知.xls</t>
  </si>
  <si>
    <t>皮尺</t>
  </si>
  <si>
    <t>钢卷尺</t>
  </si>
  <si>
    <t>(0～5)m</t>
  </si>
  <si>
    <t>尺寸和挠度</t>
  </si>
  <si>
    <t>(0～30)m</t>
  </si>
  <si>
    <t>水准仪</t>
  </si>
  <si>
    <t>百分表</t>
  </si>
  <si>
    <t>(0～10)mm</t>
  </si>
  <si>
    <t>(0～30)mm</t>
  </si>
  <si>
    <t>应变</t>
  </si>
  <si>
    <t>振弦式读数仪</t>
  </si>
  <si>
    <t>无线遥测静态应变测试分析系统</t>
  </si>
  <si>
    <t>TST3821E</t>
  </si>
  <si>
    <t>动测和索力</t>
  </si>
  <si>
    <t>桥梁实验模态无线测试分析系统</t>
  </si>
  <si>
    <t>TST5926E</t>
  </si>
  <si>
    <t>无线遥测振动(索力)测试分析系统</t>
  </si>
  <si>
    <t>TST5927</t>
  </si>
  <si>
    <t>无线遥测动态应变测试分析系统</t>
  </si>
  <si>
    <t>TST5925EV</t>
  </si>
  <si>
    <t>动态信号</t>
  </si>
  <si>
    <t>动态信号采集及分析系统</t>
  </si>
  <si>
    <t>动态信号测试分析系统</t>
  </si>
  <si>
    <t>DH5920</t>
  </si>
  <si>
    <t>砼强度</t>
  </si>
  <si>
    <t>回弹仪</t>
  </si>
  <si>
    <t>钢筋扫描</t>
  </si>
  <si>
    <t>钢筋扫描仪</t>
  </si>
  <si>
    <t>裂缝宽度</t>
  </si>
  <si>
    <t>裂缝宽度监测仪</t>
  </si>
  <si>
    <t>钢筋锈蚀仪</t>
  </si>
  <si>
    <t>状态参数</t>
  </si>
  <si>
    <t>贯入式砂浆强度</t>
  </si>
  <si>
    <t>贯入式砂浆强度检测仪</t>
  </si>
  <si>
    <t>混凝土电阻率仪</t>
  </si>
  <si>
    <t>监测</t>
  </si>
  <si>
    <t>全站仪</t>
  </si>
  <si>
    <t>钢筋计</t>
  </si>
  <si>
    <t>表面式应变计</t>
  </si>
  <si>
    <t>自定义仪器</t>
  </si>
  <si>
    <t>自定义仪器3</t>
  </si>
  <si>
    <t>自定义仪器4</t>
  </si>
  <si>
    <t>自定义仪器5</t>
  </si>
  <si>
    <t>挠度组数</t>
  </si>
  <si>
    <t>组1测点数</t>
  </si>
  <si>
    <t>组2测点数</t>
  </si>
  <si>
    <t>组3测点数</t>
  </si>
  <si>
    <t>组4测点数</t>
  </si>
  <si>
    <t>组5测点数</t>
  </si>
  <si>
    <t>组6测点数</t>
  </si>
  <si>
    <t>组7测点数</t>
  </si>
  <si>
    <t>组8测点数</t>
  </si>
  <si>
    <t>组9测点数</t>
  </si>
  <si>
    <t>组10测点数</t>
  </si>
  <si>
    <t>理论挠度截图区</t>
  </si>
  <si>
    <t>报告工况</t>
  </si>
  <si>
    <t>若图片数量少于组数，则图片不会黏贴到Word计算书中</t>
  </si>
  <si>
    <t>组名称</t>
  </si>
  <si>
    <r>
      <rPr>
        <sz val="11"/>
        <color theme="1"/>
        <rFont val="等线"/>
        <charset val="134"/>
      </rPr>
      <t>A-</t>
    </r>
    <r>
      <rPr>
        <sz val="11"/>
        <color theme="1"/>
        <rFont val="等线"/>
        <charset val="134"/>
      </rPr>
      <t>A</t>
    </r>
  </si>
  <si>
    <t>A-A</t>
  </si>
  <si>
    <t>最大弹性位移</t>
  </si>
  <si>
    <t>最小校验系数</t>
  </si>
  <si>
    <t>最大校验系数</t>
  </si>
  <si>
    <t>最小相对残余变形</t>
  </si>
  <si>
    <t>最大相对残余变形</t>
  </si>
  <si>
    <t>报告数据</t>
  </si>
  <si>
    <t>组</t>
  </si>
  <si>
    <t>测点</t>
  </si>
  <si>
    <t>初读</t>
  </si>
  <si>
    <t>满载
读数</t>
  </si>
  <si>
    <t>卸载
读数</t>
  </si>
  <si>
    <t>理论</t>
  </si>
  <si>
    <t>实测值(mm)</t>
  </si>
  <si>
    <t>满载理论值(mm)</t>
  </si>
  <si>
    <t>校验系数</t>
  </si>
  <si>
    <t>相对残余变形</t>
  </si>
  <si>
    <t>增量</t>
  </si>
  <si>
    <t>总变形</t>
  </si>
  <si>
    <t>弹性变形</t>
  </si>
  <si>
    <t>残余变形</t>
  </si>
  <si>
    <t>一</t>
  </si>
  <si>
    <t>A1</t>
  </si>
  <si>
    <t>A2</t>
  </si>
  <si>
    <t>二</t>
  </si>
  <si>
    <t>B1</t>
  </si>
  <si>
    <t>B2</t>
  </si>
  <si>
    <t>应变组数</t>
  </si>
  <si>
    <t>理论应变截图区</t>
  </si>
  <si>
    <t>组名</t>
  </si>
  <si>
    <t>C-C</t>
  </si>
  <si>
    <t>B-B</t>
  </si>
  <si>
    <t>D-D</t>
  </si>
  <si>
    <t>E-E</t>
  </si>
  <si>
    <t>若图片数量少于组数，则图片不会黏贴到word计算书中</t>
  </si>
  <si>
    <t>最大弹性应变</t>
  </si>
  <si>
    <t xml:space="preserve"> </t>
  </si>
  <si>
    <t>最小相对残余应变</t>
  </si>
  <si>
    <t>最大相对残余应变</t>
  </si>
  <si>
    <t>基康应变计算公式（温度是否需要修正应视具体情况而定）</t>
  </si>
  <si>
    <t>其中G=3.7，C=1.020019</t>
  </si>
  <si>
    <t>试验数据</t>
  </si>
  <si>
    <t>理论数据</t>
  </si>
  <si>
    <t>应变计算</t>
  </si>
  <si>
    <t>初始读数</t>
  </si>
  <si>
    <t>满载</t>
  </si>
  <si>
    <t>卸载</t>
  </si>
  <si>
    <r>
      <rPr>
        <sz val="12"/>
        <color indexed="16"/>
        <rFont val="宋体"/>
        <charset val="134"/>
      </rPr>
      <t>满载理论值(</t>
    </r>
    <r>
      <rPr>
        <sz val="12"/>
        <color indexed="16"/>
        <rFont val="宋体"/>
        <charset val="134"/>
      </rPr>
      <t>Mpa</t>
    </r>
    <r>
      <rPr>
        <sz val="12"/>
        <color indexed="16"/>
        <rFont val="宋体"/>
        <charset val="134"/>
      </rPr>
      <t>)</t>
    </r>
  </si>
  <si>
    <t>满载理论值(με)</t>
  </si>
  <si>
    <t>仪器类型</t>
  </si>
  <si>
    <t>工况</t>
  </si>
  <si>
    <t>实测值(με)</t>
  </si>
  <si>
    <t>相对残余应变</t>
  </si>
  <si>
    <t>模数R</t>
  </si>
  <si>
    <t>温度</t>
  </si>
  <si>
    <t>温度T</t>
  </si>
  <si>
    <t>模数计算</t>
  </si>
  <si>
    <t>温度计算</t>
  </si>
  <si>
    <t>残余应变</t>
  </si>
  <si>
    <t>总应变</t>
  </si>
  <si>
    <t>弹性应变</t>
  </si>
  <si>
    <t>C1</t>
  </si>
  <si>
    <t>C2</t>
  </si>
  <si>
    <t>三</t>
  </si>
  <si>
    <t>四</t>
  </si>
  <si>
    <t>D1</t>
  </si>
  <si>
    <t>D2</t>
  </si>
  <si>
    <t>五</t>
  </si>
  <si>
    <t>E1</t>
  </si>
  <si>
    <t>E2</t>
  </si>
  <si>
    <t>测点数</t>
  </si>
  <si>
    <t>加载级数</t>
  </si>
  <si>
    <t>分级</t>
  </si>
  <si>
    <t>残余变形(mm)</t>
  </si>
  <si>
    <t>1#</t>
  </si>
  <si>
    <t>1级</t>
  </si>
  <si>
    <t>/</t>
  </si>
  <si>
    <t>2级</t>
  </si>
  <si>
    <t>3级</t>
  </si>
  <si>
    <t>4级</t>
  </si>
  <si>
    <t>5级</t>
  </si>
  <si>
    <t>退载</t>
  </si>
  <si>
    <t>2#</t>
  </si>
  <si>
    <t>3#</t>
  </si>
  <si>
    <t>请先计算位移和应变，再导出Word报告</t>
  </si>
  <si>
    <t>后视点</t>
  </si>
  <si>
    <t>前示读数（m)</t>
  </si>
  <si>
    <t>后示读数（m)</t>
  </si>
  <si>
    <t>高程（m)</t>
  </si>
  <si>
    <t>换算百分表读数（mm）</t>
  </si>
  <si>
    <t>输入示例：</t>
  </si>
  <si>
    <t>前示读数</t>
  </si>
  <si>
    <t>后示读数</t>
  </si>
  <si>
    <t>JD</t>
  </si>
  <si>
    <t>A-4</t>
  </si>
  <si>
    <t>A-5</t>
  </si>
  <si>
    <t>A-6</t>
  </si>
  <si>
    <t>A-7</t>
  </si>
  <si>
    <t>4#</t>
  </si>
  <si>
    <t>A-8</t>
  </si>
  <si>
    <t>5#</t>
  </si>
  <si>
    <t>A-9</t>
  </si>
  <si>
    <t>6#</t>
  </si>
  <si>
    <t>7#</t>
  </si>
  <si>
    <t>8#</t>
  </si>
  <si>
    <t>9#</t>
  </si>
  <si>
    <r>
      <rPr>
        <sz val="11"/>
        <color theme="1"/>
        <rFont val="宋体"/>
        <charset val="134"/>
      </rPr>
      <t>1</t>
    </r>
    <r>
      <rPr>
        <sz val="11"/>
        <color theme="1"/>
        <rFont val="等线"/>
        <charset val="134"/>
      </rPr>
      <t>0#</t>
    </r>
  </si>
  <si>
    <r>
      <rPr>
        <sz val="11"/>
        <color theme="1"/>
        <rFont val="宋体"/>
        <charset val="134"/>
      </rPr>
      <t>1</t>
    </r>
    <r>
      <rPr>
        <sz val="11"/>
        <color theme="1"/>
        <rFont val="等线"/>
        <charset val="134"/>
      </rPr>
      <t>1#</t>
    </r>
  </si>
  <si>
    <r>
      <rPr>
        <sz val="11"/>
        <color theme="1"/>
        <rFont val="宋体"/>
        <charset val="134"/>
      </rPr>
      <t>Z</t>
    </r>
    <r>
      <rPr>
        <sz val="11"/>
        <color theme="1"/>
        <rFont val="等线"/>
        <charset val="134"/>
      </rPr>
      <t>D1</t>
    </r>
  </si>
  <si>
    <r>
      <rPr>
        <sz val="11"/>
        <color theme="1"/>
        <rFont val="等线"/>
        <charset val="134"/>
      </rPr>
      <t>9</t>
    </r>
    <r>
      <rPr>
        <sz val="11"/>
        <color theme="1"/>
        <rFont val="等线"/>
        <charset val="134"/>
      </rPr>
      <t>#</t>
    </r>
  </si>
  <si>
    <r>
      <rPr>
        <sz val="11"/>
        <color theme="1"/>
        <rFont val="宋体"/>
        <charset val="134"/>
      </rPr>
      <t>1</t>
    </r>
    <r>
      <rPr>
        <sz val="11"/>
        <color theme="1"/>
        <rFont val="等线"/>
        <charset val="134"/>
      </rPr>
      <t>2#</t>
    </r>
  </si>
  <si>
    <t>1初读</t>
  </si>
  <si>
    <t>A-1</t>
  </si>
  <si>
    <t>A-2</t>
  </si>
  <si>
    <t>A-3</t>
  </si>
  <si>
    <t>1满载</t>
  </si>
  <si>
    <t>1退载</t>
  </si>
  <si>
    <t>2初读</t>
  </si>
  <si>
    <t>2满载</t>
  </si>
  <si>
    <t>2退载</t>
  </si>
  <si>
    <t>Z5</t>
  </si>
  <si>
    <t>Z6</t>
  </si>
  <si>
    <t>Z7</t>
  </si>
  <si>
    <t>Z8</t>
  </si>
  <si>
    <t>Z9</t>
  </si>
  <si>
    <t>Z10</t>
  </si>
  <si>
    <t>Z11</t>
  </si>
  <si>
    <t>Z12</t>
  </si>
  <si>
    <t>Z13</t>
  </si>
  <si>
    <t>Z14</t>
  </si>
  <si>
    <t>应变工况数</t>
  </si>
  <si>
    <t>工况1测点数</t>
  </si>
  <si>
    <t>工况2测点数</t>
  </si>
  <si>
    <t>工况3测点数</t>
  </si>
  <si>
    <t>工况4测点数</t>
  </si>
  <si>
    <t>工况5测点数</t>
  </si>
  <si>
    <t>工况6测点数</t>
  </si>
  <si>
    <t>工况7测点数</t>
  </si>
  <si>
    <t>工况8测点数</t>
  </si>
  <si>
    <t>工况9测点数</t>
  </si>
  <si>
    <t>工况10测点数</t>
  </si>
  <si>
    <t>应变计算公式</t>
  </si>
  <si>
    <t>理论计算值</t>
  </si>
  <si>
    <r>
      <rPr>
        <sz val="12"/>
        <color indexed="16"/>
        <rFont val="宋体"/>
        <charset val="134"/>
      </rPr>
      <t>应力(N/mm</t>
    </r>
    <r>
      <rPr>
        <u/>
        <vertAlign val="superscript"/>
        <sz val="12"/>
        <color indexed="16"/>
        <rFont val="宋体"/>
        <charset val="134"/>
      </rPr>
      <t>2</t>
    </r>
    <r>
      <rPr>
        <sz val="12"/>
        <color indexed="16"/>
        <rFont val="宋体"/>
        <charset val="134"/>
      </rPr>
      <t>)</t>
    </r>
  </si>
  <si>
    <t>10#</t>
  </si>
  <si>
    <t>11#</t>
  </si>
  <si>
    <t>12#</t>
  </si>
  <si>
    <t>13#</t>
  </si>
  <si>
    <t>14#</t>
  </si>
  <si>
    <t>挠度工况数</t>
  </si>
  <si>
    <t>相对残余</t>
  </si>
  <si>
    <t>读数</t>
  </si>
  <si>
    <t>Z1</t>
  </si>
  <si>
    <t>Z2</t>
  </si>
  <si>
    <t>Z3</t>
  </si>
  <si>
    <t>Z4</t>
  </si>
</sst>
</file>

<file path=xl/styles.xml><?xml version="1.0" encoding="utf-8"?>
<styleSheet xmlns="http://schemas.openxmlformats.org/spreadsheetml/2006/main">
  <numFmts count="7">
    <numFmt numFmtId="42" formatCode="_ &quot;￥&quot;* #,##0_ ;_ &quot;￥&quot;* \-#,##0_ ;_ &quot;￥&quot;* &quot;-&quot;_ ;_ @_ "/>
    <numFmt numFmtId="44" formatCode="_ &quot;￥&quot;* #,##0.00_ ;_ &quot;￥&quot;* \-#,##0.00_ ;_ &quot;￥&quot;* &quot;-&quot;??_ ;_ @_ "/>
    <numFmt numFmtId="41" formatCode="_ * #,##0_ ;_ * \-#,##0_ ;_ * &quot;-&quot;_ ;_ @_ "/>
    <numFmt numFmtId="43" formatCode="_ * #,##0.00_ ;_ * \-#,##0.00_ ;_ * &quot;-&quot;??_ ;_ @_ "/>
    <numFmt numFmtId="176" formatCode="0.00_ "/>
    <numFmt numFmtId="177" formatCode="0_ "/>
    <numFmt numFmtId="178" formatCode="0.0_ "/>
  </numFmts>
  <fonts count="36">
    <font>
      <sz val="11"/>
      <color theme="1"/>
      <name val="等线"/>
      <charset val="134"/>
      <scheme val="minor"/>
    </font>
    <font>
      <sz val="12"/>
      <color indexed="60"/>
      <name val="宋体"/>
      <charset val="134"/>
    </font>
    <font>
      <sz val="12"/>
      <color indexed="16"/>
      <name val="宋体"/>
      <charset val="134"/>
    </font>
    <font>
      <sz val="12"/>
      <color theme="5" tint="-0.499984740745262"/>
      <name val="宋体"/>
      <charset val="134"/>
    </font>
    <font>
      <sz val="12"/>
      <color theme="1"/>
      <name val="楷体_GB2312"/>
      <charset val="134"/>
    </font>
    <font>
      <sz val="11"/>
      <color theme="1"/>
      <name val="等线"/>
      <charset val="134"/>
    </font>
    <font>
      <sz val="12"/>
      <color indexed="8"/>
      <name val="Times New Roman"/>
      <charset val="134"/>
    </font>
    <font>
      <sz val="11"/>
      <color theme="1"/>
      <name val="Times New Roman"/>
      <charset val="134"/>
    </font>
    <font>
      <sz val="12"/>
      <color theme="1"/>
      <name val="Times New Roman"/>
      <charset val="134"/>
    </font>
    <font>
      <b/>
      <sz val="11"/>
      <name val="等线"/>
      <charset val="134"/>
      <scheme val="minor"/>
    </font>
    <font>
      <b/>
      <sz val="11"/>
      <color theme="1"/>
      <name val="等线"/>
      <charset val="134"/>
      <scheme val="minor"/>
    </font>
    <font>
      <sz val="10"/>
      <name val="宋体"/>
      <charset val="0"/>
    </font>
    <font>
      <b/>
      <sz val="10"/>
      <name val="宋体"/>
      <charset val="0"/>
    </font>
    <font>
      <b/>
      <sz val="10"/>
      <name val="Arial"/>
      <charset val="0"/>
    </font>
    <font>
      <sz val="10"/>
      <name val="Arial"/>
      <charset val="0"/>
    </font>
    <font>
      <sz val="11"/>
      <color rgb="FF006100"/>
      <name val="等线"/>
      <charset val="0"/>
      <scheme val="minor"/>
    </font>
    <font>
      <sz val="11"/>
      <color theme="1"/>
      <name val="等线"/>
      <charset val="0"/>
      <scheme val="minor"/>
    </font>
    <font>
      <sz val="11"/>
      <color theme="0"/>
      <name val="等线"/>
      <charset val="0"/>
      <scheme val="minor"/>
    </font>
    <font>
      <b/>
      <sz val="15"/>
      <color theme="3"/>
      <name val="等线"/>
      <charset val="134"/>
      <scheme val="minor"/>
    </font>
    <font>
      <sz val="11"/>
      <color rgb="FF9C0006"/>
      <name val="等线"/>
      <charset val="0"/>
      <scheme val="minor"/>
    </font>
    <font>
      <b/>
      <sz val="11"/>
      <color theme="1"/>
      <name val="等线"/>
      <charset val="0"/>
      <scheme val="minor"/>
    </font>
    <font>
      <b/>
      <sz val="11"/>
      <color theme="3"/>
      <name val="等线"/>
      <charset val="134"/>
      <scheme val="minor"/>
    </font>
    <font>
      <b/>
      <sz val="18"/>
      <color theme="3"/>
      <name val="等线"/>
      <charset val="134"/>
      <scheme val="minor"/>
    </font>
    <font>
      <u/>
      <sz val="11"/>
      <color rgb="FF0000FF"/>
      <name val="等线"/>
      <charset val="0"/>
      <scheme val="minor"/>
    </font>
    <font>
      <sz val="11"/>
      <color rgb="FFFA7D00"/>
      <name val="等线"/>
      <charset val="0"/>
      <scheme val="minor"/>
    </font>
    <font>
      <sz val="11"/>
      <color rgb="FF3F3F76"/>
      <name val="等线"/>
      <charset val="0"/>
      <scheme val="minor"/>
    </font>
    <font>
      <b/>
      <sz val="11"/>
      <color rgb="FFFFFFFF"/>
      <name val="等线"/>
      <charset val="0"/>
      <scheme val="minor"/>
    </font>
    <font>
      <b/>
      <sz val="11"/>
      <color rgb="FFFA7D00"/>
      <name val="等线"/>
      <charset val="0"/>
      <scheme val="minor"/>
    </font>
    <font>
      <b/>
      <sz val="13"/>
      <color theme="3"/>
      <name val="等线"/>
      <charset val="134"/>
      <scheme val="minor"/>
    </font>
    <font>
      <sz val="11"/>
      <color rgb="FFFF0000"/>
      <name val="等线"/>
      <charset val="0"/>
      <scheme val="minor"/>
    </font>
    <font>
      <sz val="11"/>
      <color rgb="FF9C6500"/>
      <name val="等线"/>
      <charset val="0"/>
      <scheme val="minor"/>
    </font>
    <font>
      <b/>
      <sz val="11"/>
      <color rgb="FF3F3F3F"/>
      <name val="等线"/>
      <charset val="0"/>
      <scheme val="minor"/>
    </font>
    <font>
      <i/>
      <sz val="11"/>
      <color rgb="FF7F7F7F"/>
      <name val="等线"/>
      <charset val="0"/>
      <scheme val="minor"/>
    </font>
    <font>
      <u/>
      <sz val="11"/>
      <color rgb="FF800080"/>
      <name val="等线"/>
      <charset val="0"/>
      <scheme val="minor"/>
    </font>
    <font>
      <u/>
      <vertAlign val="superscript"/>
      <sz val="12"/>
      <color indexed="16"/>
      <name val="宋体"/>
      <charset val="134"/>
    </font>
    <font>
      <sz val="11"/>
      <color theme="1"/>
      <name val="宋体"/>
      <charset val="134"/>
    </font>
  </fonts>
  <fills count="37">
    <fill>
      <patternFill patternType="none"/>
    </fill>
    <fill>
      <patternFill patternType="gray125"/>
    </fill>
    <fill>
      <patternFill patternType="solid">
        <fgColor rgb="FF00B050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indexed="57"/>
        <bgColor indexed="64"/>
      </patternFill>
    </fill>
    <fill>
      <patternFill patternType="solid">
        <fgColor rgb="FFFFFFFF"/>
        <bgColor indexed="64"/>
      </patternFill>
    </fill>
    <fill>
      <patternFill patternType="solid">
        <fgColor rgb="FFC6EFCE"/>
        <bgColor indexed="64"/>
      </patternFill>
    </fill>
    <fill>
      <patternFill patternType="solid">
        <fgColor theme="6" tint="0.799981688894314"/>
        <bgColor indexed="64"/>
      </patternFill>
    </fill>
    <fill>
      <patternFill patternType="solid">
        <fgColor theme="9" tint="0.399975585192419"/>
        <bgColor indexed="64"/>
      </patternFill>
    </fill>
    <fill>
      <patternFill patternType="solid">
        <fgColor rgb="FFFFFFCC"/>
        <bgColor indexed="64"/>
      </patternFill>
    </fill>
    <fill>
      <patternFill patternType="solid">
        <fgColor rgb="FFFFC7CE"/>
        <bgColor indexed="64"/>
      </patternFill>
    </fill>
    <fill>
      <patternFill patternType="solid">
        <fgColor theme="4"/>
        <bgColor indexed="64"/>
      </patternFill>
    </fill>
    <fill>
      <patternFill patternType="solid">
        <fgColor theme="6" tint="0.599993896298105"/>
        <bgColor indexed="64"/>
      </patternFill>
    </fill>
    <fill>
      <patternFill patternType="solid">
        <fgColor theme="4" tint="0.799981688894314"/>
        <bgColor indexed="64"/>
      </patternFill>
    </fill>
    <fill>
      <patternFill patternType="solid">
        <fgColor theme="5"/>
        <bgColor indexed="64"/>
      </patternFill>
    </fill>
    <fill>
      <patternFill patternType="solid">
        <fgColor theme="8"/>
        <bgColor indexed="64"/>
      </patternFill>
    </fill>
    <fill>
      <patternFill patternType="solid">
        <fgColor theme="5" tint="0.399975585192419"/>
        <bgColor indexed="64"/>
      </patternFill>
    </fill>
    <fill>
      <patternFill patternType="solid">
        <fgColor rgb="FFFFCC99"/>
        <bgColor indexed="64"/>
      </patternFill>
    </fill>
    <fill>
      <patternFill patternType="solid">
        <fgColor rgb="FFA5A5A5"/>
        <bgColor indexed="64"/>
      </patternFill>
    </fill>
    <fill>
      <patternFill patternType="solid">
        <fgColor rgb="FFF2F2F2"/>
        <bgColor indexed="64"/>
      </patternFill>
    </fill>
    <fill>
      <patternFill patternType="solid">
        <fgColor theme="8" tint="0.799981688894314"/>
        <bgColor indexed="64"/>
      </patternFill>
    </fill>
    <fill>
      <patternFill patternType="solid">
        <fgColor theme="6" tint="0.399975585192419"/>
        <bgColor indexed="64"/>
      </patternFill>
    </fill>
    <fill>
      <patternFill patternType="solid">
        <fgColor rgb="FFFFEB9C"/>
        <bgColor indexed="64"/>
      </patternFill>
    </fill>
    <fill>
      <patternFill patternType="solid">
        <fgColor theme="7"/>
        <bgColor indexed="64"/>
      </patternFill>
    </fill>
    <fill>
      <patternFill patternType="solid">
        <fgColor theme="4" tint="0.599993896298105"/>
        <bgColor indexed="64"/>
      </patternFill>
    </fill>
    <fill>
      <patternFill patternType="solid">
        <fgColor theme="8" tint="0.599993896298105"/>
        <bgColor indexed="64"/>
      </patternFill>
    </fill>
    <fill>
      <patternFill patternType="solid">
        <fgColor theme="4" tint="0.399975585192419"/>
        <bgColor indexed="64"/>
      </patternFill>
    </fill>
    <fill>
      <patternFill patternType="solid">
        <fgColor theme="7" tint="0.399975585192419"/>
        <bgColor indexed="64"/>
      </patternFill>
    </fill>
    <fill>
      <patternFill patternType="solid">
        <fgColor theme="7" tint="0.599993896298105"/>
        <bgColor indexed="64"/>
      </patternFill>
    </fill>
    <fill>
      <patternFill patternType="solid">
        <fgColor theme="9" tint="0.799981688894314"/>
        <bgColor indexed="64"/>
      </patternFill>
    </fill>
    <fill>
      <patternFill patternType="solid">
        <fgColor theme="9" tint="0.599993896298105"/>
        <bgColor indexed="64"/>
      </patternFill>
    </fill>
    <fill>
      <patternFill patternType="solid">
        <fgColor theme="5" tint="0.799981688894314"/>
        <bgColor indexed="64"/>
      </patternFill>
    </fill>
    <fill>
      <patternFill patternType="solid">
        <fgColor theme="9"/>
        <bgColor indexed="64"/>
      </patternFill>
    </fill>
    <fill>
      <patternFill patternType="solid">
        <fgColor theme="5" tint="0.599993896298105"/>
        <bgColor indexed="64"/>
      </patternFill>
    </fill>
    <fill>
      <patternFill patternType="solid">
        <fgColor theme="8" tint="0.399975585192419"/>
        <bgColor indexed="64"/>
      </patternFill>
    </fill>
    <fill>
      <patternFill patternType="solid">
        <fgColor theme="6"/>
        <bgColor indexed="64"/>
      </patternFill>
    </fill>
    <fill>
      <patternFill patternType="solid">
        <fgColor theme="7" tint="0.799981688894314"/>
        <bgColor indexed="64"/>
      </patternFill>
    </fill>
  </fills>
  <borders count="24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 style="thin">
        <color auto="1"/>
      </left>
      <right style="thin">
        <color auto="1"/>
      </right>
      <top/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medium">
        <color auto="1"/>
      </bottom>
      <diagonal/>
    </border>
    <border>
      <left style="thin">
        <color auto="1"/>
      </left>
      <right style="thin">
        <color auto="1"/>
      </right>
      <top style="medium">
        <color auto="1"/>
      </top>
      <bottom style="thin">
        <color auto="1"/>
      </bottom>
      <diagonal/>
    </border>
    <border>
      <left/>
      <right/>
      <top/>
      <bottom style="thin">
        <color auto="1"/>
      </bottom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/>
      <right/>
      <top style="thin">
        <color auto="1"/>
      </top>
      <bottom style="thin">
        <color auto="1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medium">
        <color auto="1"/>
      </top>
      <bottom/>
      <diagonal/>
    </border>
    <border>
      <left style="thick">
        <color auto="1"/>
      </left>
      <right style="medium">
        <color auto="1"/>
      </right>
      <top style="thick">
        <color auto="1"/>
      </top>
      <bottom style="medium">
        <color auto="1"/>
      </bottom>
      <diagonal/>
    </border>
    <border>
      <left/>
      <right/>
      <top style="thin">
        <color auto="1"/>
      </top>
      <bottom/>
      <diagonal/>
    </border>
    <border>
      <left style="thick">
        <color auto="1"/>
      </left>
      <right style="medium">
        <color auto="1"/>
      </right>
      <top/>
      <bottom style="medium">
        <color auto="1"/>
      </bottom>
      <diagonal/>
    </border>
    <border>
      <left style="thick">
        <color auto="1"/>
      </left>
      <right style="medium">
        <color auto="1"/>
      </right>
      <top/>
      <bottom style="thick">
        <color auto="1"/>
      </bottom>
      <diagonal/>
    </border>
    <border>
      <left style="thin">
        <color auto="1"/>
      </left>
      <right style="thin">
        <color auto="1"/>
      </right>
      <top/>
      <bottom/>
      <diagonal/>
    </border>
    <border>
      <left/>
      <right/>
      <top/>
      <bottom style="medium">
        <color theme="4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  <border>
      <left/>
      <right/>
      <top/>
      <bottom style="medium">
        <color theme="4" tint="0.499984740745262"/>
      </bottom>
      <diagonal/>
    </border>
    <border>
      <left/>
      <right/>
      <top/>
      <bottom style="double">
        <color rgb="FFFF800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</borders>
  <cellStyleXfs count="49">
    <xf numFmtId="0" fontId="0" fillId="0" borderId="0"/>
    <xf numFmtId="42" fontId="0" fillId="0" borderId="0" applyFont="0" applyFill="0" applyBorder="0" applyAlignment="0" applyProtection="0">
      <alignment vertical="center"/>
    </xf>
    <xf numFmtId="0" fontId="16" fillId="7" borderId="0" applyNumberFormat="0" applyBorder="0" applyAlignment="0" applyProtection="0">
      <alignment vertical="center"/>
    </xf>
    <xf numFmtId="0" fontId="25" fillId="17" borderId="21" applyNumberFormat="0" applyAlignment="0" applyProtection="0">
      <alignment vertical="center"/>
    </xf>
    <xf numFmtId="44" fontId="0" fillId="0" borderId="0" applyFont="0" applyFill="0" applyBorder="0" applyAlignment="0" applyProtection="0">
      <alignment vertical="center"/>
    </xf>
    <xf numFmtId="41" fontId="0" fillId="0" borderId="0" applyFont="0" applyFill="0" applyBorder="0" applyAlignment="0" applyProtection="0">
      <alignment vertical="center"/>
    </xf>
    <xf numFmtId="0" fontId="16" fillId="12" borderId="0" applyNumberFormat="0" applyBorder="0" applyAlignment="0" applyProtection="0">
      <alignment vertical="center"/>
    </xf>
    <xf numFmtId="0" fontId="19" fillId="10" borderId="0" applyNumberFormat="0" applyBorder="0" applyAlignment="0" applyProtection="0">
      <alignment vertical="center"/>
    </xf>
    <xf numFmtId="43" fontId="0" fillId="0" borderId="0" applyFont="0" applyFill="0" applyBorder="0" applyAlignment="0" applyProtection="0">
      <alignment vertical="center"/>
    </xf>
    <xf numFmtId="0" fontId="17" fillId="21" borderId="0" applyNumberFormat="0" applyBorder="0" applyAlignment="0" applyProtection="0">
      <alignment vertical="center"/>
    </xf>
    <xf numFmtId="0" fontId="23" fillId="0" borderId="0" applyNumberFormat="0" applyFill="0" applyBorder="0" applyAlignment="0" applyProtection="0">
      <alignment vertical="center"/>
    </xf>
    <xf numFmtId="9" fontId="0" fillId="0" borderId="0" applyFont="0" applyFill="0" applyBorder="0" applyAlignment="0" applyProtection="0">
      <alignment vertical="center"/>
    </xf>
    <xf numFmtId="0" fontId="33" fillId="0" borderId="0" applyNumberFormat="0" applyFill="0" applyBorder="0" applyAlignment="0" applyProtection="0">
      <alignment vertical="center"/>
    </xf>
    <xf numFmtId="0" fontId="0" fillId="9" borderId="17" applyNumberFormat="0" applyFont="0" applyAlignment="0" applyProtection="0">
      <alignment vertical="center"/>
    </xf>
    <xf numFmtId="0" fontId="17" fillId="16" borderId="0" applyNumberFormat="0" applyBorder="0" applyAlignment="0" applyProtection="0">
      <alignment vertical="center"/>
    </xf>
    <xf numFmtId="0" fontId="21" fillId="0" borderId="0" applyNumberFormat="0" applyFill="0" applyBorder="0" applyAlignment="0" applyProtection="0">
      <alignment vertical="center"/>
    </xf>
    <xf numFmtId="0" fontId="29" fillId="0" borderId="0" applyNumberFormat="0" applyFill="0" applyBorder="0" applyAlignment="0" applyProtection="0">
      <alignment vertical="center"/>
    </xf>
    <xf numFmtId="0" fontId="22" fillId="0" borderId="0" applyNumberFormat="0" applyFill="0" applyBorder="0" applyAlignment="0" applyProtection="0">
      <alignment vertical="center"/>
    </xf>
    <xf numFmtId="0" fontId="32" fillId="0" borderId="0" applyNumberFormat="0" applyFill="0" applyBorder="0" applyAlignment="0" applyProtection="0">
      <alignment vertical="center"/>
    </xf>
    <xf numFmtId="0" fontId="18" fillId="0" borderId="16" applyNumberFormat="0" applyFill="0" applyAlignment="0" applyProtection="0">
      <alignment vertical="center"/>
    </xf>
    <xf numFmtId="0" fontId="28" fillId="0" borderId="16" applyNumberFormat="0" applyFill="0" applyAlignment="0" applyProtection="0">
      <alignment vertical="center"/>
    </xf>
    <xf numFmtId="0" fontId="17" fillId="26" borderId="0" applyNumberFormat="0" applyBorder="0" applyAlignment="0" applyProtection="0">
      <alignment vertical="center"/>
    </xf>
    <xf numFmtId="0" fontId="21" fillId="0" borderId="19" applyNumberFormat="0" applyFill="0" applyAlignment="0" applyProtection="0">
      <alignment vertical="center"/>
    </xf>
    <xf numFmtId="0" fontId="17" fillId="27" borderId="0" applyNumberFormat="0" applyBorder="0" applyAlignment="0" applyProtection="0">
      <alignment vertical="center"/>
    </xf>
    <xf numFmtId="0" fontId="31" fillId="19" borderId="23" applyNumberFormat="0" applyAlignment="0" applyProtection="0">
      <alignment vertical="center"/>
    </xf>
    <xf numFmtId="0" fontId="27" fillId="19" borderId="21" applyNumberFormat="0" applyAlignment="0" applyProtection="0">
      <alignment vertical="center"/>
    </xf>
    <xf numFmtId="0" fontId="26" fillId="18" borderId="22" applyNumberFormat="0" applyAlignment="0" applyProtection="0">
      <alignment vertical="center"/>
    </xf>
    <xf numFmtId="0" fontId="16" fillId="29" borderId="0" applyNumberFormat="0" applyBorder="0" applyAlignment="0" applyProtection="0">
      <alignment vertical="center"/>
    </xf>
    <xf numFmtId="0" fontId="17" fillId="14" borderId="0" applyNumberFormat="0" applyBorder="0" applyAlignment="0" applyProtection="0">
      <alignment vertical="center"/>
    </xf>
    <xf numFmtId="0" fontId="24" fillId="0" borderId="20" applyNumberFormat="0" applyFill="0" applyAlignment="0" applyProtection="0">
      <alignment vertical="center"/>
    </xf>
    <xf numFmtId="0" fontId="20" fillId="0" borderId="18" applyNumberFormat="0" applyFill="0" applyAlignment="0" applyProtection="0">
      <alignment vertical="center"/>
    </xf>
    <xf numFmtId="0" fontId="15" fillId="6" borderId="0" applyNumberFormat="0" applyBorder="0" applyAlignment="0" applyProtection="0">
      <alignment vertical="center"/>
    </xf>
    <xf numFmtId="0" fontId="30" fillId="22" borderId="0" applyNumberFormat="0" applyBorder="0" applyAlignment="0" applyProtection="0">
      <alignment vertical="center"/>
    </xf>
    <xf numFmtId="0" fontId="16" fillId="20" borderId="0" applyNumberFormat="0" applyBorder="0" applyAlignment="0" applyProtection="0">
      <alignment vertical="center"/>
    </xf>
    <xf numFmtId="0" fontId="17" fillId="11" borderId="0" applyNumberFormat="0" applyBorder="0" applyAlignment="0" applyProtection="0">
      <alignment vertical="center"/>
    </xf>
    <xf numFmtId="0" fontId="16" fillId="13" borderId="0" applyNumberFormat="0" applyBorder="0" applyAlignment="0" applyProtection="0">
      <alignment vertical="center"/>
    </xf>
    <xf numFmtId="0" fontId="16" fillId="24" borderId="0" applyNumberFormat="0" applyBorder="0" applyAlignment="0" applyProtection="0">
      <alignment vertical="center"/>
    </xf>
    <xf numFmtId="0" fontId="16" fillId="31" borderId="0" applyNumberFormat="0" applyBorder="0" applyAlignment="0" applyProtection="0">
      <alignment vertical="center"/>
    </xf>
    <xf numFmtId="0" fontId="16" fillId="33" borderId="0" applyNumberFormat="0" applyBorder="0" applyAlignment="0" applyProtection="0">
      <alignment vertical="center"/>
    </xf>
    <xf numFmtId="0" fontId="17" fillId="35" borderId="0" applyNumberFormat="0" applyBorder="0" applyAlignment="0" applyProtection="0">
      <alignment vertical="center"/>
    </xf>
    <xf numFmtId="0" fontId="17" fillId="23" borderId="0" applyNumberFormat="0" applyBorder="0" applyAlignment="0" applyProtection="0">
      <alignment vertical="center"/>
    </xf>
    <xf numFmtId="0" fontId="16" fillId="36" borderId="0" applyNumberFormat="0" applyBorder="0" applyAlignment="0" applyProtection="0">
      <alignment vertical="center"/>
    </xf>
    <xf numFmtId="0" fontId="16" fillId="28" borderId="0" applyNumberFormat="0" applyBorder="0" applyAlignment="0" applyProtection="0">
      <alignment vertical="center"/>
    </xf>
    <xf numFmtId="0" fontId="17" fillId="15" borderId="0" applyNumberFormat="0" applyBorder="0" applyAlignment="0" applyProtection="0">
      <alignment vertical="center"/>
    </xf>
    <xf numFmtId="0" fontId="16" fillId="25" borderId="0" applyNumberFormat="0" applyBorder="0" applyAlignment="0" applyProtection="0">
      <alignment vertical="center"/>
    </xf>
    <xf numFmtId="0" fontId="17" fillId="34" borderId="0" applyNumberFormat="0" applyBorder="0" applyAlignment="0" applyProtection="0">
      <alignment vertical="center"/>
    </xf>
    <xf numFmtId="0" fontId="17" fillId="32" borderId="0" applyNumberFormat="0" applyBorder="0" applyAlignment="0" applyProtection="0">
      <alignment vertical="center"/>
    </xf>
    <xf numFmtId="0" fontId="16" fillId="30" borderId="0" applyNumberFormat="0" applyBorder="0" applyAlignment="0" applyProtection="0">
      <alignment vertical="center"/>
    </xf>
    <xf numFmtId="0" fontId="17" fillId="8" borderId="0" applyNumberFormat="0" applyBorder="0" applyAlignment="0" applyProtection="0">
      <alignment vertical="center"/>
    </xf>
  </cellStyleXfs>
  <cellXfs count="158">
    <xf numFmtId="0" fontId="0" fillId="0" borderId="0" xfId="0"/>
    <xf numFmtId="0" fontId="0" fillId="0" borderId="0" xfId="0" applyFont="1"/>
    <xf numFmtId="10" fontId="0" fillId="0" borderId="0" xfId="0" applyNumberFormat="1"/>
    <xf numFmtId="0" fontId="1" fillId="0" borderId="1" xfId="0" applyFont="1" applyBorder="1" applyAlignment="1">
      <alignment horizontal="center" vertical="center" wrapText="1"/>
    </xf>
    <xf numFmtId="0" fontId="2" fillId="0" borderId="1" xfId="0" applyFont="1" applyBorder="1" applyAlignment="1">
      <alignment horizontal="center" vertical="center" wrapText="1"/>
    </xf>
    <xf numFmtId="0" fontId="1" fillId="0" borderId="2" xfId="0" applyFont="1" applyBorder="1" applyAlignment="1">
      <alignment horizontal="center" vertical="center" wrapText="1"/>
    </xf>
    <xf numFmtId="0" fontId="2" fillId="0" borderId="2" xfId="0" applyFont="1" applyBorder="1" applyAlignment="1">
      <alignment horizontal="center" vertical="center" wrapText="1"/>
    </xf>
    <xf numFmtId="0" fontId="0" fillId="2" borderId="0" xfId="0" applyFill="1" applyAlignment="1">
      <alignment horizontal="center"/>
    </xf>
    <xf numFmtId="177" fontId="0" fillId="2" borderId="1" xfId="0" applyNumberFormat="1" applyFill="1" applyBorder="1" applyAlignment="1">
      <alignment horizontal="center" vertical="center" wrapText="1"/>
    </xf>
    <xf numFmtId="176" fontId="0" fillId="2" borderId="1" xfId="0" applyNumberFormat="1" applyFill="1" applyBorder="1" applyAlignment="1">
      <alignment horizontal="center" vertical="center" wrapText="1"/>
    </xf>
    <xf numFmtId="176" fontId="0" fillId="3" borderId="1" xfId="0" applyNumberFormat="1" applyFill="1" applyBorder="1" applyAlignment="1">
      <alignment horizontal="center" vertical="center" wrapText="1"/>
    </xf>
    <xf numFmtId="176" fontId="0" fillId="0" borderId="1" xfId="0" applyNumberFormat="1" applyBorder="1" applyAlignment="1">
      <alignment horizontal="center" vertical="center" wrapText="1"/>
    </xf>
    <xf numFmtId="176" fontId="0" fillId="2" borderId="3" xfId="0" applyNumberFormat="1" applyFill="1" applyBorder="1" applyAlignment="1">
      <alignment horizontal="center" vertical="center" wrapText="1"/>
    </xf>
    <xf numFmtId="0" fontId="0" fillId="2" borderId="1" xfId="0" applyFill="1" applyBorder="1" applyAlignment="1">
      <alignment horizontal="center"/>
    </xf>
    <xf numFmtId="177" fontId="0" fillId="2" borderId="4" xfId="0" applyNumberFormat="1" applyFill="1" applyBorder="1" applyAlignment="1">
      <alignment horizontal="center" vertical="center" wrapText="1"/>
    </xf>
    <xf numFmtId="176" fontId="0" fillId="2" borderId="4" xfId="0" applyNumberFormat="1" applyFill="1" applyBorder="1" applyAlignment="1">
      <alignment horizontal="center" vertical="center" wrapText="1"/>
    </xf>
    <xf numFmtId="0" fontId="0" fillId="2" borderId="4" xfId="0" applyFill="1" applyBorder="1" applyAlignment="1">
      <alignment horizontal="center"/>
    </xf>
    <xf numFmtId="176" fontId="0" fillId="2" borderId="5" xfId="0" applyNumberFormat="1" applyFill="1" applyBorder="1" applyAlignment="1">
      <alignment horizontal="center" vertical="center" wrapText="1"/>
    </xf>
    <xf numFmtId="176" fontId="0" fillId="3" borderId="5" xfId="0" applyNumberFormat="1" applyFill="1" applyBorder="1" applyAlignment="1">
      <alignment horizontal="center" vertical="center" wrapText="1"/>
    </xf>
    <xf numFmtId="176" fontId="0" fillId="3" borderId="2" xfId="0" applyNumberFormat="1" applyFill="1" applyBorder="1" applyAlignment="1">
      <alignment horizontal="center" vertical="center" wrapText="1"/>
    </xf>
    <xf numFmtId="176" fontId="0" fillId="3" borderId="3" xfId="0" applyNumberFormat="1" applyFill="1" applyBorder="1" applyAlignment="1">
      <alignment horizontal="center" vertical="center" wrapText="1"/>
    </xf>
    <xf numFmtId="176" fontId="0" fillId="0" borderId="1" xfId="0" applyNumberFormat="1" applyBorder="1"/>
    <xf numFmtId="0" fontId="0" fillId="2" borderId="1" xfId="0" applyFill="1" applyBorder="1"/>
    <xf numFmtId="10" fontId="0" fillId="0" borderId="1" xfId="0" applyNumberFormat="1" applyBorder="1"/>
    <xf numFmtId="176" fontId="0" fillId="0" borderId="5" xfId="0" applyNumberFormat="1" applyBorder="1"/>
    <xf numFmtId="0" fontId="0" fillId="2" borderId="5" xfId="0" applyFill="1" applyBorder="1"/>
    <xf numFmtId="10" fontId="0" fillId="0" borderId="5" xfId="0" applyNumberFormat="1" applyBorder="1"/>
    <xf numFmtId="176" fontId="0" fillId="0" borderId="2" xfId="0" applyNumberFormat="1" applyBorder="1"/>
    <xf numFmtId="0" fontId="0" fillId="2" borderId="2" xfId="0" applyFill="1" applyBorder="1"/>
    <xf numFmtId="10" fontId="0" fillId="0" borderId="2" xfId="0" applyNumberFormat="1" applyBorder="1"/>
    <xf numFmtId="176" fontId="0" fillId="0" borderId="3" xfId="0" applyNumberFormat="1" applyBorder="1"/>
    <xf numFmtId="0" fontId="0" fillId="2" borderId="3" xfId="0" applyFill="1" applyBorder="1"/>
    <xf numFmtId="10" fontId="0" fillId="0" borderId="3" xfId="0" applyNumberFormat="1" applyBorder="1"/>
    <xf numFmtId="0" fontId="0" fillId="4" borderId="0" xfId="0" applyFill="1" applyBorder="1" applyAlignment="1">
      <alignment horizontal="center" vertical="center" wrapText="1"/>
    </xf>
    <xf numFmtId="0" fontId="0" fillId="4" borderId="6" xfId="0" applyFill="1" applyBorder="1" applyAlignment="1">
      <alignment horizontal="center" vertical="center" wrapText="1"/>
    </xf>
    <xf numFmtId="177" fontId="0" fillId="0" borderId="1" xfId="0" applyNumberFormat="1" applyBorder="1" applyAlignment="1">
      <alignment horizontal="center" vertical="center" wrapText="1"/>
    </xf>
    <xf numFmtId="177" fontId="0" fillId="0" borderId="2" xfId="0" applyNumberFormat="1" applyBorder="1" applyAlignment="1">
      <alignment horizontal="center" vertical="center" wrapText="1"/>
    </xf>
    <xf numFmtId="177" fontId="0" fillId="0" borderId="3" xfId="0" applyNumberFormat="1" applyBorder="1" applyAlignment="1">
      <alignment horizontal="center" vertical="center" wrapText="1"/>
    </xf>
    <xf numFmtId="177" fontId="0" fillId="0" borderId="5" xfId="0" applyNumberFormat="1" applyBorder="1" applyAlignment="1">
      <alignment horizontal="center" vertical="center" wrapText="1"/>
    </xf>
    <xf numFmtId="0" fontId="0" fillId="0" borderId="0" xfId="0" applyAlignment="1">
      <alignment horizontal="center"/>
    </xf>
    <xf numFmtId="0" fontId="0" fillId="4" borderId="0" xfId="0" applyFill="1" applyAlignment="1">
      <alignment horizontal="center" vertical="center" wrapText="1"/>
    </xf>
    <xf numFmtId="0" fontId="2" fillId="0" borderId="1" xfId="0" applyFont="1" applyFill="1" applyBorder="1" applyAlignment="1">
      <alignment horizontal="center" vertical="center" wrapText="1"/>
    </xf>
    <xf numFmtId="178" fontId="0" fillId="0" borderId="1" xfId="0" applyNumberFormat="1" applyFont="1" applyBorder="1" applyAlignment="1">
      <alignment horizontal="center" vertical="center" wrapText="1"/>
    </xf>
    <xf numFmtId="177" fontId="0" fillId="0" borderId="1" xfId="0" applyNumberFormat="1" applyFont="1" applyBorder="1" applyAlignment="1">
      <alignment horizontal="center" vertical="center" wrapText="1"/>
    </xf>
    <xf numFmtId="178" fontId="0" fillId="0" borderId="2" xfId="0" applyNumberFormat="1" applyFont="1" applyBorder="1" applyAlignment="1">
      <alignment horizontal="center" vertical="center" wrapText="1"/>
    </xf>
    <xf numFmtId="177" fontId="0" fillId="0" borderId="2" xfId="0" applyNumberFormat="1" applyFont="1" applyBorder="1" applyAlignment="1">
      <alignment horizontal="center" vertical="center" wrapText="1"/>
    </xf>
    <xf numFmtId="178" fontId="0" fillId="0" borderId="5" xfId="0" applyNumberFormat="1" applyFont="1" applyBorder="1" applyAlignment="1">
      <alignment horizontal="center" vertical="center" wrapText="1"/>
    </xf>
    <xf numFmtId="177" fontId="0" fillId="0" borderId="5" xfId="0" applyNumberFormat="1" applyFont="1" applyBorder="1" applyAlignment="1">
      <alignment horizontal="center" vertical="center" wrapText="1"/>
    </xf>
    <xf numFmtId="0" fontId="2" fillId="0" borderId="7" xfId="0" applyFont="1" applyFill="1" applyBorder="1" applyAlignment="1">
      <alignment horizontal="center" vertical="center" wrapText="1"/>
    </xf>
    <xf numFmtId="0" fontId="2" fillId="0" borderId="8" xfId="0" applyFont="1" applyFill="1" applyBorder="1" applyAlignment="1">
      <alignment horizontal="center" vertical="center" wrapText="1"/>
    </xf>
    <xf numFmtId="0" fontId="2" fillId="0" borderId="9" xfId="0" applyFont="1" applyFill="1" applyBorder="1" applyAlignment="1">
      <alignment horizontal="center" vertical="center" wrapText="1"/>
    </xf>
    <xf numFmtId="176" fontId="0" fillId="0" borderId="1" xfId="0" applyNumberFormat="1" applyBorder="1" applyAlignment="1">
      <alignment horizontal="center" vertical="center"/>
    </xf>
    <xf numFmtId="176" fontId="0" fillId="0" borderId="2" xfId="0" applyNumberFormat="1" applyBorder="1" applyAlignment="1">
      <alignment horizontal="center" vertical="center"/>
    </xf>
    <xf numFmtId="176" fontId="0" fillId="0" borderId="1" xfId="0" applyNumberFormat="1" applyFill="1" applyBorder="1" applyAlignment="1">
      <alignment horizontal="center" vertical="center"/>
    </xf>
    <xf numFmtId="176" fontId="0" fillId="0" borderId="3" xfId="0" applyNumberFormat="1" applyFill="1" applyBorder="1" applyAlignment="1">
      <alignment horizontal="center" vertical="center"/>
    </xf>
    <xf numFmtId="176" fontId="0" fillId="0" borderId="2" xfId="0" applyNumberFormat="1" applyFill="1" applyBorder="1" applyAlignment="1">
      <alignment horizontal="center" vertical="center"/>
    </xf>
    <xf numFmtId="177" fontId="0" fillId="0" borderId="10" xfId="0" applyNumberFormat="1" applyFont="1" applyBorder="1" applyAlignment="1">
      <alignment horizontal="center" vertical="center" wrapText="1"/>
    </xf>
    <xf numFmtId="176" fontId="0" fillId="0" borderId="5" xfId="0" applyNumberFormat="1" applyFill="1" applyBorder="1" applyAlignment="1">
      <alignment horizontal="center" vertical="center"/>
    </xf>
    <xf numFmtId="0" fontId="2" fillId="0" borderId="3" xfId="0" applyFont="1" applyBorder="1" applyAlignment="1">
      <alignment horizontal="center" vertical="center" wrapText="1"/>
    </xf>
    <xf numFmtId="177" fontId="0" fillId="0" borderId="1" xfId="0" applyNumberFormat="1" applyFont="1" applyFill="1" applyBorder="1" applyAlignment="1">
      <alignment horizontal="center" vertical="center" wrapText="1"/>
    </xf>
    <xf numFmtId="176" fontId="0" fillId="0" borderId="1" xfId="0" applyNumberFormat="1" applyFont="1" applyFill="1" applyBorder="1" applyAlignment="1">
      <alignment horizontal="center" vertical="center" wrapText="1"/>
    </xf>
    <xf numFmtId="10" fontId="0" fillId="0" borderId="1" xfId="0" applyNumberFormat="1" applyFont="1" applyFill="1" applyBorder="1" applyAlignment="1">
      <alignment horizontal="center" vertical="center" wrapText="1"/>
    </xf>
    <xf numFmtId="177" fontId="0" fillId="0" borderId="4" xfId="0" applyNumberFormat="1" applyFont="1" applyBorder="1" applyAlignment="1">
      <alignment horizontal="center" vertical="center" wrapText="1"/>
    </xf>
    <xf numFmtId="177" fontId="0" fillId="0" borderId="4" xfId="0" applyNumberFormat="1" applyFont="1" applyFill="1" applyBorder="1" applyAlignment="1">
      <alignment horizontal="center" vertical="center" wrapText="1"/>
    </xf>
    <xf numFmtId="176" fontId="0" fillId="0" borderId="4" xfId="0" applyNumberFormat="1" applyFont="1" applyFill="1" applyBorder="1" applyAlignment="1">
      <alignment horizontal="center" vertical="center" wrapText="1"/>
    </xf>
    <xf numFmtId="10" fontId="0" fillId="0" borderId="4" xfId="0" applyNumberFormat="1" applyFont="1" applyFill="1" applyBorder="1" applyAlignment="1">
      <alignment horizontal="center" vertical="center" wrapText="1"/>
    </xf>
    <xf numFmtId="177" fontId="0" fillId="0" borderId="3" xfId="0" applyNumberFormat="1" applyFont="1" applyBorder="1" applyAlignment="1">
      <alignment horizontal="center" vertical="center" wrapText="1"/>
    </xf>
    <xf numFmtId="177" fontId="0" fillId="0" borderId="3" xfId="0" applyNumberFormat="1" applyFont="1" applyFill="1" applyBorder="1" applyAlignment="1">
      <alignment horizontal="center" vertical="center" wrapText="1"/>
    </xf>
    <xf numFmtId="176" fontId="0" fillId="0" borderId="3" xfId="0" applyNumberFormat="1" applyFont="1" applyFill="1" applyBorder="1" applyAlignment="1">
      <alignment horizontal="center" vertical="center" wrapText="1"/>
    </xf>
    <xf numFmtId="10" fontId="0" fillId="0" borderId="3" xfId="0" applyNumberFormat="1" applyFont="1" applyFill="1" applyBorder="1" applyAlignment="1">
      <alignment horizontal="center" vertical="center" wrapText="1"/>
    </xf>
    <xf numFmtId="0" fontId="0" fillId="0" borderId="0" xfId="0" applyFont="1" applyAlignment="1">
      <alignment horizontal="center"/>
    </xf>
    <xf numFmtId="0" fontId="0" fillId="0" borderId="0" xfId="0" applyAlignment="1">
      <alignment vertical="top"/>
    </xf>
    <xf numFmtId="0" fontId="3" fillId="0" borderId="7" xfId="0" applyFont="1" applyBorder="1" applyAlignment="1">
      <alignment horizontal="center" vertical="center" wrapText="1"/>
    </xf>
    <xf numFmtId="0" fontId="3" fillId="0" borderId="9" xfId="0" applyFont="1" applyBorder="1" applyAlignment="1">
      <alignment horizontal="center" vertical="center" wrapText="1"/>
    </xf>
    <xf numFmtId="0" fontId="3" fillId="0" borderId="2" xfId="0" applyFont="1" applyBorder="1" applyAlignment="1">
      <alignment horizontal="center" vertical="center" wrapText="1"/>
    </xf>
    <xf numFmtId="0" fontId="3" fillId="0" borderId="1" xfId="0" applyFont="1" applyBorder="1" applyAlignment="1">
      <alignment horizontal="center" vertical="center" wrapText="1"/>
    </xf>
    <xf numFmtId="0" fontId="3" fillId="0" borderId="3" xfId="0" applyFont="1" applyBorder="1" applyAlignment="1">
      <alignment horizontal="center" vertical="center" wrapText="1"/>
    </xf>
    <xf numFmtId="0" fontId="0" fillId="2" borderId="0" xfId="0" applyFill="1"/>
    <xf numFmtId="0" fontId="4" fillId="2" borderId="11" xfId="0" applyFont="1" applyFill="1" applyBorder="1" applyAlignment="1">
      <alignment horizontal="center" vertical="center" wrapText="1"/>
    </xf>
    <xf numFmtId="0" fontId="0" fillId="5" borderId="0" xfId="0" applyFill="1" applyAlignment="1">
      <alignment horizontal="center"/>
    </xf>
    <xf numFmtId="0" fontId="0" fillId="5" borderId="12" xfId="0" applyFill="1" applyBorder="1" applyAlignment="1">
      <alignment horizontal="center" vertical="center"/>
    </xf>
    <xf numFmtId="10" fontId="0" fillId="5" borderId="12" xfId="0" applyNumberFormat="1" applyFill="1" applyBorder="1" applyAlignment="1">
      <alignment horizontal="center" vertical="center"/>
    </xf>
    <xf numFmtId="0" fontId="4" fillId="2" borderId="13" xfId="0" applyFont="1" applyFill="1" applyBorder="1" applyAlignment="1">
      <alignment horizontal="center" vertical="center" wrapText="1"/>
    </xf>
    <xf numFmtId="0" fontId="0" fillId="5" borderId="0" xfId="0" applyFill="1" applyAlignment="1">
      <alignment horizontal="center" vertical="center"/>
    </xf>
    <xf numFmtId="10" fontId="0" fillId="5" borderId="0" xfId="0" applyNumberFormat="1" applyFill="1" applyAlignment="1">
      <alignment horizontal="center" vertical="center"/>
    </xf>
    <xf numFmtId="0" fontId="4" fillId="2" borderId="14" xfId="0" applyFont="1" applyFill="1" applyBorder="1" applyAlignment="1">
      <alignment horizontal="center" vertical="center" wrapText="1"/>
    </xf>
    <xf numFmtId="0" fontId="5" fillId="0" borderId="0" xfId="0" applyFont="1"/>
    <xf numFmtId="2" fontId="6" fillId="2" borderId="1" xfId="0" applyNumberFormat="1" applyFont="1" applyFill="1" applyBorder="1" applyAlignment="1">
      <alignment horizontal="center" vertical="center"/>
    </xf>
    <xf numFmtId="0" fontId="7" fillId="2" borderId="0" xfId="0" applyFont="1" applyFill="1"/>
    <xf numFmtId="0" fontId="0" fillId="5" borderId="0" xfId="0" applyFill="1"/>
    <xf numFmtId="2" fontId="6" fillId="5" borderId="1" xfId="0" applyNumberFormat="1" applyFont="1" applyFill="1" applyBorder="1" applyAlignment="1">
      <alignment horizontal="center" vertical="center"/>
    </xf>
    <xf numFmtId="0" fontId="7" fillId="5" borderId="0" xfId="0" applyFont="1" applyFill="1"/>
    <xf numFmtId="2" fontId="0" fillId="5" borderId="0" xfId="0" applyNumberFormat="1" applyFill="1"/>
    <xf numFmtId="0" fontId="0" fillId="4" borderId="0" xfId="0" applyFont="1" applyFill="1" applyBorder="1" applyAlignment="1">
      <alignment horizontal="center" vertical="center" wrapText="1"/>
    </xf>
    <xf numFmtId="0" fontId="0" fillId="0" borderId="0" xfId="0" applyAlignment="1">
      <alignment horizontal="center" vertical="center" wrapText="1"/>
    </xf>
    <xf numFmtId="0" fontId="0" fillId="0" borderId="6" xfId="0" applyBorder="1" applyAlignment="1">
      <alignment horizontal="center" vertical="center" wrapText="1"/>
    </xf>
    <xf numFmtId="177" fontId="7" fillId="2" borderId="0" xfId="0" applyNumberFormat="1" applyFont="1" applyFill="1"/>
    <xf numFmtId="177" fontId="0" fillId="5" borderId="1" xfId="0" applyNumberFormat="1" applyFill="1" applyBorder="1" applyAlignment="1">
      <alignment horizontal="center" vertical="center" wrapText="1"/>
    </xf>
    <xf numFmtId="176" fontId="0" fillId="5" borderId="1" xfId="0" applyNumberFormat="1" applyFont="1" applyFill="1" applyBorder="1" applyAlignment="1">
      <alignment horizontal="center" vertical="center" wrapText="1"/>
    </xf>
    <xf numFmtId="177" fontId="0" fillId="5" borderId="2" xfId="0" applyNumberFormat="1" applyFill="1" applyBorder="1" applyAlignment="1">
      <alignment horizontal="center" vertical="center" wrapText="1"/>
    </xf>
    <xf numFmtId="177" fontId="0" fillId="5" borderId="3" xfId="0" applyNumberFormat="1" applyFill="1" applyBorder="1" applyAlignment="1">
      <alignment horizontal="center" vertical="center" wrapText="1"/>
    </xf>
    <xf numFmtId="177" fontId="7" fillId="5" borderId="0" xfId="0" applyNumberFormat="1" applyFont="1" applyFill="1"/>
    <xf numFmtId="178" fontId="0" fillId="5" borderId="1" xfId="0" applyNumberFormat="1" applyFont="1" applyFill="1" applyBorder="1" applyAlignment="1">
      <alignment horizontal="center" vertical="center" wrapText="1"/>
    </xf>
    <xf numFmtId="178" fontId="0" fillId="5" borderId="2" xfId="0" applyNumberFormat="1" applyFont="1" applyFill="1" applyBorder="1" applyAlignment="1">
      <alignment horizontal="center" vertical="center" wrapText="1"/>
    </xf>
    <xf numFmtId="176" fontId="0" fillId="5" borderId="2" xfId="0" applyNumberFormat="1" applyFont="1" applyFill="1" applyBorder="1" applyAlignment="1">
      <alignment horizontal="center" vertical="center" wrapText="1"/>
    </xf>
    <xf numFmtId="177" fontId="0" fillId="5" borderId="5" xfId="0" applyNumberFormat="1" applyFill="1" applyBorder="1" applyAlignment="1">
      <alignment horizontal="center" vertical="center" wrapText="1"/>
    </xf>
    <xf numFmtId="178" fontId="0" fillId="5" borderId="5" xfId="0" applyNumberFormat="1" applyFont="1" applyFill="1" applyBorder="1" applyAlignment="1">
      <alignment horizontal="center" vertical="center" wrapText="1"/>
    </xf>
    <xf numFmtId="176" fontId="0" fillId="5" borderId="5" xfId="0" applyNumberFormat="1" applyFont="1" applyFill="1" applyBorder="1" applyAlignment="1">
      <alignment horizontal="center" vertical="center" wrapText="1"/>
    </xf>
    <xf numFmtId="0" fontId="0" fillId="0" borderId="0" xfId="0" applyFill="1" applyAlignment="1">
      <alignment horizontal="center" vertical="center" wrapText="1"/>
    </xf>
    <xf numFmtId="0" fontId="0" fillId="0" borderId="6" xfId="0" applyFill="1" applyBorder="1" applyAlignment="1">
      <alignment horizontal="center" vertical="center" wrapText="1"/>
    </xf>
    <xf numFmtId="176" fontId="0" fillId="5" borderId="1" xfId="0" applyNumberFormat="1" applyFill="1" applyBorder="1" applyAlignment="1">
      <alignment horizontal="center" vertical="center" wrapText="1"/>
    </xf>
    <xf numFmtId="176" fontId="0" fillId="5" borderId="1" xfId="0" applyNumberFormat="1" applyFill="1" applyBorder="1" applyAlignment="1">
      <alignment horizontal="center" vertical="center"/>
    </xf>
    <xf numFmtId="176" fontId="0" fillId="5" borderId="2" xfId="0" applyNumberFormat="1" applyFill="1" applyBorder="1" applyAlignment="1">
      <alignment horizontal="center" vertical="center"/>
    </xf>
    <xf numFmtId="176" fontId="0" fillId="5" borderId="3" xfId="0" applyNumberFormat="1" applyFill="1" applyBorder="1" applyAlignment="1">
      <alignment horizontal="center" vertical="center"/>
    </xf>
    <xf numFmtId="176" fontId="0" fillId="5" borderId="10" xfId="0" applyNumberFormat="1" applyFont="1" applyFill="1" applyBorder="1" applyAlignment="1">
      <alignment horizontal="center" vertical="center" wrapText="1"/>
    </xf>
    <xf numFmtId="176" fontId="0" fillId="5" borderId="5" xfId="0" applyNumberFormat="1" applyFill="1" applyBorder="1" applyAlignment="1">
      <alignment horizontal="center" vertical="center"/>
    </xf>
    <xf numFmtId="177" fontId="0" fillId="5" borderId="1" xfId="0" applyNumberFormat="1" applyFont="1" applyFill="1" applyBorder="1" applyAlignment="1">
      <alignment horizontal="center" vertical="center" wrapText="1"/>
    </xf>
    <xf numFmtId="10" fontId="0" fillId="5" borderId="1" xfId="0" applyNumberFormat="1" applyFont="1" applyFill="1" applyBorder="1" applyAlignment="1">
      <alignment horizontal="center" vertical="center" wrapText="1"/>
    </xf>
    <xf numFmtId="177" fontId="0" fillId="5" borderId="4" xfId="0" applyNumberFormat="1" applyFont="1" applyFill="1" applyBorder="1" applyAlignment="1">
      <alignment horizontal="center" vertical="center" wrapText="1"/>
    </xf>
    <xf numFmtId="176" fontId="0" fillId="5" borderId="4" xfId="0" applyNumberFormat="1" applyFont="1" applyFill="1" applyBorder="1" applyAlignment="1">
      <alignment horizontal="center" vertical="center" wrapText="1"/>
    </xf>
    <xf numFmtId="10" fontId="0" fillId="5" borderId="4" xfId="0" applyNumberFormat="1" applyFont="1" applyFill="1" applyBorder="1" applyAlignment="1">
      <alignment horizontal="center" vertical="center" wrapText="1"/>
    </xf>
    <xf numFmtId="177" fontId="0" fillId="5" borderId="3" xfId="0" applyNumberFormat="1" applyFont="1" applyFill="1" applyBorder="1" applyAlignment="1">
      <alignment horizontal="center" vertical="center" wrapText="1"/>
    </xf>
    <xf numFmtId="176" fontId="0" fillId="5" borderId="3" xfId="0" applyNumberFormat="1" applyFont="1" applyFill="1" applyBorder="1" applyAlignment="1">
      <alignment horizontal="center" vertical="center" wrapText="1"/>
    </xf>
    <xf numFmtId="10" fontId="0" fillId="5" borderId="3" xfId="0" applyNumberFormat="1" applyFont="1" applyFill="1" applyBorder="1" applyAlignment="1">
      <alignment horizontal="center" vertical="center" wrapText="1"/>
    </xf>
    <xf numFmtId="0" fontId="0" fillId="0" borderId="0" xfId="0" applyAlignment="1">
      <alignment horizontal="left"/>
    </xf>
    <xf numFmtId="176" fontId="8" fillId="2" borderId="1" xfId="0" applyNumberFormat="1" applyFont="1" applyFill="1" applyBorder="1" applyAlignment="1">
      <alignment horizontal="center" vertical="center" wrapText="1"/>
    </xf>
    <xf numFmtId="0" fontId="0" fillId="5" borderId="1" xfId="0" applyFill="1" applyBorder="1"/>
    <xf numFmtId="176" fontId="8" fillId="5" borderId="1" xfId="0" applyNumberFormat="1" applyFont="1" applyFill="1" applyBorder="1" applyAlignment="1">
      <alignment horizontal="center" vertical="center" wrapText="1"/>
    </xf>
    <xf numFmtId="176" fontId="0" fillId="5" borderId="5" xfId="0" applyNumberFormat="1" applyFill="1" applyBorder="1" applyAlignment="1">
      <alignment horizontal="center" vertical="center" wrapText="1"/>
    </xf>
    <xf numFmtId="176" fontId="0" fillId="5" borderId="3" xfId="0" applyNumberFormat="1" applyFill="1" applyBorder="1" applyAlignment="1">
      <alignment horizontal="center" vertical="center" wrapText="1"/>
    </xf>
    <xf numFmtId="0" fontId="6" fillId="5" borderId="1" xfId="0" applyFont="1" applyFill="1" applyBorder="1" applyAlignment="1">
      <alignment horizontal="center" vertical="center"/>
    </xf>
    <xf numFmtId="176" fontId="8" fillId="5" borderId="2" xfId="0" applyNumberFormat="1" applyFont="1" applyFill="1" applyBorder="1" applyAlignment="1">
      <alignment horizontal="center" vertical="center" wrapText="1"/>
    </xf>
    <xf numFmtId="0" fontId="0" fillId="4" borderId="0" xfId="0" applyNumberFormat="1" applyFill="1" applyAlignment="1">
      <alignment horizontal="center" vertical="center" wrapText="1"/>
    </xf>
    <xf numFmtId="176" fontId="0" fillId="5" borderId="1" xfId="0" applyNumberFormat="1" applyFill="1" applyBorder="1"/>
    <xf numFmtId="0" fontId="1" fillId="0" borderId="3" xfId="0" applyFont="1" applyBorder="1" applyAlignment="1">
      <alignment horizontal="center" vertical="center" wrapText="1"/>
    </xf>
    <xf numFmtId="0" fontId="2" fillId="0" borderId="15" xfId="0" applyFont="1" applyBorder="1" applyAlignment="1">
      <alignment horizontal="center" vertical="center" wrapText="1"/>
    </xf>
    <xf numFmtId="10" fontId="0" fillId="5" borderId="1" xfId="0" applyNumberFormat="1" applyFill="1" applyBorder="1"/>
    <xf numFmtId="176" fontId="0" fillId="0" borderId="0" xfId="0" applyNumberFormat="1"/>
    <xf numFmtId="176" fontId="0" fillId="5" borderId="5" xfId="0" applyNumberFormat="1" applyFill="1" applyBorder="1"/>
    <xf numFmtId="0" fontId="0" fillId="5" borderId="5" xfId="0" applyFill="1" applyBorder="1"/>
    <xf numFmtId="10" fontId="0" fillId="5" borderId="5" xfId="0" applyNumberFormat="1" applyFill="1" applyBorder="1"/>
    <xf numFmtId="176" fontId="0" fillId="5" borderId="2" xfId="0" applyNumberFormat="1" applyFill="1" applyBorder="1"/>
    <xf numFmtId="0" fontId="0" fillId="5" borderId="2" xfId="0" applyFill="1" applyBorder="1"/>
    <xf numFmtId="10" fontId="0" fillId="5" borderId="2" xfId="0" applyNumberFormat="1" applyFill="1" applyBorder="1"/>
    <xf numFmtId="176" fontId="0" fillId="5" borderId="3" xfId="0" applyNumberFormat="1" applyFill="1" applyBorder="1"/>
    <xf numFmtId="0" fontId="0" fillId="5" borderId="3" xfId="0" applyFill="1" applyBorder="1"/>
    <xf numFmtId="10" fontId="0" fillId="5" borderId="3" xfId="0" applyNumberFormat="1" applyFill="1" applyBorder="1"/>
    <xf numFmtId="176" fontId="0" fillId="5" borderId="2" xfId="0" applyNumberFormat="1" applyFill="1" applyBorder="1" applyAlignment="1">
      <alignment horizontal="center" vertical="center" wrapText="1"/>
    </xf>
    <xf numFmtId="176" fontId="0" fillId="0" borderId="0" xfId="0" applyNumberFormat="1" applyFont="1"/>
    <xf numFmtId="14" fontId="0" fillId="0" borderId="0" xfId="0" applyNumberFormat="1"/>
    <xf numFmtId="0" fontId="9" fillId="0" borderId="0" xfId="0" applyFont="1" applyAlignment="1">
      <alignment horizontal="center"/>
    </xf>
    <xf numFmtId="0" fontId="10" fillId="0" borderId="0" xfId="0" applyFont="1" applyAlignment="1">
      <alignment horizontal="center"/>
    </xf>
    <xf numFmtId="49" fontId="11" fillId="0" borderId="0" xfId="0" applyNumberFormat="1" applyFont="1" applyFill="1" applyBorder="1" applyAlignment="1" applyProtection="1">
      <alignment vertical="center" wrapText="1"/>
      <protection hidden="1"/>
    </xf>
    <xf numFmtId="49" fontId="12" fillId="0" borderId="0" xfId="0" applyNumberFormat="1" applyFont="1" applyFill="1" applyBorder="1" applyAlignment="1">
      <alignment horizontal="center" vertical="center"/>
    </xf>
    <xf numFmtId="49" fontId="13" fillId="0" borderId="0" xfId="0" applyNumberFormat="1" applyFont="1" applyFill="1" applyBorder="1" applyAlignment="1">
      <alignment horizontal="center" vertical="center"/>
    </xf>
    <xf numFmtId="49" fontId="14" fillId="0" borderId="0" xfId="0" applyNumberFormat="1" applyFont="1" applyFill="1" applyBorder="1" applyAlignment="1" applyProtection="1">
      <alignment vertical="center" wrapText="1"/>
      <protection hidden="1"/>
    </xf>
    <xf numFmtId="49" fontId="0" fillId="0" borderId="0" xfId="0" applyNumberFormat="1"/>
    <xf numFmtId="0" fontId="0" fillId="0" borderId="0" xfId="0" applyNumberFormat="1"/>
  </cellXfs>
  <cellStyles count="49">
    <cellStyle name="常规" xfId="0" builtinId="0"/>
    <cellStyle name="货币[0]" xfId="1" builtinId="7"/>
    <cellStyle name="20% - 强调文字颜色 3" xfId="2" builtinId="38"/>
    <cellStyle name="输入" xfId="3" builtinId="20"/>
    <cellStyle name="货币" xfId="4" builtinId="4"/>
    <cellStyle name="千位分隔[0]" xfId="5" builtinId="6"/>
    <cellStyle name="40% - 强调文字颜色 3" xfId="6" builtinId="39"/>
    <cellStyle name="差" xfId="7" builtinId="27"/>
    <cellStyle name="千位分隔" xfId="8" builtinId="3"/>
    <cellStyle name="60% - 强调文字颜色 3" xfId="9" builtinId="40"/>
    <cellStyle name="超链接" xfId="10" builtinId="8"/>
    <cellStyle name="百分比" xfId="11" builtinId="5"/>
    <cellStyle name="已访问的超链接" xfId="12" builtinId="9"/>
    <cellStyle name="注释" xfId="13" builtinId="10"/>
    <cellStyle name="60% - 强调文字颜色 2" xfId="14" builtinId="36"/>
    <cellStyle name="标题 4" xfId="15" builtinId="19"/>
    <cellStyle name="警告文本" xfId="16" builtinId="11"/>
    <cellStyle name="标题" xfId="17" builtinId="15"/>
    <cellStyle name="解释性文本" xfId="18" builtinId="53"/>
    <cellStyle name="标题 1" xfId="19" builtinId="16"/>
    <cellStyle name="标题 2" xfId="20" builtinId="17"/>
    <cellStyle name="60% - 强调文字颜色 1" xfId="21" builtinId="32"/>
    <cellStyle name="标题 3" xfId="22" builtinId="18"/>
    <cellStyle name="60% - 强调文字颜色 4" xfId="23" builtinId="44"/>
    <cellStyle name="输出" xfId="24" builtinId="21"/>
    <cellStyle name="计算" xfId="25" builtinId="22"/>
    <cellStyle name="检查单元格" xfId="26" builtinId="23"/>
    <cellStyle name="20% - 强调文字颜色 6" xfId="27" builtinId="50"/>
    <cellStyle name="强调文字颜色 2" xfId="28" builtinId="33"/>
    <cellStyle name="链接单元格" xfId="29" builtinId="24"/>
    <cellStyle name="汇总" xfId="30" builtinId="25"/>
    <cellStyle name="好" xfId="31" builtinId="26"/>
    <cellStyle name="适中" xfId="32" builtinId="28"/>
    <cellStyle name="20% - 强调文字颜色 5" xfId="33" builtinId="46"/>
    <cellStyle name="强调文字颜色 1" xfId="34" builtinId="29"/>
    <cellStyle name="20% - 强调文字颜色 1" xfId="35" builtinId="30"/>
    <cellStyle name="40% - 强调文字颜色 1" xfId="36" builtinId="31"/>
    <cellStyle name="20% - 强调文字颜色 2" xfId="37" builtinId="34"/>
    <cellStyle name="40% - 强调文字颜色 2" xfId="38" builtinId="35"/>
    <cellStyle name="强调文字颜色 3" xfId="39" builtinId="37"/>
    <cellStyle name="强调文字颜色 4" xfId="40" builtinId="41"/>
    <cellStyle name="20% - 强调文字颜色 4" xfId="41" builtinId="42"/>
    <cellStyle name="40% - 强调文字颜色 4" xfId="42" builtinId="43"/>
    <cellStyle name="强调文字颜色 5" xfId="43" builtinId="45"/>
    <cellStyle name="40% - 强调文字颜色 5" xfId="44" builtinId="47"/>
    <cellStyle name="60% - 强调文字颜色 5" xfId="45" builtinId="48"/>
    <cellStyle name="强调文字颜色 6" xfId="46" builtinId="49"/>
    <cellStyle name="40% - 强调文字颜色 6" xfId="47" builtinId="51"/>
    <cellStyle name="60% - 强调文字颜色 6" xfId="48" builtinId="52"/>
  </cellStyle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9" Type="http://schemas.openxmlformats.org/officeDocument/2006/relationships/worksheet" Target="worksheets/sheet9.xml"/><Relationship Id="rId8" Type="http://schemas.openxmlformats.org/officeDocument/2006/relationships/worksheet" Target="worksheets/sheet8.xml"/><Relationship Id="rId7" Type="http://schemas.openxmlformats.org/officeDocument/2006/relationships/worksheet" Target="worksheets/sheet7.xml"/><Relationship Id="rId6" Type="http://schemas.openxmlformats.org/officeDocument/2006/relationships/worksheet" Target="worksheets/sheet6.xml"/><Relationship Id="rId5" Type="http://schemas.openxmlformats.org/officeDocument/2006/relationships/worksheet" Target="worksheets/sheet5.xml"/><Relationship Id="rId4" Type="http://schemas.openxmlformats.org/officeDocument/2006/relationships/worksheet" Target="worksheets/sheet4.xml"/><Relationship Id="rId3" Type="http://schemas.openxmlformats.org/officeDocument/2006/relationships/worksheet" Target="worksheets/sheet3.xml"/><Relationship Id="rId2" Type="http://schemas.openxmlformats.org/officeDocument/2006/relationships/worksheet" Target="worksheets/sheet2.xml"/><Relationship Id="rId16" Type="http://schemas.microsoft.com/office/2006/relationships/vbaProject" Target="vbaProject.bin"/><Relationship Id="rId15" Type="http://schemas.openxmlformats.org/officeDocument/2006/relationships/sharedStrings" Target="sharedStrings.xml"/><Relationship Id="rId14" Type="http://schemas.openxmlformats.org/officeDocument/2006/relationships/styles" Target="styles.xml"/><Relationship Id="rId13" Type="http://schemas.openxmlformats.org/officeDocument/2006/relationships/theme" Target="theme/theme1.xml"/><Relationship Id="rId12" Type="http://schemas.openxmlformats.org/officeDocument/2006/relationships/worksheet" Target="worksheets/sheet12.xml"/><Relationship Id="rId11" Type="http://schemas.openxmlformats.org/officeDocument/2006/relationships/worksheet" Target="worksheets/sheet11.xml"/><Relationship Id="rId10" Type="http://schemas.openxmlformats.org/officeDocument/2006/relationships/worksheet" Target="worksheets/sheet10.xml"/><Relationship Id="rId1" Type="http://schemas.openxmlformats.org/officeDocument/2006/relationships/worksheet" Target="worksheets/sheet1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4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_rels/chart5.xml.rels><?xml version="1.0" encoding="UTF-8" standalone="yes"?>
<Relationships xmlns="http://schemas.openxmlformats.org/package/2006/relationships"><Relationship Id="rId2" Type="http://schemas.microsoft.com/office/2011/relationships/chartColorStyle" Target="colors5.xml"/><Relationship Id="rId1" Type="http://schemas.microsoft.com/office/2011/relationships/chartStyle" Target="style5.xml"/></Relationships>
</file>

<file path=xl/charts/_rels/chart6.xml.rels><?xml version="1.0" encoding="UTF-8" standalone="yes"?>
<Relationships xmlns="http://schemas.openxmlformats.org/package/2006/relationships"><Relationship Id="rId2" Type="http://schemas.microsoft.com/office/2011/relationships/chartColorStyle" Target="colors6.xml"/><Relationship Id="rId1" Type="http://schemas.microsoft.com/office/2011/relationships/chartStyle" Target="style6.xml"/></Relationships>
</file>

<file path=xl/charts/_rels/chart7.xml.rels><?xml version="1.0" encoding="UTF-8" standalone="yes"?>
<Relationships xmlns="http://schemas.openxmlformats.org/package/2006/relationships"><Relationship Id="rId2" Type="http://schemas.microsoft.com/office/2011/relationships/chartColorStyle" Target="colors7.xml"/><Relationship Id="rId1" Type="http://schemas.microsoft.com/office/2011/relationships/chartStyle" Target="style7.xml"/></Relationships>
</file>

<file path=xl/charts/_rels/chart8.xml.rels><?xml version="1.0" encoding="UTF-8" standalone="yes"?>
<Relationships xmlns="http://schemas.openxmlformats.org/package/2006/relationships"><Relationship Id="rId2" Type="http://schemas.microsoft.com/office/2011/relationships/chartColorStyle" Target="colors8.xml"/><Relationship Id="rId1" Type="http://schemas.microsoft.com/office/2011/relationships/chartStyle" Target="style8.xml"/></Relationships>
</file>

<file path=xl/charts/_rels/chart9.xml.rels><?xml version="1.0" encoding="UTF-8" standalone="yes"?>
<Relationships xmlns="http://schemas.openxmlformats.org/package/2006/relationships"><Relationship Id="rId2" Type="http://schemas.microsoft.com/office/2011/relationships/chartColorStyle" Target="colors9.xml"/><Relationship Id="rId1" Type="http://schemas.microsoft.com/office/2011/relationships/chartStyle" Target="style9.xml"/></Relationships>
</file>

<file path=xl/charts/_rels/chart10.xml.rels><?xml version="1.0" encoding="UTF-8" standalone="yes"?>
<Relationships xmlns="http://schemas.openxmlformats.org/package/2006/relationships"><Relationship Id="rId2" Type="http://schemas.microsoft.com/office/2011/relationships/chartColorStyle" Target="colors10.xml"/><Relationship Id="rId1" Type="http://schemas.microsoft.com/office/2011/relationships/chartStyle" Target="style10.xml"/></Relationships>
</file>

<file path=xl/charts/_rels/chart11.xml.rels><?xml version="1.0" encoding="UTF-8" standalone="yes"?>
<Relationships xmlns="http://schemas.openxmlformats.org/package/2006/relationships"><Relationship Id="rId2" Type="http://schemas.microsoft.com/office/2011/relationships/chartColorStyle" Target="colors11.xml"/><Relationship Id="rId1" Type="http://schemas.microsoft.com/office/2011/relationships/chartStyle" Target="style1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zh-CN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"理论值"</c:f>
              <c:strCache>
                <c:ptCount val="1"/>
                <c:pt idx="0">
                  <c:v>理论值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dLbls>
            <c:delete val="1"/>
          </c:dLbls>
          <c:cat>
            <c:strRef>
              <c:f>挠度!$B$13:$B$14</c:f>
              <c:strCache>
                <c:ptCount val="2"/>
                <c:pt idx="0" c:formatCode="0.00">
                  <c:v>A1</c:v>
                </c:pt>
                <c:pt idx="1" c:formatCode="0.00">
                  <c:v>A2</c:v>
                </c:pt>
              </c:strCache>
            </c:strRef>
          </c:cat>
          <c:val>
            <c:numRef>
              <c:f>挠度!$F$13:$F$14</c:f>
              <c:numCache>
                <c:formatCode>0.00_ </c:formatCode>
                <c:ptCount val="2"/>
                <c:pt idx="0">
                  <c:v>14</c:v>
                </c:pt>
                <c:pt idx="1">
                  <c:v>14</c:v>
                </c:pt>
              </c:numCache>
            </c:numRef>
          </c:val>
          <c:smooth val="0"/>
        </c:ser>
        <c:ser>
          <c:idx val="1"/>
          <c:order val="1"/>
          <c:tx>
            <c:strRef>
              <c:f>"实测值"</c:f>
              <c:strCache>
                <c:ptCount val="1"/>
                <c:pt idx="0">
                  <c:v>实测值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dLbls>
            <c:delete val="1"/>
          </c:dLbls>
          <c:cat>
            <c:strRef>
              <c:f>挠度!$B$13:$B$14</c:f>
              <c:strCache>
                <c:ptCount val="2"/>
                <c:pt idx="0" c:formatCode="0.00">
                  <c:v>A1</c:v>
                </c:pt>
                <c:pt idx="1" c:formatCode="0.00">
                  <c:v>A2</c:v>
                </c:pt>
              </c:strCache>
            </c:strRef>
          </c:cat>
          <c:val>
            <c:numRef>
              <c:f>挠度!$Q$13:$Q$14</c:f>
              <c:numCache>
                <c:formatCode>0.00_ </c:formatCode>
                <c:ptCount val="2"/>
                <c:pt idx="0">
                  <c:v>13.61</c:v>
                </c:pt>
                <c:pt idx="1">
                  <c:v>10.39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15635526"/>
        <c:axId val="732655466"/>
      </c:lineChart>
      <c:catAx>
        <c:axId val="415635526"/>
        <c:scaling>
          <c:orientation val="minMax"/>
        </c:scaling>
        <c:delete val="0"/>
        <c:axPos val="b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0" vertOverflow="ellipsis" vert="horz" wrap="square" anchor="ctr" anchorCtr="1"/>
          <a:lstStyle/>
          <a:p>
            <a:pPr>
              <a:defRPr lang="zh-CN"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</a:p>
        </c:txPr>
        <c:crossAx val="732655466"/>
        <c:crosses val="autoZero"/>
        <c:auto val="1"/>
        <c:lblAlgn val="ctr"/>
        <c:lblOffset val="100"/>
        <c:noMultiLvlLbl val="0"/>
      </c:catAx>
      <c:valAx>
        <c:axId val="73265546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0" vertOverflow="ellipsis" vert="horz" wrap="square" anchor="ctr" anchorCtr="1"/>
              <a:lstStyle/>
              <a:p>
                <a:pPr defTabSz="914400">
                  <a:defRPr lang="zh-CN"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t>挠度值（mm）</a:t>
                </a:r>
              </a:p>
            </c:rich>
          </c:tx>
          <c:layout/>
          <c:overlay val="0"/>
          <c:spPr>
            <a:noFill/>
            <a:ln>
              <a:noFill/>
            </a:ln>
            <a:effectLst/>
          </c:spPr>
        </c:title>
        <c:numFmt formatCode="#,##0.00_ 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0" vertOverflow="ellipsis" vert="horz" wrap="square" anchor="ctr" anchorCtr="1"/>
          <a:lstStyle/>
          <a:p>
            <a:pPr>
              <a:defRPr lang="zh-CN"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</a:p>
        </c:txPr>
        <c:crossAx val="415635526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layout/>
      <c:overlay val="0"/>
      <c:spPr>
        <a:noFill/>
        <a:ln>
          <a:noFill/>
        </a:ln>
        <a:effectLst/>
      </c:spPr>
      <c:txPr>
        <a:bodyPr rot="0" spcFirstLastPara="0" vertOverflow="ellipsis" vert="horz" wrap="square" anchor="ctr" anchorCtr="1"/>
        <a:lstStyle/>
        <a:p>
          <a:pPr>
            <a:defRPr lang="zh-CN"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 lang="zh-CN"/>
      </a:pPr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zh-CN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"理论值"</c:f>
              <c:strCache>
                <c:ptCount val="1"/>
                <c:pt idx="0">
                  <c:v>理论值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dLbls>
            <c:delete val="1"/>
          </c:dLbls>
          <c:val>
            <c:numRef>
              <c:f>(挠度!$F$15,挠度!$Q$15)</c:f>
              <c:numCache>
                <c:formatCode>0.00_ </c:formatCode>
                <c:ptCount val="2"/>
                <c:pt idx="0">
                  <c:v>12</c:v>
                </c:pt>
                <c:pt idx="1">
                  <c:v>11.51</c:v>
                </c:pt>
              </c:numCache>
            </c:numRef>
          </c:val>
          <c:smooth val="0"/>
        </c:ser>
        <c:ser>
          <c:idx val="1"/>
          <c:order val="1"/>
          <c:tx>
            <c:strRef>
              <c:f>"实测值"</c:f>
              <c:strCache>
                <c:ptCount val="1"/>
                <c:pt idx="0">
                  <c:v>实测值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dLbls>
            <c:delete val="1"/>
          </c:dLbls>
          <c:val>
            <c:numRef>
              <c:f>(挠度!$F$16,挠度!$Q$16)</c:f>
              <c:numCache>
                <c:formatCode>0.00_ </c:formatCode>
                <c:ptCount val="2"/>
                <c:pt idx="0">
                  <c:v>12</c:v>
                </c:pt>
                <c:pt idx="1">
                  <c:v>9.91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837066207"/>
        <c:axId val="237961313"/>
      </c:lineChart>
      <c:catAx>
        <c:axId val="837066207"/>
        <c:scaling>
          <c:orientation val="minMax"/>
        </c:scaling>
        <c:delete val="0"/>
        <c:axPos val="b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0" vertOverflow="ellipsis" vert="horz" wrap="square" anchor="ctr" anchorCtr="1"/>
          <a:lstStyle/>
          <a:p>
            <a:pPr>
              <a:defRPr lang="zh-CN"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</a:p>
        </c:txPr>
        <c:crossAx val="237961313"/>
        <c:crosses val="autoZero"/>
        <c:auto val="1"/>
        <c:lblAlgn val="ctr"/>
        <c:lblOffset val="100"/>
        <c:noMultiLvlLbl val="0"/>
      </c:catAx>
      <c:valAx>
        <c:axId val="237961313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0" vertOverflow="ellipsis" vert="horz" wrap="square" anchor="ctr" anchorCtr="1"/>
              <a:lstStyle/>
              <a:p>
                <a:pPr defTabSz="914400">
                  <a:defRPr lang="zh-CN"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t>挠度值（mm）</a:t>
                </a:r>
              </a:p>
            </c:rich>
          </c:tx>
          <c:layout/>
          <c:overlay val="0"/>
          <c:spPr>
            <a:noFill/>
            <a:ln>
              <a:noFill/>
            </a:ln>
            <a:effectLst/>
          </c:spPr>
        </c:title>
        <c:numFmt formatCode="#,##0.00_ 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0" vertOverflow="ellipsis" vert="horz" wrap="square" anchor="ctr" anchorCtr="1"/>
          <a:lstStyle/>
          <a:p>
            <a:pPr>
              <a:defRPr lang="zh-CN"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</a:p>
        </c:txPr>
        <c:crossAx val="837066207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layout/>
      <c:overlay val="0"/>
      <c:spPr>
        <a:noFill/>
        <a:ln>
          <a:noFill/>
        </a:ln>
        <a:effectLst/>
      </c:spPr>
      <c:txPr>
        <a:bodyPr rot="0" spcFirstLastPara="0" vertOverflow="ellipsis" vert="horz" wrap="square" anchor="ctr" anchorCtr="1"/>
        <a:lstStyle/>
        <a:p>
          <a:pPr>
            <a:defRPr lang="zh-CN"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 lang="zh-CN"/>
      </a:pPr>
    </a:p>
  </c:tx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zh-CN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"理论值"</c:f>
              <c:strCache>
                <c:ptCount val="1"/>
                <c:pt idx="0">
                  <c:v>理论值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dLbls>
            <c:delete val="1"/>
          </c:dLbls>
          <c:val>
            <c:numRef>
              <c:f>(应变!$J$15,应变!$AB$15)</c:f>
              <c:numCache>
                <c:formatCode>0_ </c:formatCode>
                <c:ptCount val="2"/>
                <c:pt idx="0">
                  <c:v>190</c:v>
                </c:pt>
                <c:pt idx="1">
                  <c:v>147</c:v>
                </c:pt>
              </c:numCache>
            </c:numRef>
          </c:val>
          <c:smooth val="0"/>
        </c:ser>
        <c:ser>
          <c:idx val="1"/>
          <c:order val="1"/>
          <c:tx>
            <c:strRef>
              <c:f>"实测值"</c:f>
              <c:strCache>
                <c:ptCount val="1"/>
                <c:pt idx="0">
                  <c:v>实测值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dLbls>
            <c:delete val="1"/>
          </c:dLbls>
          <c:val>
            <c:numRef>
              <c:f>(应变!$J$16,应变!$AB$16)</c:f>
              <c:numCache>
                <c:formatCode>0_ </c:formatCode>
                <c:ptCount val="2"/>
                <c:pt idx="0">
                  <c:v>190</c:v>
                </c:pt>
                <c:pt idx="1">
                  <c:v>148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62026443"/>
        <c:axId val="863721595"/>
      </c:lineChart>
      <c:catAx>
        <c:axId val="162026443"/>
        <c:scaling>
          <c:orientation val="minMax"/>
        </c:scaling>
        <c:delete val="0"/>
        <c:axPos val="b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0" vertOverflow="ellipsis" vert="horz" wrap="square" anchor="ctr" anchorCtr="1"/>
          <a:lstStyle/>
          <a:p>
            <a:pPr>
              <a:defRPr lang="zh-CN"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</a:p>
        </c:txPr>
        <c:crossAx val="863721595"/>
        <c:crosses val="autoZero"/>
        <c:auto val="1"/>
        <c:lblAlgn val="ctr"/>
        <c:lblOffset val="100"/>
        <c:noMultiLvlLbl val="0"/>
      </c:catAx>
      <c:valAx>
        <c:axId val="863721595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0" vertOverflow="ellipsis" vert="horz" wrap="square" anchor="ctr" anchorCtr="1"/>
              <a:lstStyle/>
              <a:p>
                <a:pPr defTabSz="914400">
                  <a:defRPr lang="zh-CN"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t>应变（με）</a:t>
                </a:r>
              </a:p>
            </c:rich>
          </c:tx>
          <c:layout/>
          <c:overlay val="0"/>
          <c:spPr>
            <a:noFill/>
            <a:ln>
              <a:noFill/>
            </a:ln>
            <a:effectLst/>
          </c:spPr>
        </c:title>
        <c:numFmt formatCode="0_ 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0" vertOverflow="ellipsis" vert="horz" wrap="square" anchor="ctr" anchorCtr="1"/>
          <a:lstStyle/>
          <a:p>
            <a:pPr>
              <a:defRPr lang="zh-CN"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</a:p>
        </c:txPr>
        <c:crossAx val="162026443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layout/>
      <c:overlay val="0"/>
      <c:spPr>
        <a:noFill/>
        <a:ln>
          <a:noFill/>
        </a:ln>
        <a:effectLst/>
      </c:spPr>
      <c:txPr>
        <a:bodyPr rot="0" spcFirstLastPara="0" vertOverflow="ellipsis" vert="horz" wrap="square" anchor="ctr" anchorCtr="1"/>
        <a:lstStyle/>
        <a:p>
          <a:pPr>
            <a:defRPr lang="zh-CN"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 lang="zh-CN"/>
      </a:pPr>
    </a:p>
  </c:txPr>
  <c:printSettings>
    <c:headerFooter/>
    <c:pageMargins b="0.75" l="0.7" r="0.7" t="0.75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zh-CN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"理论值"</c:f>
              <c:strCache>
                <c:ptCount val="1"/>
                <c:pt idx="0">
                  <c:v>理论值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dLbls>
            <c:delete val="1"/>
          </c:dLbls>
          <c:val>
            <c:numRef>
              <c:f>(应变!$J$17,应变!$AB$17)</c:f>
              <c:numCache>
                <c:formatCode>0_ </c:formatCode>
                <c:ptCount val="2"/>
                <c:pt idx="0">
                  <c:v>-100</c:v>
                </c:pt>
                <c:pt idx="1">
                  <c:v>-49</c:v>
                </c:pt>
              </c:numCache>
            </c:numRef>
          </c:val>
          <c:smooth val="0"/>
        </c:ser>
        <c:ser>
          <c:idx val="1"/>
          <c:order val="1"/>
          <c:tx>
            <c:strRef>
              <c:f>"实测值"</c:f>
              <c:strCache>
                <c:ptCount val="1"/>
                <c:pt idx="0">
                  <c:v>实测值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dLbls>
            <c:delete val="1"/>
          </c:dLbls>
          <c:val>
            <c:numRef>
              <c:f>(应变!$J$18,应变!$AB$18)</c:f>
              <c:numCache>
                <c:formatCode>0_ </c:formatCode>
                <c:ptCount val="2"/>
                <c:pt idx="0">
                  <c:v>-100</c:v>
                </c:pt>
                <c:pt idx="1">
                  <c:v>-55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23410395"/>
        <c:axId val="404134246"/>
      </c:lineChart>
      <c:catAx>
        <c:axId val="123410395"/>
        <c:scaling>
          <c:orientation val="minMax"/>
        </c:scaling>
        <c:delete val="0"/>
        <c:axPos val="b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0" vertOverflow="ellipsis" vert="horz" wrap="square" anchor="ctr" anchorCtr="1"/>
          <a:lstStyle/>
          <a:p>
            <a:pPr>
              <a:defRPr lang="zh-CN"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</a:p>
        </c:txPr>
        <c:crossAx val="404134246"/>
        <c:crosses val="autoZero"/>
        <c:auto val="1"/>
        <c:lblAlgn val="ctr"/>
        <c:lblOffset val="100"/>
        <c:noMultiLvlLbl val="0"/>
      </c:catAx>
      <c:valAx>
        <c:axId val="40413424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0" vertOverflow="ellipsis" vert="horz" wrap="square" anchor="ctr" anchorCtr="1"/>
              <a:lstStyle/>
              <a:p>
                <a:pPr defTabSz="914400">
                  <a:defRPr lang="zh-CN"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t>应变（με）</a:t>
                </a:r>
              </a:p>
            </c:rich>
          </c:tx>
          <c:layout/>
          <c:overlay val="0"/>
          <c:spPr>
            <a:noFill/>
            <a:ln>
              <a:noFill/>
            </a:ln>
            <a:effectLst/>
          </c:spPr>
        </c:title>
        <c:numFmt formatCode="0_ 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0" vertOverflow="ellipsis" vert="horz" wrap="square" anchor="ctr" anchorCtr="1"/>
          <a:lstStyle/>
          <a:p>
            <a:pPr>
              <a:defRPr lang="zh-CN"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</a:p>
        </c:txPr>
        <c:crossAx val="123410395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layout/>
      <c:overlay val="0"/>
      <c:spPr>
        <a:noFill/>
        <a:ln>
          <a:noFill/>
        </a:ln>
        <a:effectLst/>
      </c:spPr>
      <c:txPr>
        <a:bodyPr rot="0" spcFirstLastPara="0" vertOverflow="ellipsis" vert="horz" wrap="square" anchor="ctr" anchorCtr="1"/>
        <a:lstStyle/>
        <a:p>
          <a:pPr>
            <a:defRPr lang="zh-CN"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 lang="zh-CN"/>
      </a:pPr>
    </a:p>
  </c:txPr>
  <c:printSettings>
    <c:headerFooter/>
    <c:pageMargins b="0.75" l="0.7" r="0.7" t="0.75" header="0.3" footer="0.3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zh-CN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"理论值"</c:f>
              <c:strCache>
                <c:ptCount val="1"/>
                <c:pt idx="0">
                  <c:v>理论值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dLbls>
            <c:delete val="1"/>
          </c:dLbls>
          <c:val>
            <c:numRef>
              <c:f>(应变!$J$19,应变!$AB$19)</c:f>
              <c:numCache>
                <c:formatCode>0_ </c:formatCode>
                <c:ptCount val="2"/>
                <c:pt idx="0">
                  <c:v>160</c:v>
                </c:pt>
                <c:pt idx="1">
                  <c:v>133</c:v>
                </c:pt>
              </c:numCache>
            </c:numRef>
          </c:val>
          <c:smooth val="0"/>
        </c:ser>
        <c:ser>
          <c:idx val="1"/>
          <c:order val="1"/>
          <c:tx>
            <c:strRef>
              <c:f>"实测值"</c:f>
              <c:strCache>
                <c:ptCount val="1"/>
                <c:pt idx="0">
                  <c:v>实测值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dLbls>
            <c:delete val="1"/>
          </c:dLbls>
          <c:val>
            <c:numRef>
              <c:f>(应变!$J$20,应变!$AB$20)</c:f>
              <c:numCache>
                <c:formatCode>0_ </c:formatCode>
                <c:ptCount val="2"/>
                <c:pt idx="0">
                  <c:v>160</c:v>
                </c:pt>
                <c:pt idx="1">
                  <c:v>137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38295780"/>
        <c:axId val="468250878"/>
      </c:lineChart>
      <c:catAx>
        <c:axId val="38295780"/>
        <c:scaling>
          <c:orientation val="minMax"/>
        </c:scaling>
        <c:delete val="0"/>
        <c:axPos val="b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0" vertOverflow="ellipsis" vert="horz" wrap="square" anchor="ctr" anchorCtr="1"/>
          <a:lstStyle/>
          <a:p>
            <a:pPr>
              <a:defRPr lang="zh-CN"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</a:p>
        </c:txPr>
        <c:crossAx val="468250878"/>
        <c:crosses val="autoZero"/>
        <c:auto val="1"/>
        <c:lblAlgn val="ctr"/>
        <c:lblOffset val="100"/>
        <c:noMultiLvlLbl val="0"/>
      </c:catAx>
      <c:valAx>
        <c:axId val="46825087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0" vertOverflow="ellipsis" vert="horz" wrap="square" anchor="ctr" anchorCtr="1"/>
              <a:lstStyle/>
              <a:p>
                <a:pPr defTabSz="914400">
                  <a:defRPr lang="zh-CN"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t>应变（με）</a:t>
                </a:r>
              </a:p>
            </c:rich>
          </c:tx>
          <c:layout/>
          <c:overlay val="0"/>
          <c:spPr>
            <a:noFill/>
            <a:ln>
              <a:noFill/>
            </a:ln>
            <a:effectLst/>
          </c:spPr>
        </c:title>
        <c:numFmt formatCode="0_ 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0" vertOverflow="ellipsis" vert="horz" wrap="square" anchor="ctr" anchorCtr="1"/>
          <a:lstStyle/>
          <a:p>
            <a:pPr>
              <a:defRPr lang="zh-CN"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</a:p>
        </c:txPr>
        <c:crossAx val="38295780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layout/>
      <c:overlay val="0"/>
      <c:spPr>
        <a:noFill/>
        <a:ln>
          <a:noFill/>
        </a:ln>
        <a:effectLst/>
      </c:spPr>
      <c:txPr>
        <a:bodyPr rot="0" spcFirstLastPara="0" vertOverflow="ellipsis" vert="horz" wrap="square" anchor="ctr" anchorCtr="1"/>
        <a:lstStyle/>
        <a:p>
          <a:pPr>
            <a:defRPr lang="zh-CN"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 lang="zh-CN"/>
      </a:pPr>
    </a:p>
  </c:txPr>
  <c:printSettings>
    <c:headerFooter/>
    <c:pageMargins b="0.75" l="0.7" r="0.7" t="0.75" header="0.3" footer="0.3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zh-CN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"理论值"</c:f>
              <c:strCache>
                <c:ptCount val="1"/>
                <c:pt idx="0">
                  <c:v>理论值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dLbls>
            <c:delete val="1"/>
          </c:dLbls>
          <c:val>
            <c:numRef>
              <c:f>(应变!$J$21,应变!$AB$21)</c:f>
              <c:numCache>
                <c:formatCode>0_ </c:formatCode>
                <c:ptCount val="2"/>
                <c:pt idx="0">
                  <c:v>-100</c:v>
                </c:pt>
                <c:pt idx="1">
                  <c:v>-89</c:v>
                </c:pt>
              </c:numCache>
            </c:numRef>
          </c:val>
          <c:smooth val="0"/>
        </c:ser>
        <c:ser>
          <c:idx val="1"/>
          <c:order val="1"/>
          <c:tx>
            <c:strRef>
              <c:f>"实测值"</c:f>
              <c:strCache>
                <c:ptCount val="1"/>
                <c:pt idx="0">
                  <c:v>实测值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dLbls>
            <c:delete val="1"/>
          </c:dLbls>
          <c:val>
            <c:numRef>
              <c:f>(应变!$J$22,应变!$AB$22)</c:f>
              <c:numCache>
                <c:formatCode>0_ </c:formatCode>
                <c:ptCount val="2"/>
                <c:pt idx="0">
                  <c:v>-100</c:v>
                </c:pt>
                <c:pt idx="1">
                  <c:v>-44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67581534"/>
        <c:axId val="884890299"/>
      </c:lineChart>
      <c:catAx>
        <c:axId val="167581534"/>
        <c:scaling>
          <c:orientation val="minMax"/>
        </c:scaling>
        <c:delete val="0"/>
        <c:axPos val="b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0" vertOverflow="ellipsis" vert="horz" wrap="square" anchor="ctr" anchorCtr="1"/>
          <a:lstStyle/>
          <a:p>
            <a:pPr>
              <a:defRPr lang="zh-CN"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</a:p>
        </c:txPr>
        <c:crossAx val="884890299"/>
        <c:crosses val="autoZero"/>
        <c:auto val="1"/>
        <c:lblAlgn val="ctr"/>
        <c:lblOffset val="100"/>
        <c:noMultiLvlLbl val="0"/>
      </c:catAx>
      <c:valAx>
        <c:axId val="884890299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0" vertOverflow="ellipsis" vert="horz" wrap="square" anchor="ctr" anchorCtr="1"/>
              <a:lstStyle/>
              <a:p>
                <a:pPr defTabSz="914400">
                  <a:defRPr lang="zh-CN"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t>应变（με）</a:t>
                </a:r>
              </a:p>
            </c:rich>
          </c:tx>
          <c:layout/>
          <c:overlay val="0"/>
          <c:spPr>
            <a:noFill/>
            <a:ln>
              <a:noFill/>
            </a:ln>
            <a:effectLst/>
          </c:spPr>
        </c:title>
        <c:numFmt formatCode="0_ 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0" vertOverflow="ellipsis" vert="horz" wrap="square" anchor="ctr" anchorCtr="1"/>
          <a:lstStyle/>
          <a:p>
            <a:pPr>
              <a:defRPr lang="zh-CN"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</a:p>
        </c:txPr>
        <c:crossAx val="167581534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layout/>
      <c:overlay val="0"/>
      <c:spPr>
        <a:noFill/>
        <a:ln>
          <a:noFill/>
        </a:ln>
        <a:effectLst/>
      </c:spPr>
      <c:txPr>
        <a:bodyPr rot="0" spcFirstLastPara="0" vertOverflow="ellipsis" vert="horz" wrap="square" anchor="ctr" anchorCtr="1"/>
        <a:lstStyle/>
        <a:p>
          <a:pPr>
            <a:defRPr lang="zh-CN"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 lang="zh-CN"/>
      </a:pPr>
    </a:p>
  </c:txPr>
  <c:printSettings>
    <c:headerFooter/>
    <c:pageMargins b="0.75" l="0.7" r="0.7" t="0.75" header="0.3" footer="0.3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zh-CN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"理论值"</c:f>
              <c:strCache>
                <c:ptCount val="1"/>
                <c:pt idx="0">
                  <c:v>理论值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dLbls>
            <c:delete val="1"/>
          </c:dLbls>
          <c:val>
            <c:numRef>
              <c:f>(应变!$J$23,应变!$AB$23)</c:f>
              <c:numCache>
                <c:formatCode>0_ </c:formatCode>
                <c:ptCount val="2"/>
                <c:pt idx="0">
                  <c:v>10</c:v>
                </c:pt>
                <c:pt idx="1">
                  <c:v>-127</c:v>
                </c:pt>
              </c:numCache>
            </c:numRef>
          </c:val>
          <c:smooth val="0"/>
        </c:ser>
        <c:ser>
          <c:idx val="1"/>
          <c:order val="1"/>
          <c:tx>
            <c:strRef>
              <c:f>"实测值"</c:f>
              <c:strCache>
                <c:ptCount val="1"/>
                <c:pt idx="0">
                  <c:v>实测值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dLbls>
            <c:delete val="1"/>
          </c:dLbls>
          <c:val>
            <c:numRef>
              <c:f>(应变!$J$24,应变!$AB$24)</c:f>
              <c:numCache>
                <c:formatCode>0_ </c:formatCode>
                <c:ptCount val="2"/>
                <c:pt idx="0">
                  <c:v>10</c:v>
                </c:pt>
                <c:pt idx="1">
                  <c:v>68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16246650"/>
        <c:axId val="542025085"/>
      </c:lineChart>
      <c:catAx>
        <c:axId val="116246650"/>
        <c:scaling>
          <c:orientation val="minMax"/>
        </c:scaling>
        <c:delete val="0"/>
        <c:axPos val="b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0" vertOverflow="ellipsis" vert="horz" wrap="square" anchor="ctr" anchorCtr="1"/>
          <a:lstStyle/>
          <a:p>
            <a:pPr>
              <a:defRPr lang="zh-CN"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</a:p>
        </c:txPr>
        <c:crossAx val="542025085"/>
        <c:crosses val="autoZero"/>
        <c:auto val="1"/>
        <c:lblAlgn val="ctr"/>
        <c:lblOffset val="100"/>
        <c:noMultiLvlLbl val="0"/>
      </c:catAx>
      <c:valAx>
        <c:axId val="542025085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0" vertOverflow="ellipsis" vert="horz" wrap="square" anchor="ctr" anchorCtr="1"/>
              <a:lstStyle/>
              <a:p>
                <a:pPr defTabSz="914400">
                  <a:defRPr lang="zh-CN"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t>应变（με）</a:t>
                </a:r>
              </a:p>
            </c:rich>
          </c:tx>
          <c:layout/>
          <c:overlay val="0"/>
          <c:spPr>
            <a:noFill/>
            <a:ln>
              <a:noFill/>
            </a:ln>
            <a:effectLst/>
          </c:spPr>
        </c:title>
        <c:numFmt formatCode="0_ 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0" vertOverflow="ellipsis" vert="horz" wrap="square" anchor="ctr" anchorCtr="1"/>
          <a:lstStyle/>
          <a:p>
            <a:pPr>
              <a:defRPr lang="zh-CN"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</a:p>
        </c:txPr>
        <c:crossAx val="116246650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layout/>
      <c:overlay val="0"/>
      <c:spPr>
        <a:noFill/>
        <a:ln>
          <a:noFill/>
        </a:ln>
        <a:effectLst/>
      </c:spPr>
      <c:txPr>
        <a:bodyPr rot="0" spcFirstLastPara="0" vertOverflow="ellipsis" vert="horz" wrap="square" anchor="ctr" anchorCtr="1"/>
        <a:lstStyle/>
        <a:p>
          <a:pPr>
            <a:defRPr lang="zh-CN"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 lang="zh-CN"/>
      </a:pPr>
    </a:p>
  </c:txPr>
  <c:printSettings>
    <c:headerFooter/>
    <c:pageMargins b="0.75" l="0.7" r="0.7" t="0.75" header="0.3" footer="0.3"/>
    <c:pageSetup/>
  </c:printSettings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zh-CN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smoothMarker"/>
        <c:varyColors val="0"/>
        <c:ser>
          <c:idx val="0"/>
          <c:order val="0"/>
          <c:tx>
            <c:strRef>
              <c:f>草稿!$B$1</c:f>
              <c:strCache>
                <c:ptCount val="1"/>
                <c:pt idx="0">
                  <c:v>弹性变形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dLbls>
            <c:delete val="1"/>
          </c:dLbls>
          <c:xVal>
            <c:strRef>
              <c:f>草稿!$A$2:$A$11</c:f>
              <c:strCache>
                <c:ptCount val="10"/>
                <c:pt idx="0">
                  <c:v>Z5</c:v>
                </c:pt>
                <c:pt idx="1">
                  <c:v>Z6</c:v>
                </c:pt>
                <c:pt idx="2">
                  <c:v>Z7</c:v>
                </c:pt>
                <c:pt idx="3">
                  <c:v>Z8</c:v>
                </c:pt>
                <c:pt idx="4">
                  <c:v>Z9</c:v>
                </c:pt>
                <c:pt idx="5">
                  <c:v>Z10</c:v>
                </c:pt>
                <c:pt idx="6">
                  <c:v>Z11</c:v>
                </c:pt>
                <c:pt idx="7">
                  <c:v>Z12</c:v>
                </c:pt>
                <c:pt idx="8">
                  <c:v>Z13</c:v>
                </c:pt>
                <c:pt idx="9">
                  <c:v>Z14</c:v>
                </c:pt>
              </c:strCache>
            </c:strRef>
          </c:xVal>
          <c:yVal>
            <c:numRef>
              <c:f>草稿!$B$2:$B$11</c:f>
              <c:numCache>
                <c:formatCode>General</c:formatCode>
                <c:ptCount val="10"/>
                <c:pt idx="0">
                  <c:v>0.97</c:v>
                </c:pt>
                <c:pt idx="1">
                  <c:v>1.28</c:v>
                </c:pt>
                <c:pt idx="2">
                  <c:v>1.64</c:v>
                </c:pt>
                <c:pt idx="3">
                  <c:v>2.03</c:v>
                </c:pt>
                <c:pt idx="4">
                  <c:v>2.5</c:v>
                </c:pt>
                <c:pt idx="5">
                  <c:v>2.8</c:v>
                </c:pt>
                <c:pt idx="6">
                  <c:v>3.28</c:v>
                </c:pt>
                <c:pt idx="7">
                  <c:v>3.1</c:v>
                </c:pt>
                <c:pt idx="8">
                  <c:v>2.77</c:v>
                </c:pt>
                <c:pt idx="9">
                  <c:v>2.8</c:v>
                </c:pt>
              </c:numCache>
            </c:numRef>
          </c:yVal>
          <c:smooth val="1"/>
        </c:ser>
        <c:ser>
          <c:idx val="1"/>
          <c:order val="1"/>
          <c:tx>
            <c:strRef>
              <c:f>草稿!$C$1</c:f>
              <c:strCache>
                <c:ptCount val="1"/>
                <c:pt idx="0">
                  <c:v>理论</c:v>
                </c:pt>
              </c:strCache>
            </c:strRef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dLbls>
            <c:delete val="1"/>
          </c:dLbls>
          <c:xVal>
            <c:strRef>
              <c:f>草稿!$A$2:$A$11</c:f>
              <c:strCache>
                <c:ptCount val="10"/>
                <c:pt idx="0">
                  <c:v>Z5</c:v>
                </c:pt>
                <c:pt idx="1">
                  <c:v>Z6</c:v>
                </c:pt>
                <c:pt idx="2">
                  <c:v>Z7</c:v>
                </c:pt>
                <c:pt idx="3">
                  <c:v>Z8</c:v>
                </c:pt>
                <c:pt idx="4">
                  <c:v>Z9</c:v>
                </c:pt>
                <c:pt idx="5">
                  <c:v>Z10</c:v>
                </c:pt>
                <c:pt idx="6">
                  <c:v>Z11</c:v>
                </c:pt>
                <c:pt idx="7">
                  <c:v>Z12</c:v>
                </c:pt>
                <c:pt idx="8">
                  <c:v>Z13</c:v>
                </c:pt>
                <c:pt idx="9">
                  <c:v>Z14</c:v>
                </c:pt>
              </c:strCache>
            </c:strRef>
          </c:xVal>
          <c:yVal>
            <c:numRef>
              <c:f>草稿!$C$2:$C$11</c:f>
              <c:numCache>
                <c:formatCode>General</c:formatCode>
                <c:ptCount val="10"/>
                <c:pt idx="0">
                  <c:v>2.342</c:v>
                </c:pt>
                <c:pt idx="1">
                  <c:v>3.079</c:v>
                </c:pt>
                <c:pt idx="2">
                  <c:v>4.008</c:v>
                </c:pt>
                <c:pt idx="3">
                  <c:v>5.16</c:v>
                </c:pt>
                <c:pt idx="4">
                  <c:v>5.953</c:v>
                </c:pt>
                <c:pt idx="5">
                  <c:v>6.742</c:v>
                </c:pt>
                <c:pt idx="6">
                  <c:v>7.048</c:v>
                </c:pt>
                <c:pt idx="7">
                  <c:v>7.268</c:v>
                </c:pt>
                <c:pt idx="8">
                  <c:v>6.793</c:v>
                </c:pt>
                <c:pt idx="9">
                  <c:v>6.702</c:v>
                </c:pt>
              </c:numCache>
            </c:numRef>
          </c:yVal>
          <c:smooth val="1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83717025"/>
        <c:axId val="771006398"/>
      </c:scatterChart>
      <c:valAx>
        <c:axId val="683717025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0" vertOverflow="ellipsis" vert="horz" wrap="square" anchor="ctr" anchorCtr="1"/>
              <a:lstStyle/>
              <a:p>
                <a:pPr defTabSz="914400">
                  <a:defRPr lang="zh-CN"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zh-CN" altLang="en-US"/>
                  <a:t>测点号</a:t>
                </a:r>
                <a:endParaRPr lang="zh-CN" altLang="en-US"/>
              </a:p>
            </c:rich>
          </c:tx>
          <c:layout/>
          <c:overlay val="0"/>
          <c:spPr>
            <a:noFill/>
            <a:ln>
              <a:noFill/>
            </a:ln>
            <a:effectLst/>
          </c:spPr>
        </c:title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0" vertOverflow="ellipsis" vert="horz" wrap="square" anchor="ctr" anchorCtr="1"/>
          <a:lstStyle/>
          <a:p>
            <a:pPr>
              <a:defRPr lang="zh-CN"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</a:p>
        </c:txPr>
        <c:crossAx val="771006398"/>
        <c:crosses val="autoZero"/>
        <c:crossBetween val="midCat"/>
      </c:valAx>
      <c:valAx>
        <c:axId val="77100639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0" vertOverflow="ellipsis" vert="horz" wrap="square" anchor="ctr" anchorCtr="1"/>
              <a:lstStyle/>
              <a:p>
                <a:pPr defTabSz="914400">
                  <a:defRPr lang="zh-CN"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zh-CN" altLang="en-US"/>
                  <a:t>挠度值（</a:t>
                </a:r>
                <a:r>
                  <a:rPr lang="en-US" altLang="zh-CN"/>
                  <a:t>mm</a:t>
                </a:r>
                <a:r>
                  <a:rPr lang="en-US" altLang="en-US">
                    <a:ea typeface="宋体" panose="02010600030101010101" pitchFamily="7" charset="-122"/>
                  </a:rPr>
                  <a:t>）</a:t>
                </a:r>
                <a:endParaRPr lang="en-US" altLang="en-US">
                  <a:ea typeface="宋体" panose="02010600030101010101" pitchFamily="7" charset="-122"/>
                </a:endParaRPr>
              </a:p>
            </c:rich>
          </c:tx>
          <c:layout/>
          <c:overlay val="0"/>
          <c:spPr>
            <a:noFill/>
            <a:ln>
              <a:noFill/>
            </a:ln>
            <a:effectLst/>
          </c:spPr>
        </c:title>
        <c:numFmt formatCode="#,##0.00_ " sourceLinked="0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0" vertOverflow="ellipsis" vert="horz" wrap="square" anchor="ctr" anchorCtr="1"/>
          <a:lstStyle/>
          <a:p>
            <a:pPr>
              <a:defRPr lang="zh-CN"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</a:p>
        </c:txPr>
        <c:crossAx val="683717025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r"/>
      <c:layout>
        <c:manualLayout>
          <c:xMode val="edge"/>
          <c:yMode val="edge"/>
          <c:x val="0.184444444444444"/>
          <c:y val="0.0927083333333333"/>
        </c:manualLayout>
      </c:layout>
      <c:overlay val="1"/>
      <c:spPr>
        <a:noFill/>
        <a:ln>
          <a:noFill/>
        </a:ln>
        <a:effectLst/>
      </c:spPr>
      <c:txPr>
        <a:bodyPr rot="0" spcFirstLastPara="0" vertOverflow="ellipsis" vert="horz" wrap="square" anchor="ctr" anchorCtr="1"/>
        <a:lstStyle/>
        <a:p>
          <a:pPr>
            <a:defRPr lang="zh-CN"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 lang="zh-CN"/>
      </a:pPr>
    </a:p>
  </c:txPr>
  <c:printSettings>
    <c:headerFooter/>
    <c:pageMargins b="0.75" l="0.7" r="0.7" t="0.75" header="0.3" footer="0.3"/>
    <c:pageSetup/>
  </c:printSettings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zh-CN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smoothMarker"/>
        <c:varyColors val="0"/>
        <c:ser>
          <c:idx val="0"/>
          <c:order val="0"/>
          <c:tx>
            <c:strRef>
              <c:f>草稿!$B$1</c:f>
              <c:strCache>
                <c:ptCount val="1"/>
                <c:pt idx="0">
                  <c:v>弹性变形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dLbls>
            <c:delete val="1"/>
          </c:dLbls>
          <c:xVal>
            <c:strRef>
              <c:f>草稿!$A$2:$A$11</c:f>
              <c:strCache>
                <c:ptCount val="10"/>
                <c:pt idx="0">
                  <c:v>Z5</c:v>
                </c:pt>
                <c:pt idx="1">
                  <c:v>Z6</c:v>
                </c:pt>
                <c:pt idx="2">
                  <c:v>Z7</c:v>
                </c:pt>
                <c:pt idx="3">
                  <c:v>Z8</c:v>
                </c:pt>
                <c:pt idx="4">
                  <c:v>Z9</c:v>
                </c:pt>
                <c:pt idx="5">
                  <c:v>Z10</c:v>
                </c:pt>
                <c:pt idx="6">
                  <c:v>Z11</c:v>
                </c:pt>
                <c:pt idx="7">
                  <c:v>Z12</c:v>
                </c:pt>
                <c:pt idx="8">
                  <c:v>Z13</c:v>
                </c:pt>
                <c:pt idx="9">
                  <c:v>Z14</c:v>
                </c:pt>
              </c:strCache>
            </c:strRef>
          </c:xVal>
          <c:yVal>
            <c:numRef>
              <c:f>草稿!$B$2:$B$11</c:f>
              <c:numCache>
                <c:formatCode>General</c:formatCode>
                <c:ptCount val="10"/>
                <c:pt idx="0">
                  <c:v>0.97</c:v>
                </c:pt>
                <c:pt idx="1">
                  <c:v>1.28</c:v>
                </c:pt>
                <c:pt idx="2">
                  <c:v>1.64</c:v>
                </c:pt>
                <c:pt idx="3">
                  <c:v>2.03</c:v>
                </c:pt>
                <c:pt idx="4">
                  <c:v>2.5</c:v>
                </c:pt>
                <c:pt idx="5">
                  <c:v>2.8</c:v>
                </c:pt>
                <c:pt idx="6">
                  <c:v>3.28</c:v>
                </c:pt>
                <c:pt idx="7">
                  <c:v>3.1</c:v>
                </c:pt>
                <c:pt idx="8">
                  <c:v>2.77</c:v>
                </c:pt>
                <c:pt idx="9">
                  <c:v>2.8</c:v>
                </c:pt>
              </c:numCache>
            </c:numRef>
          </c:yVal>
          <c:smooth val="1"/>
        </c:ser>
        <c:ser>
          <c:idx val="1"/>
          <c:order val="1"/>
          <c:tx>
            <c:strRef>
              <c:f>草稿!$C$1</c:f>
              <c:strCache>
                <c:ptCount val="1"/>
                <c:pt idx="0">
                  <c:v>理论</c:v>
                </c:pt>
              </c:strCache>
            </c:strRef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dLbls>
            <c:delete val="1"/>
          </c:dLbls>
          <c:xVal>
            <c:strRef>
              <c:f>草稿!$A$2:$A$11</c:f>
              <c:strCache>
                <c:ptCount val="10"/>
                <c:pt idx="0">
                  <c:v>Z5</c:v>
                </c:pt>
                <c:pt idx="1">
                  <c:v>Z6</c:v>
                </c:pt>
                <c:pt idx="2">
                  <c:v>Z7</c:v>
                </c:pt>
                <c:pt idx="3">
                  <c:v>Z8</c:v>
                </c:pt>
                <c:pt idx="4">
                  <c:v>Z9</c:v>
                </c:pt>
                <c:pt idx="5">
                  <c:v>Z10</c:v>
                </c:pt>
                <c:pt idx="6">
                  <c:v>Z11</c:v>
                </c:pt>
                <c:pt idx="7">
                  <c:v>Z12</c:v>
                </c:pt>
                <c:pt idx="8">
                  <c:v>Z13</c:v>
                </c:pt>
                <c:pt idx="9">
                  <c:v>Z14</c:v>
                </c:pt>
              </c:strCache>
            </c:strRef>
          </c:xVal>
          <c:yVal>
            <c:numRef>
              <c:f>草稿!$C$2:$C$11</c:f>
              <c:numCache>
                <c:formatCode>General</c:formatCode>
                <c:ptCount val="10"/>
                <c:pt idx="0">
                  <c:v>2.342</c:v>
                </c:pt>
                <c:pt idx="1">
                  <c:v>3.079</c:v>
                </c:pt>
                <c:pt idx="2">
                  <c:v>4.008</c:v>
                </c:pt>
                <c:pt idx="3">
                  <c:v>5.16</c:v>
                </c:pt>
                <c:pt idx="4">
                  <c:v>5.953</c:v>
                </c:pt>
                <c:pt idx="5">
                  <c:v>6.742</c:v>
                </c:pt>
                <c:pt idx="6">
                  <c:v>7.048</c:v>
                </c:pt>
                <c:pt idx="7">
                  <c:v>7.268</c:v>
                </c:pt>
                <c:pt idx="8">
                  <c:v>6.793</c:v>
                </c:pt>
                <c:pt idx="9">
                  <c:v>6.702</c:v>
                </c:pt>
              </c:numCache>
            </c:numRef>
          </c:yVal>
          <c:smooth val="1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92926960"/>
        <c:axId val="604775472"/>
      </c:scatterChart>
      <c:valAx>
        <c:axId val="592926960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lang="zh-CN"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zh-CN" altLang="en-US"/>
                  <a:t>测点号</a:t>
                </a:r>
                <a:endParaRPr lang="zh-CN" altLang="en-US"/>
              </a:p>
            </c:rich>
          </c:tx>
          <c:layout/>
          <c:overlay val="0"/>
          <c:spPr>
            <a:noFill/>
            <a:ln>
              <a:noFill/>
            </a:ln>
            <a:effectLst/>
          </c:spPr>
        </c:title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lang="zh-CN"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</a:p>
        </c:txPr>
        <c:crossAx val="604775472"/>
        <c:crosses val="autoZero"/>
        <c:crossBetween val="midCat"/>
      </c:valAx>
      <c:valAx>
        <c:axId val="6047754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lang="zh-CN"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zh-CN" altLang="en-US"/>
                  <a:t>挠度值（</a:t>
                </a:r>
                <a:r>
                  <a:rPr lang="en-US" altLang="zh-CN"/>
                  <a:t>mm</a:t>
                </a:r>
                <a:r>
                  <a:rPr lang="zh-CN" altLang="en-US"/>
                  <a:t>）</a:t>
                </a:r>
                <a:endParaRPr lang="zh-CN" altLang="en-US"/>
              </a:p>
            </c:rich>
          </c:tx>
          <c:layout/>
          <c:overlay val="0"/>
          <c:spPr>
            <a:noFill/>
            <a:ln>
              <a:noFill/>
            </a:ln>
            <a:effectLst/>
          </c:sp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lang="zh-CN"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</a:p>
        </c:txPr>
        <c:crossAx val="592926960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r"/>
      <c:layout>
        <c:manualLayout>
          <c:xMode val="edge"/>
          <c:yMode val="edge"/>
          <c:x val="0.175"/>
          <c:y val="0.204200933216681"/>
          <c:w val="0.183333333333333"/>
          <c:h val="0.156251093613298"/>
        </c:manualLayout>
      </c:layout>
      <c:overlay val="1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lang="zh-CN"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 lang="zh-CN"/>
      </a:pPr>
    </a:p>
  </c:txPr>
  <c:printSettings>
    <c:headerFooter/>
    <c:pageMargins b="0.75" l="0.7" r="0.7" t="0.75" header="0.3" footer="0.3"/>
    <c:pageSetup/>
  </c:printSettings>
</c:chartSpace>
</file>

<file path=xl/charts/chart10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zh-CN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/>
      <c:overlay val="0"/>
      <c:spPr>
        <a:noFill/>
        <a:ln>
          <a:noFill/>
        </a:ln>
        <a:effectLst/>
      </c:spPr>
      <c:txPr>
        <a:bodyPr rot="0" spcFirstLastPara="0" vertOverflow="ellipsis" vert="horz" wrap="square" anchor="ctr" anchorCtr="1"/>
        <a:lstStyle/>
        <a:p>
          <a:pPr>
            <a:defRPr lang="zh-CN"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草稿!$E$1</c:f>
              <c:strCache>
                <c:ptCount val="1"/>
                <c:pt idx="0">
                  <c:v>弹性变形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dLbls>
            <c:delete val="1"/>
          </c:dLbls>
          <c:cat>
            <c:strRef>
              <c:f>草稿!$D$2:$D$11</c:f>
              <c:strCache>
                <c:ptCount val="10"/>
                <c:pt idx="0">
                  <c:v>Z5</c:v>
                </c:pt>
                <c:pt idx="1">
                  <c:v>Z6</c:v>
                </c:pt>
                <c:pt idx="2">
                  <c:v>Z7</c:v>
                </c:pt>
                <c:pt idx="3">
                  <c:v>Z8</c:v>
                </c:pt>
                <c:pt idx="4">
                  <c:v>Z9</c:v>
                </c:pt>
                <c:pt idx="5">
                  <c:v>Z10</c:v>
                </c:pt>
                <c:pt idx="6">
                  <c:v>Z11</c:v>
                </c:pt>
                <c:pt idx="7">
                  <c:v>Z12</c:v>
                </c:pt>
                <c:pt idx="8">
                  <c:v>Z13</c:v>
                </c:pt>
                <c:pt idx="9">
                  <c:v>Z14</c:v>
                </c:pt>
              </c:strCache>
            </c:strRef>
          </c:cat>
          <c:val>
            <c:numRef>
              <c:f>草稿!$E$2:$E$11</c:f>
              <c:numCache>
                <c:formatCode>General</c:formatCode>
                <c:ptCount val="10"/>
                <c:pt idx="0">
                  <c:v>0.97</c:v>
                </c:pt>
                <c:pt idx="1">
                  <c:v>1.28</c:v>
                </c:pt>
                <c:pt idx="2">
                  <c:v>1.64</c:v>
                </c:pt>
                <c:pt idx="3">
                  <c:v>5</c:v>
                </c:pt>
                <c:pt idx="4">
                  <c:v>2.5</c:v>
                </c:pt>
                <c:pt idx="5">
                  <c:v>2.8</c:v>
                </c:pt>
                <c:pt idx="6">
                  <c:v>3.28</c:v>
                </c:pt>
                <c:pt idx="7">
                  <c:v>3.1</c:v>
                </c:pt>
                <c:pt idx="8">
                  <c:v>2.77</c:v>
                </c:pt>
                <c:pt idx="9">
                  <c:v>2.8</c:v>
                </c:pt>
              </c:numCache>
            </c:numRef>
          </c:val>
          <c:smooth val="0"/>
        </c:ser>
        <c:ser>
          <c:idx val="1"/>
          <c:order val="1"/>
          <c:tx>
            <c:strRef>
              <c:f>草稿!$F$1</c:f>
              <c:strCache>
                <c:ptCount val="1"/>
                <c:pt idx="0">
                  <c:v>理论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dLbls>
            <c:delete val="1"/>
          </c:dLbls>
          <c:cat>
            <c:strRef>
              <c:f>草稿!$D$2:$D$11</c:f>
              <c:strCache>
                <c:ptCount val="10"/>
                <c:pt idx="0">
                  <c:v>Z5</c:v>
                </c:pt>
                <c:pt idx="1">
                  <c:v>Z6</c:v>
                </c:pt>
                <c:pt idx="2">
                  <c:v>Z7</c:v>
                </c:pt>
                <c:pt idx="3">
                  <c:v>Z8</c:v>
                </c:pt>
                <c:pt idx="4">
                  <c:v>Z9</c:v>
                </c:pt>
                <c:pt idx="5">
                  <c:v>Z10</c:v>
                </c:pt>
                <c:pt idx="6">
                  <c:v>Z11</c:v>
                </c:pt>
                <c:pt idx="7">
                  <c:v>Z12</c:v>
                </c:pt>
                <c:pt idx="8">
                  <c:v>Z13</c:v>
                </c:pt>
                <c:pt idx="9">
                  <c:v>Z14</c:v>
                </c:pt>
              </c:strCache>
            </c:strRef>
          </c:cat>
          <c:val>
            <c:numRef>
              <c:f>草稿!$F$2:$F$11</c:f>
              <c:numCache>
                <c:formatCode>General</c:formatCode>
                <c:ptCount val="10"/>
                <c:pt idx="0">
                  <c:v>2.342</c:v>
                </c:pt>
                <c:pt idx="1">
                  <c:v>3.079</c:v>
                </c:pt>
                <c:pt idx="2">
                  <c:v>4.008</c:v>
                </c:pt>
                <c:pt idx="3">
                  <c:v>5.16</c:v>
                </c:pt>
                <c:pt idx="4">
                  <c:v>5.953</c:v>
                </c:pt>
                <c:pt idx="5">
                  <c:v>6.742</c:v>
                </c:pt>
                <c:pt idx="6">
                  <c:v>7.048</c:v>
                </c:pt>
                <c:pt idx="7">
                  <c:v>7.268</c:v>
                </c:pt>
                <c:pt idx="8">
                  <c:v>6.793</c:v>
                </c:pt>
                <c:pt idx="9">
                  <c:v>6.702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374156077"/>
        <c:axId val="124674535"/>
      </c:lineChart>
      <c:catAx>
        <c:axId val="374156077"/>
        <c:scaling>
          <c:orientation val="minMax"/>
        </c:scaling>
        <c:delete val="0"/>
        <c:axPos val="b"/>
        <c:numFmt formatCode="General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0" vertOverflow="ellipsis" vert="horz" wrap="square" anchor="ctr" anchorCtr="1"/>
          <a:lstStyle/>
          <a:p>
            <a:pPr>
              <a:defRPr lang="zh-CN"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</a:p>
        </c:txPr>
        <c:crossAx val="124674535"/>
        <c:crosses val="autoZero"/>
        <c:auto val="1"/>
        <c:lblAlgn val="ctr"/>
        <c:lblOffset val="100"/>
        <c:noMultiLvlLbl val="0"/>
      </c:catAx>
      <c:valAx>
        <c:axId val="124674535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0" vertOverflow="ellipsis" vert="horz" wrap="square" anchor="ctr" anchorCtr="1"/>
          <a:lstStyle/>
          <a:p>
            <a:pPr>
              <a:defRPr lang="zh-CN"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</a:p>
        </c:txPr>
        <c:crossAx val="374156077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layout>
        <c:manualLayout>
          <c:xMode val="edge"/>
          <c:yMode val="edge"/>
          <c:x val="0.0802083333333333"/>
          <c:y val="0.169212962962963"/>
        </c:manualLayout>
      </c:layout>
      <c:overlay val="0"/>
      <c:spPr>
        <a:noFill/>
        <a:ln>
          <a:noFill/>
        </a:ln>
        <a:effectLst/>
      </c:spPr>
      <c:txPr>
        <a:bodyPr rot="0" spcFirstLastPara="0" vertOverflow="ellipsis" vert="horz" wrap="square" anchor="ctr" anchorCtr="1"/>
        <a:lstStyle/>
        <a:p>
          <a:pPr>
            <a:defRPr lang="zh-CN"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 lang="zh-CN"/>
      </a:pPr>
    </a:p>
  </c:txPr>
  <c:printSettings>
    <c:headerFooter/>
    <c:pageMargins b="0.75" l="0.7" r="0.7" t="0.75" header="0.3" footer="0.3"/>
    <c:pageSetup/>
  </c:printSettings>
</c:chartSpace>
</file>

<file path=xl/charts/chart1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zh-CN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0.129298523206751"/>
          <c:y val="0.0755531570426336"/>
          <c:w val="0.828639240506329"/>
          <c:h val="0.752905198776758"/>
        </c:manualLayout>
      </c:layout>
      <c:lineChart>
        <c:grouping val="standard"/>
        <c:varyColors val="0"/>
        <c:ser>
          <c:idx val="0"/>
          <c:order val="0"/>
          <c:tx>
            <c:strRef>
              <c:f>"实测值"</c:f>
              <c:strCache>
                <c:ptCount val="1"/>
                <c:pt idx="0">
                  <c:v>实测值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dLbls>
            <c:delete val="1"/>
          </c:dLbls>
          <c:cat>
            <c:strRef>
              <c:f>挠度!$B$13:$B$16</c:f>
              <c:strCache>
                <c:ptCount val="4"/>
                <c:pt idx="0" c:formatCode="0.00">
                  <c:v>A1</c:v>
                </c:pt>
                <c:pt idx="1" c:formatCode="0.00">
                  <c:v>A2</c:v>
                </c:pt>
                <c:pt idx="2" c:formatCode="0.00">
                  <c:v>B1</c:v>
                </c:pt>
                <c:pt idx="3" c:formatCode="0.00">
                  <c:v>B2</c:v>
                </c:pt>
              </c:strCache>
            </c:strRef>
          </c:cat>
          <c:val>
            <c:numRef>
              <c:f>挠度!$I$13:$I$16</c:f>
              <c:numCache>
                <c:formatCode>0.00_ </c:formatCode>
                <c:ptCount val="4"/>
              </c:numCache>
            </c:numRef>
          </c:val>
          <c:smooth val="0"/>
        </c:ser>
        <c:ser>
          <c:idx val="1"/>
          <c:order val="1"/>
          <c:tx>
            <c:strRef>
              <c:f>"理论值"</c:f>
              <c:strCache>
                <c:ptCount val="1"/>
                <c:pt idx="0">
                  <c:v>理论值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dLbls>
            <c:delete val="1"/>
          </c:dLbls>
          <c:cat>
            <c:strRef>
              <c:f>挠度!$B$13:$B$16</c:f>
              <c:strCache>
                <c:ptCount val="4"/>
                <c:pt idx="0" c:formatCode="0.00">
                  <c:v>A1</c:v>
                </c:pt>
                <c:pt idx="1" c:formatCode="0.00">
                  <c:v>A2</c:v>
                </c:pt>
                <c:pt idx="2" c:formatCode="0.00">
                  <c:v>B1</c:v>
                </c:pt>
                <c:pt idx="3" c:formatCode="0.00">
                  <c:v>B2</c:v>
                </c:pt>
              </c:strCache>
            </c:strRef>
          </c:cat>
          <c:val>
            <c:numRef>
              <c:f>挠度!$F$13:$F$16</c:f>
              <c:numCache>
                <c:formatCode>0.00_ </c:formatCode>
                <c:ptCount val="4"/>
                <c:pt idx="0">
                  <c:v>14</c:v>
                </c:pt>
                <c:pt idx="1">
                  <c:v>14</c:v>
                </c:pt>
                <c:pt idx="2">
                  <c:v>12</c:v>
                </c:pt>
                <c:pt idx="3">
                  <c:v>12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742708570"/>
        <c:axId val="407792918"/>
      </c:lineChart>
      <c:catAx>
        <c:axId val="742708570"/>
        <c:scaling>
          <c:orientation val="minMax"/>
        </c:scaling>
        <c:delete val="0"/>
        <c:axPos val="b"/>
        <c:title>
          <c:tx>
            <c:rich>
              <a:bodyPr rot="0" spcFirstLastPara="0" vertOverflow="ellipsis" vert="horz" wrap="square" anchor="ctr" anchorCtr="1"/>
              <a:lstStyle/>
              <a:p>
                <a:pPr defTabSz="914400">
                  <a:defRPr lang="zh-CN"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t>测点号</a:t>
                </a:r>
              </a:p>
            </c:rich>
          </c:tx>
          <c:layout>
            <c:manualLayout>
              <c:xMode val="edge"/>
              <c:yMode val="edge"/>
              <c:x val="0.480828571428571"/>
              <c:y val="0.918564937664915"/>
            </c:manualLayout>
          </c:layout>
          <c:overlay val="0"/>
          <c:spPr>
            <a:noFill/>
            <a:ln>
              <a:noFill/>
            </a:ln>
            <a:effectLst/>
          </c:spPr>
        </c:title>
        <c:numFmt formatCode="_ &quot;￥&quot;* #,##0.00_ ;_ &quot;￥&quot;* \-#,##0.00_ ;_ &quot;￥&quot;* &quot;-&quot;??_ ;_ @_ " sourceLinked="0"/>
        <c:majorTickMark val="cross"/>
        <c:minorTickMark val="none"/>
        <c:tickLblPos val="nextTo"/>
        <c:spPr>
          <a:noFill/>
          <a:ln w="9525" cap="flat" cmpd="sng" algn="ctr">
            <a:solidFill>
              <a:schemeClr val="tx1"/>
            </a:solidFill>
            <a:round/>
          </a:ln>
          <a:effectLst/>
        </c:spPr>
        <c:txPr>
          <a:bodyPr rot="-60000000" spcFirstLastPara="0" vertOverflow="ellipsis" vert="horz" wrap="square" anchor="ctr" anchorCtr="1"/>
          <a:lstStyle/>
          <a:p>
            <a:pPr>
              <a:defRPr lang="zh-CN"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</a:p>
        </c:txPr>
        <c:crossAx val="407792918"/>
        <c:crosses val="autoZero"/>
        <c:auto val="1"/>
        <c:lblAlgn val="ctr"/>
        <c:lblOffset val="100"/>
        <c:noMultiLvlLbl val="0"/>
      </c:catAx>
      <c:valAx>
        <c:axId val="407792918"/>
        <c:scaling>
          <c:orientation val="minMax"/>
        </c:scaling>
        <c:delete val="0"/>
        <c:axPos val="l"/>
        <c:majorGridlines>
          <c:spPr>
            <a:ln w="12700" cap="flat" cmpd="sng" algn="ctr">
              <a:solidFill>
                <a:schemeClr val="tx1"/>
              </a:solidFill>
              <a:prstDash val="sysDash"/>
              <a:round/>
            </a:ln>
            <a:effectLst/>
          </c:spPr>
        </c:majorGridlines>
        <c:title>
          <c:tx>
            <c:rich>
              <a:bodyPr rot="-5400000" spcFirstLastPara="0" vertOverflow="ellipsis" vert="horz" wrap="square" anchor="ctr" anchorCtr="1"/>
              <a:lstStyle/>
              <a:p>
                <a:pPr defTabSz="914400">
                  <a:defRPr lang="zh-CN"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t>挠度值（mm）</a:t>
                </a:r>
              </a:p>
            </c:rich>
          </c:tx>
          <c:layout/>
          <c:overlay val="0"/>
          <c:spPr>
            <a:noFill/>
            <a:ln>
              <a:noFill/>
            </a:ln>
            <a:effectLst/>
          </c:spPr>
        </c:title>
        <c:numFmt formatCode="0.00_ 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0" vertOverflow="ellipsis" vert="horz" wrap="square" anchor="ctr" anchorCtr="1"/>
          <a:lstStyle/>
          <a:p>
            <a:pPr>
              <a:defRPr lang="zh-CN"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</a:p>
        </c:txPr>
        <c:crossAx val="742708570"/>
        <c:crosses val="autoZero"/>
        <c:crossBetween val="midCat"/>
      </c:valAx>
      <c:spPr>
        <a:solidFill>
          <a:schemeClr val="bg1"/>
        </a:solidFill>
        <a:ln>
          <a:solidFill>
            <a:schemeClr val="tx1"/>
          </a:solidFill>
        </a:ln>
        <a:effectLst/>
      </c:spPr>
    </c:plotArea>
    <c:legend>
      <c:legendPos val="b"/>
      <c:layout>
        <c:manualLayout>
          <c:xMode val="edge"/>
          <c:yMode val="edge"/>
          <c:x val="0.632832225913621"/>
          <c:y val="0.358092916953701"/>
        </c:manualLayout>
      </c:layout>
      <c:overlay val="0"/>
      <c:spPr>
        <a:noFill/>
        <a:ln>
          <a:noFill/>
        </a:ln>
        <a:effectLst/>
      </c:spPr>
      <c:txPr>
        <a:bodyPr rot="0" spcFirstLastPara="0" vertOverflow="ellipsis" vert="horz" wrap="square" anchor="ctr" anchorCtr="1"/>
        <a:lstStyle/>
        <a:p>
          <a:pPr>
            <a:defRPr lang="zh-CN"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</a:p>
      </c:txPr>
    </c:legend>
    <c:plotVisOnly val="1"/>
    <c:dispBlanksAs val="gap"/>
    <c:showDLblsOverMax val="0"/>
  </c:chart>
  <c:spPr>
    <a:solidFill>
      <a:schemeClr val="bg1">
        <a:lumMod val="75000"/>
      </a:schemeClr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 lang="zh-CN"/>
      </a:pPr>
    </a:p>
  </c:txPr>
  <c:externalData r:id="rId1">
    <c:autoUpdate val="0"/>
  </c:externalData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332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332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332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.xml><?xml version="1.0" encoding="utf-8"?>
<cs:chartStyle xmlns:cs="http://schemas.microsoft.com/office/drawing/2012/chartStyle" xmlns:a="http://schemas.openxmlformats.org/drawingml/2006/main" id="332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.xml><?xml version="1.0" encoding="utf-8"?>
<cs:chartStyle xmlns:cs="http://schemas.microsoft.com/office/drawing/2012/chartStyle" xmlns:a="http://schemas.openxmlformats.org/drawingml/2006/main" id="332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.xml><?xml version="1.0" encoding="utf-8"?>
<cs:chartStyle xmlns:cs="http://schemas.microsoft.com/office/drawing/2012/chartStyle" xmlns:a="http://schemas.openxmlformats.org/drawingml/2006/main" id="332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7.xml><?xml version="1.0" encoding="utf-8"?>
<cs:chartStyle xmlns:cs="http://schemas.microsoft.com/office/drawing/2012/chartStyle" xmlns:a="http://schemas.openxmlformats.org/drawingml/2006/main" id="332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8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9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0.xml><?xml version="1.0" encoding="utf-8"?>
<cs:chartStyle xmlns:cs="http://schemas.microsoft.com/office/drawing/2012/chartStyle" xmlns:a="http://schemas.openxmlformats.org/drawingml/2006/main" id="332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1.xml><?xml version="1.0" encoding="utf-8"?>
<cs:chartStyle xmlns:cs="http://schemas.microsoft.com/office/drawing/2012/chartStyle" xmlns:a="http://schemas.openxmlformats.org/drawingml/2006/main" id="332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trlProps/ctrlProp1.xml><?xml version="1.0" encoding="utf-8"?>
<formControlPr xmlns="http://schemas.microsoft.com/office/spreadsheetml/2009/9/main" objectType="Button" val="0"/>
</file>

<file path=xl/ctrlProps/ctrlProp2.xml><?xml version="1.0" encoding="utf-8"?>
<formControlPr xmlns="http://schemas.microsoft.com/office/spreadsheetml/2009/9/main" objectType="Button" val="0"/>
</file>

<file path=xl/ctrlProps/ctrlProp3.xml><?xml version="1.0" encoding="utf-8"?>
<formControlPr xmlns="http://schemas.microsoft.com/office/spreadsheetml/2009/9/main" objectType="Radio" checked="Checked" firstButton="1" noThreeD="1" val="0"/>
</file>

<file path=xl/ctrlProps/ctrlProp4.xml><?xml version="1.0" encoding="utf-8"?>
<formControlPr xmlns="http://schemas.microsoft.com/office/spreadsheetml/2009/9/main" objectType="GBox" noThreeD="1" val="0"/>
</file>

<file path=xl/ctrlProps/ctrlProp5.xml><?xml version="1.0" encoding="utf-8"?>
<formControlPr xmlns="http://schemas.microsoft.com/office/spreadsheetml/2009/9/main" objectType="Radio" noThreeD="1" val="0"/>
</file>

<file path=xl/ctrlProps/ctrlProp6.xml><?xml version="1.0" encoding="utf-8"?>
<formControlPr xmlns="http://schemas.microsoft.com/office/spreadsheetml/2009/9/main" objectType="Label" val="0"/>
</file>

<file path=xl/ctrlProps/ctrlProp7.xml><?xml version="1.0" encoding="utf-8"?>
<formControlPr xmlns="http://schemas.microsoft.com/office/spreadsheetml/2009/9/main" objectType="Label" val="0"/>
</file>

<file path=xl/ctrlProps/ctrlProp8.xml><?xml version="1.0" encoding="utf-8"?>
<formControlPr xmlns="http://schemas.microsoft.com/office/spreadsheetml/2009/9/main" objectType="Label" val="0"/>
</file>

<file path=xl/ctrlProps/ctrlProp9.xml><?xml version="1.0" encoding="utf-8"?>
<formControlPr xmlns="http://schemas.microsoft.com/office/spreadsheetml/2009/9/main" objectType="Button" val="0"/>
</file>

<file path=xl/ctrlProps/ctrlProp10.xml><?xml version="1.0" encoding="utf-8"?>
<formControlPr xmlns="http://schemas.microsoft.com/office/spreadsheetml/2009/9/main" objectType="Button" val="0"/>
</file>

<file path=xl/ctrlProps/ctrlProp11.xml><?xml version="1.0" encoding="utf-8"?>
<formControlPr xmlns="http://schemas.microsoft.com/office/spreadsheetml/2009/9/main" objectType="Button" val="0"/>
</file>

<file path=xl/ctrlProps/ctrlProp12.xml><?xml version="1.0" encoding="utf-8"?>
<formControlPr xmlns="http://schemas.microsoft.com/office/spreadsheetml/2009/9/main" objectType="CheckBox" val="0"/>
</file>

<file path=xl/ctrlProps/ctrlProp13.xml><?xml version="1.0" encoding="utf-8"?>
<formControlPr xmlns="http://schemas.microsoft.com/office/spreadsheetml/2009/9/main" objectType="CheckBox" val="0"/>
</file>

<file path=xl/ctrlProps/ctrlProp14.xml><?xml version="1.0" encoding="utf-8"?>
<formControlPr xmlns="http://schemas.microsoft.com/office/spreadsheetml/2009/9/main" objectType="CheckBox" val="0"/>
</file>

<file path=xl/ctrlProps/ctrlProp15.xml><?xml version="1.0" encoding="utf-8"?>
<formControlPr xmlns="http://schemas.microsoft.com/office/spreadsheetml/2009/9/main" objectType="CheckBox" val="0"/>
</file>

<file path=xl/ctrlProps/ctrlProp16.xml><?xml version="1.0" encoding="utf-8"?>
<formControlPr xmlns="http://schemas.microsoft.com/office/spreadsheetml/2009/9/main" objectType="CheckBox" val="0"/>
</file>

<file path=xl/ctrlProps/ctrlProp17.xml><?xml version="1.0" encoding="utf-8"?>
<formControlPr xmlns="http://schemas.microsoft.com/office/spreadsheetml/2009/9/main" objectType="CheckBox" val="0"/>
</file>

<file path=xl/ctrlProps/ctrlProp18.xml><?xml version="1.0" encoding="utf-8"?>
<formControlPr xmlns="http://schemas.microsoft.com/office/spreadsheetml/2009/9/main" objectType="CheckBox" val="0"/>
</file>

<file path=xl/ctrlProps/ctrlProp19.xml><?xml version="1.0" encoding="utf-8"?>
<formControlPr xmlns="http://schemas.microsoft.com/office/spreadsheetml/2009/9/main" objectType="CheckBox" val="0"/>
</file>

<file path=xl/ctrlProps/ctrlProp20.xml><?xml version="1.0" encoding="utf-8"?>
<formControlPr xmlns="http://schemas.microsoft.com/office/spreadsheetml/2009/9/main" objectType="CheckBox" val="0"/>
</file>

<file path=xl/ctrlProps/ctrlProp21.xml><?xml version="1.0" encoding="utf-8"?>
<formControlPr xmlns="http://schemas.microsoft.com/office/spreadsheetml/2009/9/main" objectType="CheckBox" val="0"/>
</file>

<file path=xl/ctrlProps/ctrlProp22.xml><?xml version="1.0" encoding="utf-8"?>
<formControlPr xmlns="http://schemas.microsoft.com/office/spreadsheetml/2009/9/main" objectType="CheckBox" val="0"/>
</file>

<file path=xl/ctrlProps/ctrlProp23.xml><?xml version="1.0" encoding="utf-8"?>
<formControlPr xmlns="http://schemas.microsoft.com/office/spreadsheetml/2009/9/main" objectType="CheckBox" val="0"/>
</file>

<file path=xl/ctrlProps/ctrlProp24.xml><?xml version="1.0" encoding="utf-8"?>
<formControlPr xmlns="http://schemas.microsoft.com/office/spreadsheetml/2009/9/main" objectType="CheckBox" val="0"/>
</file>

<file path=xl/ctrlProps/ctrlProp25.xml><?xml version="1.0" encoding="utf-8"?>
<formControlPr xmlns="http://schemas.microsoft.com/office/spreadsheetml/2009/9/main" objectType="CheckBox" val="0"/>
</file>

<file path=xl/ctrlProps/ctrlProp26.xml><?xml version="1.0" encoding="utf-8"?>
<formControlPr xmlns="http://schemas.microsoft.com/office/spreadsheetml/2009/9/main" objectType="CheckBox" val="0"/>
</file>

<file path=xl/ctrlProps/ctrlProp27.xml><?xml version="1.0" encoding="utf-8"?>
<formControlPr xmlns="http://schemas.microsoft.com/office/spreadsheetml/2009/9/main" objectType="CheckBox" val="0"/>
</file>

<file path=xl/ctrlProps/ctrlProp28.xml><?xml version="1.0" encoding="utf-8"?>
<formControlPr xmlns="http://schemas.microsoft.com/office/spreadsheetml/2009/9/main" objectType="CheckBox" val="0"/>
</file>

<file path=xl/ctrlProps/ctrlProp29.xml><?xml version="1.0" encoding="utf-8"?>
<formControlPr xmlns="http://schemas.microsoft.com/office/spreadsheetml/2009/9/main" objectType="CheckBox" val="0"/>
</file>

<file path=xl/ctrlProps/ctrlProp30.xml><?xml version="1.0" encoding="utf-8"?>
<formControlPr xmlns="http://schemas.microsoft.com/office/spreadsheetml/2009/9/main" objectType="CheckBox" val="0"/>
</file>

<file path=xl/ctrlProps/ctrlProp31.xml><?xml version="1.0" encoding="utf-8"?>
<formControlPr xmlns="http://schemas.microsoft.com/office/spreadsheetml/2009/9/main" objectType="CheckBox" val="0"/>
</file>

<file path=xl/ctrlProps/ctrlProp32.xml><?xml version="1.0" encoding="utf-8"?>
<formControlPr xmlns="http://schemas.microsoft.com/office/spreadsheetml/2009/9/main" objectType="Button" val="0"/>
</file>

<file path=xl/ctrlProps/ctrlProp33.xml><?xml version="1.0" encoding="utf-8"?>
<formControlPr xmlns="http://schemas.microsoft.com/office/spreadsheetml/2009/9/main" objectType="CheckBox" checked="Checked" val="0"/>
</file>

<file path=xl/ctrlProps/ctrlProp34.xml><?xml version="1.0" encoding="utf-8"?>
<formControlPr xmlns="http://schemas.microsoft.com/office/spreadsheetml/2009/9/main" objectType="CheckBox" checked="Checked" val="0"/>
</file>

<file path=xl/ctrlProps/ctrlProp35.xml><?xml version="1.0" encoding="utf-8"?>
<formControlPr xmlns="http://schemas.microsoft.com/office/spreadsheetml/2009/9/main" objectType="CheckBox" val="0"/>
</file>

<file path=xl/ctrlProps/ctrlProp36.xml><?xml version="1.0" encoding="utf-8"?>
<formControlPr xmlns="http://schemas.microsoft.com/office/spreadsheetml/2009/9/main" objectType="CheckBox" val="0"/>
</file>

<file path=xl/ctrlProps/ctrlProp37.xml><?xml version="1.0" encoding="utf-8"?>
<formControlPr xmlns="http://schemas.microsoft.com/office/spreadsheetml/2009/9/main" objectType="CheckBox" val="0"/>
</file>

<file path=xl/ctrlProps/ctrlProp38.xml><?xml version="1.0" encoding="utf-8"?>
<formControlPr xmlns="http://schemas.microsoft.com/office/spreadsheetml/2009/9/main" objectType="Button" val="0"/>
</file>

<file path=xl/ctrlProps/ctrlProp39.xml><?xml version="1.0" encoding="utf-8"?>
<formControlPr xmlns="http://schemas.microsoft.com/office/spreadsheetml/2009/9/main" objectType="Button" val="0"/>
</file>

<file path=xl/ctrlProps/ctrlProp40.xml><?xml version="1.0" encoding="utf-8"?>
<formControlPr xmlns="http://schemas.microsoft.com/office/spreadsheetml/2009/9/main" objectType="Button" val="0"/>
</file>

<file path=xl/ctrlProps/ctrlProp41.xml><?xml version="1.0" encoding="utf-8"?>
<formControlPr xmlns="http://schemas.microsoft.com/office/spreadsheetml/2009/9/main" objectType="Button" val="0"/>
</file>

<file path=xl/ctrlProps/ctrlProp42.xml><?xml version="1.0" encoding="utf-8"?>
<formControlPr xmlns="http://schemas.microsoft.com/office/spreadsheetml/2009/9/main" objectType="Button" val="0"/>
</file>

<file path=xl/ctrlProps/ctrlProp43.xml><?xml version="1.0" encoding="utf-8"?>
<formControlPr xmlns="http://schemas.microsoft.com/office/spreadsheetml/2009/9/main" objectType="Button" val="0"/>
</file>

<file path=xl/ctrlProps/ctrlProp44.xml><?xml version="1.0" encoding="utf-8"?>
<formControlPr xmlns="http://schemas.microsoft.com/office/spreadsheetml/2009/9/main" objectType="GBox" noThreeD="1" val="0"/>
</file>

<file path=xl/ctrlProps/ctrlProp45.xml><?xml version="1.0" encoding="utf-8"?>
<formControlPr xmlns="http://schemas.microsoft.com/office/spreadsheetml/2009/9/main" objectType="Button" val="0"/>
</file>

<file path=xl/ctrlProps/ctrlProp46.xml><?xml version="1.0" encoding="utf-8"?>
<formControlPr xmlns="http://schemas.microsoft.com/office/spreadsheetml/2009/9/main" objectType="Button" val="0"/>
</file>

<file path=xl/ctrlProps/ctrlProp47.xml><?xml version="1.0" encoding="utf-8"?>
<formControlPr xmlns="http://schemas.microsoft.com/office/spreadsheetml/2009/9/main" objectType="Button" val="0"/>
</file>

<file path=xl/ctrlProps/ctrlProp48.xml><?xml version="1.0" encoding="utf-8"?>
<formControlPr xmlns="http://schemas.microsoft.com/office/spreadsheetml/2009/9/main" objectType="Button" val="0"/>
</file>

<file path=xl/ctrlProps/ctrlProp49.xml><?xml version="1.0" encoding="utf-8"?>
<formControlPr xmlns="http://schemas.microsoft.com/office/spreadsheetml/2009/9/main" objectType="Button" val="0"/>
</file>

<file path=xl/ctrlProps/ctrlProp50.xml><?xml version="1.0" encoding="utf-8"?>
<formControlPr xmlns="http://schemas.microsoft.com/office/spreadsheetml/2009/9/main" objectType="GBox" noThreeD="1" val="0"/>
</file>

<file path=xl/ctrlProps/ctrlProp51.xml><?xml version="1.0" encoding="utf-8"?>
<formControlPr xmlns="http://schemas.microsoft.com/office/spreadsheetml/2009/9/main" objectType="Button" val="0"/>
</file>

<file path=xl/ctrlProps/ctrlProp52.xml><?xml version="1.0" encoding="utf-8"?>
<formControlPr xmlns="http://schemas.microsoft.com/office/spreadsheetml/2009/9/main" objectType="Button" val="0"/>
</file>

<file path=xl/ctrlProps/ctrlProp53.xml><?xml version="1.0" encoding="utf-8"?>
<formControlPr xmlns="http://schemas.microsoft.com/office/spreadsheetml/2009/9/main" objectType="Button" val="0"/>
</file>

<file path=xl/ctrlProps/ctrlProp54.xml><?xml version="1.0" encoding="utf-8"?>
<formControlPr xmlns="http://schemas.microsoft.com/office/spreadsheetml/2009/9/main" objectType="Button" val="0"/>
</file>

<file path=xl/ctrlProps/ctrlProp55.xml><?xml version="1.0" encoding="utf-8"?>
<formControlPr xmlns="http://schemas.microsoft.com/office/spreadsheetml/2009/9/main" objectType="Button" val="0"/>
</file>

<file path=xl/ctrlProps/ctrlProp56.xml><?xml version="1.0" encoding="utf-8"?>
<formControlPr xmlns="http://schemas.microsoft.com/office/spreadsheetml/2009/9/main" objectType="Button" val="0"/>
</file>

<file path=xl/ctrlProps/ctrlProp57.xml><?xml version="1.0" encoding="utf-8"?>
<formControlPr xmlns="http://schemas.microsoft.com/office/spreadsheetml/2009/9/main" objectType="CheckBox" checked="Checked" val="0"/>
</file>

<file path=xl/ctrlProps/ctrlProp58.xml><?xml version="1.0" encoding="utf-8"?>
<formControlPr xmlns="http://schemas.microsoft.com/office/spreadsheetml/2009/9/main" objectType="GBox" val="0"/>
</file>

<file path=xl/ctrlProps/ctrlProp59.xml><?xml version="1.0" encoding="utf-8"?>
<formControlPr xmlns="http://schemas.microsoft.com/office/spreadsheetml/2009/9/main" objectType="GBox" val="0"/>
</file>

<file path=xl/ctrlProps/ctrlProp60.xml><?xml version="1.0" encoding="utf-8"?>
<formControlPr xmlns="http://schemas.microsoft.com/office/spreadsheetml/2009/9/main" objectType="Button" val="0"/>
</file>

<file path=xl/ctrlProps/ctrlProp61.xml><?xml version="1.0" encoding="utf-8"?>
<formControlPr xmlns="http://schemas.microsoft.com/office/spreadsheetml/2009/9/main" objectType="Button" val="0"/>
</file>

<file path=xl/ctrlProps/ctrlProp62.xml><?xml version="1.0" encoding="utf-8"?>
<formControlPr xmlns="http://schemas.microsoft.com/office/spreadsheetml/2009/9/main" objectType="CheckBox" checked="Checked" val="0"/>
</file>

<file path=xl/ctrlProps/ctrlProp63.xml><?xml version="1.0" encoding="utf-8"?>
<formControlPr xmlns="http://schemas.microsoft.com/office/spreadsheetml/2009/9/main" objectType="Button" val="0"/>
</file>

<file path=xl/ctrlProps/ctrlProp64.xml><?xml version="1.0" encoding="utf-8"?>
<formControlPr xmlns="http://schemas.microsoft.com/office/spreadsheetml/2009/9/main" objectType="Button" val="0"/>
</file>

<file path=xl/ctrlProps/ctrlProp65.xml><?xml version="1.0" encoding="utf-8"?>
<formControlPr xmlns="http://schemas.microsoft.com/office/spreadsheetml/2009/9/main" objectType="Button" val="0"/>
</file>

<file path=xl/ctrlProps/ctrlProp66.xml><?xml version="1.0" encoding="utf-8"?>
<formControlPr xmlns="http://schemas.microsoft.com/office/spreadsheetml/2009/9/main" objectType="Button" val="0"/>
</file>

<file path=xl/ctrlProps/ctrlProp67.xml><?xml version="1.0" encoding="utf-8"?>
<formControlPr xmlns="http://schemas.microsoft.com/office/spreadsheetml/2009/9/main" objectType="Button" val="0"/>
</file>

<file path=xl/ctrlProps/ctrlProp68.xml><?xml version="1.0" encoding="utf-8"?>
<formControlPr xmlns="http://schemas.microsoft.com/office/spreadsheetml/2009/9/main" objectType="Button" val="0"/>
</file>

<file path=xl/ctrlProps/ctrlProp69.xml><?xml version="1.0" encoding="utf-8"?>
<formControlPr xmlns="http://schemas.microsoft.com/office/spreadsheetml/2009/9/main" objectType="Button" val="0"/>
</file>

<file path=xl/ctrlProps/ctrlProp70.xml><?xml version="1.0" encoding="utf-8"?>
<formControlPr xmlns="http://schemas.microsoft.com/office/spreadsheetml/2009/9/main" objectType="Button" val="0"/>
</file>

<file path=xl/ctrlProps/ctrlProp71.xml><?xml version="1.0" encoding="utf-8"?>
<formControlPr xmlns="http://schemas.microsoft.com/office/spreadsheetml/2009/9/main" objectType="Button" val="0"/>
</file>

<file path=xl/ctrlProps/ctrlProp72.xml><?xml version="1.0" encoding="utf-8"?>
<formControlPr xmlns="http://schemas.microsoft.com/office/spreadsheetml/2009/9/main" objectType="Button" val="0"/>
</file>

<file path=xl/ctrlProps/ctrlProp73.xml><?xml version="1.0" encoding="utf-8"?>
<formControlPr xmlns="http://schemas.microsoft.com/office/spreadsheetml/2009/9/main" objectType="Button" val="0"/>
</file>

<file path=xl/drawings/_rels/drawing3.xml.rels><?xml version="1.0" encoding="UTF-8" standalone="yes"?>
<Relationships xmlns="http://schemas.openxmlformats.org/package/2006/relationships"><Relationship Id="rId4" Type="http://schemas.openxmlformats.org/officeDocument/2006/relationships/image" Target="../media/image2.png"/><Relationship Id="rId3" Type="http://schemas.openxmlformats.org/officeDocument/2006/relationships/image" Target="../media/image1.png"/><Relationship Id="rId2" Type="http://schemas.openxmlformats.org/officeDocument/2006/relationships/chart" Target="../charts/chart2.xml"/><Relationship Id="rId1" Type="http://schemas.openxmlformats.org/officeDocument/2006/relationships/chart" Target="../charts/chart1.xml"/></Relationships>
</file>

<file path=xl/drawings/_rels/drawing4.xml.rels><?xml version="1.0" encoding="UTF-8" standalone="yes"?>
<Relationships xmlns="http://schemas.openxmlformats.org/package/2006/relationships"><Relationship Id="rId7" Type="http://schemas.openxmlformats.org/officeDocument/2006/relationships/image" Target="../media/image4.png"/><Relationship Id="rId6" Type="http://schemas.openxmlformats.org/officeDocument/2006/relationships/image" Target="../media/image3.png"/><Relationship Id="rId5" Type="http://schemas.openxmlformats.org/officeDocument/2006/relationships/chart" Target="../charts/chart7.xml"/><Relationship Id="rId4" Type="http://schemas.openxmlformats.org/officeDocument/2006/relationships/chart" Target="../charts/chart6.xml"/><Relationship Id="rId3" Type="http://schemas.openxmlformats.org/officeDocument/2006/relationships/chart" Target="../charts/chart5.xml"/><Relationship Id="rId2" Type="http://schemas.openxmlformats.org/officeDocument/2006/relationships/chart" Target="../charts/chart4.xml"/><Relationship Id="rId1" Type="http://schemas.openxmlformats.org/officeDocument/2006/relationships/chart" Target="../charts/chart3.xml"/></Relationships>
</file>

<file path=xl/drawings/_rels/drawing9.xml.rels><?xml version="1.0" encoding="UTF-8" standalone="yes"?>
<Relationships xmlns="http://schemas.openxmlformats.org/package/2006/relationships"><Relationship Id="rId5" Type="http://schemas.openxmlformats.org/officeDocument/2006/relationships/image" Target="../media/image5.png"/><Relationship Id="rId4" Type="http://schemas.openxmlformats.org/officeDocument/2006/relationships/chart" Target="../charts/chart11.xml"/><Relationship Id="rId3" Type="http://schemas.openxmlformats.org/officeDocument/2006/relationships/chart" Target="../charts/chart10.xml"/><Relationship Id="rId2" Type="http://schemas.openxmlformats.org/officeDocument/2006/relationships/chart" Target="../charts/chart9.xml"/><Relationship Id="rId1" Type="http://schemas.openxmlformats.org/officeDocument/2006/relationships/chart" Target="../charts/chart8.xml"/></Relationships>
</file>

<file path=xl/drawings/_rels/drawing10.xml.rels><?xml version="1.0" encoding="UTF-8" standalone="yes"?>
<Relationships xmlns="http://schemas.openxmlformats.org/package/2006/relationships"><Relationship Id="rId1" Type="http://schemas.openxmlformats.org/officeDocument/2006/relationships/image" Target="../media/image6.png"/></Relationships>
</file>

<file path=xl/drawings/drawing1.xml><?xml version="1.0" encoding="utf-8"?>
<xdr:wsDr xmlns:xdr="http://schemas.openxmlformats.org/drawingml/2006/spreadsheetDrawing" xmlns:r="http://schemas.openxmlformats.org/officeDocument/2006/relationships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28575</xdr:colOff>
          <xdr:row>10</xdr:row>
          <xdr:rowOff>123825</xdr:rowOff>
        </xdr:from>
        <xdr:to>
          <xdr:col>8</xdr:col>
          <xdr:colOff>276225</xdr:colOff>
          <xdr:row>12</xdr:row>
          <xdr:rowOff>0</xdr:rowOff>
        </xdr:to>
        <xdr:sp macro="[0]!instructions_Click">
          <xdr:nvSpPr>
            <xdr:cNvPr id="7175" name="Button 7" hidden="1">
              <a:extLst>
                <a:ext uri="{63B3BB69-23CF-44E3-9099-C40C66FF867C}">
                  <a14:compatExt spid="_x0000_s7175"/>
                </a:ext>
              </a:extLst>
            </xdr:cNvPr>
            <xdr:cNvSpPr/>
          </xdr:nvSpPr>
          <xdr:spPr>
            <a:xfrm>
              <a:off x="4829175" y="1933575"/>
              <a:ext cx="933450" cy="238125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等线" panose="02010600030101010101" charset="-122"/>
                  <a:ea typeface="等线" panose="02010600030101010101" charset="-122"/>
                </a:rPr>
                <a:t>使用说明</a:t>
              </a:r>
              <a:endParaRPr lang="zh-CN" altLang="en-US" sz="1100" b="0" i="0" u="none" strike="noStrike" baseline="0">
                <a:solidFill>
                  <a:srgbClr val="000000"/>
                </a:solidFill>
                <a:latin typeface="等线" panose="02010600030101010101" charset="-122"/>
                <a:ea typeface="等线" panose="02010600030101010101" charset="-122"/>
              </a:endParaRPr>
            </a:p>
          </xdr:txBody>
        </xdr:sp>
        <xdr:clientData fPrintsWithSheet="0"/>
      </xdr:twoCellAnchor>
    </mc:Choice>
    <mc:Fallback/>
  </mc:AlternateContent>
  <xdr:twoCellAnchor>
    <xdr:from>
      <xdr:col>3</xdr:col>
      <xdr:colOff>38100</xdr:colOff>
      <xdr:row>7</xdr:row>
      <xdr:rowOff>104775</xdr:rowOff>
    </xdr:from>
    <xdr:to>
      <xdr:col>6</xdr:col>
      <xdr:colOff>76200</xdr:colOff>
      <xdr:row>11</xdr:row>
      <xdr:rowOff>123825</xdr:rowOff>
    </xdr:to>
    <xdr:grpSp>
      <xdr:nvGrpSpPr>
        <xdr:cNvPr id="2" name="组合 1"/>
        <xdr:cNvGrpSpPr/>
      </xdr:nvGrpSpPr>
      <xdr:grpSpPr>
        <a:xfrm>
          <a:off x="2095500" y="1371600"/>
          <a:ext cx="2095500" cy="742950"/>
          <a:chOff x="4124325" y="1209678"/>
          <a:chExt cx="2095500" cy="742950"/>
        </a:xfrm>
      </xdr:grpSpPr>
      <mc:AlternateContent xmlns:mc="http://schemas.openxmlformats.org/markup-compatibility/2006">
        <mc:Choice xmlns:a14="http://schemas.microsoft.com/office/drawing/2010/main" Requires="a14">
          <xdr:sp macro="[0]!CheckUpdate">
            <xdr:nvSpPr>
              <xdr:cNvPr id="7177" name="Button 9" hidden="1">
                <a:extLst>
                  <a:ext uri="{63B3BB69-23CF-44E3-9099-C40C66FF867C}">
                    <a14:compatExt spid="_x0000_s7177"/>
                  </a:ext>
                </a:extLst>
              </xdr:cNvPr>
              <xdr:cNvSpPr/>
            </xdr:nvSpPr>
            <xdr:spPr>
              <a:xfrm>
                <a:off x="4324350" y="1685925"/>
                <a:ext cx="895350" cy="209550"/>
              </a:xfrm>
              <a:prstGeom prst="rect">
                <a:avLst/>
              </a:prstGeom>
            </xdr:spPr>
            <xdr:txBody>
              <a:bodyPr vertOverflow="clip" wrap="square" lIns="27432" tIns="22860" rIns="27432" bIns="22860" anchor="ctr" upright="1"/>
              <a:lstStyle/>
              <a:p>
                <a:pPr algn="ctr" rtl="0">
                  <a:defRPr sz="1000"/>
                </a:pPr>
                <a:r>
                  <a:rPr lang="zh-CN" altLang="en-US" sz="1100" b="0" i="0" u="none" strike="noStrike" baseline="0">
                    <a:solidFill>
                      <a:srgbClr val="000000"/>
                    </a:solidFill>
                    <a:latin typeface="等线" panose="02010600030101010101" charset="-122"/>
                    <a:ea typeface="等线" panose="02010600030101010101" charset="-122"/>
                  </a:rPr>
                  <a:t>检查更新</a:t>
                </a:r>
                <a:endParaRPr lang="zh-CN" altLang="en-US" sz="1100" b="0" i="0" u="none" strike="noStrike" baseline="0">
                  <a:solidFill>
                    <a:srgbClr val="000000"/>
                  </a:solidFill>
                  <a:latin typeface="等线" panose="02010600030101010101" charset="-122"/>
                  <a:ea typeface="等线" panose="02010600030101010101" charset="-122"/>
                </a:endParaRPr>
              </a:p>
            </xdr:txBody>
          </xdr:sp>
        </mc:Choice>
        <mc:Fallback/>
      </mc:AlternateContent>
      <mc:AlternateContent xmlns:mc="http://schemas.openxmlformats.org/markup-compatibility/2006">
        <mc:Choice xmlns:a14="http://schemas.microsoft.com/office/drawing/2010/main" Requires="a14">
          <xdr:sp>
            <xdr:nvSpPr>
              <xdr:cNvPr id="7178" name="op1" hidden="1">
                <a:extLst>
                  <a:ext uri="{63B3BB69-23CF-44E3-9099-C40C66FF867C}">
                    <a14:compatExt spid="_x0000_s7178"/>
                  </a:ext>
                </a:extLst>
              </xdr:cNvPr>
              <xdr:cNvSpPr/>
            </xdr:nvSpPr>
            <xdr:spPr>
              <a:xfrm>
                <a:off x="4286250" y="1371600"/>
                <a:ext cx="695325" cy="276225"/>
              </a:xfrm>
              <a:prstGeom prst="rect">
                <a:avLst/>
              </a:prstGeom>
            </xdr:spPr>
            <xdr:txBody>
              <a:bodyPr vertOverflow="clip" wrap="square" lIns="27432" tIns="32004" rIns="0" bIns="32004" anchor="ctr" upright="1"/>
              <a:lstStyle/>
              <a:p>
                <a:pPr algn="l" rtl="0">
                  <a:defRPr sz="1000"/>
                </a:pPr>
                <a:r>
                  <a:rPr lang="zh-CN" altLang="en-US" sz="900" b="0" i="0" u="none" strike="noStrike" baseline="0">
                    <a:solidFill>
                      <a:srgbClr val="000000"/>
                    </a:solidFill>
                    <a:latin typeface="Microsoft YaHei UI" panose="020B0503020204020204" charset="-122"/>
                    <a:ea typeface="Microsoft YaHei UI" panose="020B0503020204020204" charset="-122"/>
                  </a:rPr>
                  <a:t>单位内网</a:t>
                </a:r>
                <a:endParaRPr lang="zh-CN" altLang="en-US" sz="900" b="0" i="0" u="none" strike="noStrike" baseline="0">
                  <a:solidFill>
                    <a:srgbClr val="000000"/>
                  </a:solidFill>
                  <a:latin typeface="Microsoft YaHei UI" panose="020B0503020204020204" charset="-122"/>
                  <a:ea typeface="Microsoft YaHei UI" panose="020B0503020204020204" charset="-122"/>
                </a:endParaRPr>
              </a:p>
            </xdr:txBody>
          </xdr:sp>
        </mc:Choice>
        <mc:Fallback/>
      </mc:AlternateContent>
      <mc:AlternateContent xmlns:mc="http://schemas.openxmlformats.org/markup-compatibility/2006">
        <mc:Choice xmlns:a14="http://schemas.microsoft.com/office/drawing/2010/main" Requires="a14">
          <xdr:sp>
            <xdr:nvSpPr>
              <xdr:cNvPr id="7180" name="Group Box 12" hidden="1">
                <a:extLst>
                  <a:ext uri="{63B3BB69-23CF-44E3-9099-C40C66FF867C}">
                    <a14:compatExt spid="_x0000_s7180"/>
                  </a:ext>
                </a:extLst>
              </xdr:cNvPr>
              <xdr:cNvSpPr/>
            </xdr:nvSpPr>
            <xdr:spPr>
              <a:xfrm>
                <a:off x="4124325" y="1209678"/>
                <a:ext cx="2095500" cy="742950"/>
              </a:xfrm>
              <a:prstGeom prst="rect">
                <a:avLst/>
              </a:prstGeom>
            </xdr:spPr>
            <xdr:txBody>
              <a:bodyPr vertOverflow="clip" wrap="none" lIns="27432" tIns="32004" rIns="0" bIns="0" anchor="t" upright="1"/>
              <a:lstStyle/>
              <a:p>
                <a:pPr algn="l" rtl="0">
                  <a:defRPr sz="1000"/>
                </a:pPr>
                <a:r>
                  <a:rPr lang="zh-CN" altLang="en-US" sz="900" b="0" i="0" u="none" strike="noStrike" baseline="0">
                    <a:solidFill>
                      <a:srgbClr val="000000"/>
                    </a:solidFill>
                    <a:latin typeface="Microsoft YaHei UI" panose="020B0503020204020204" charset="-122"/>
                    <a:ea typeface="Microsoft YaHei UI" panose="020B0503020204020204" charset="-122"/>
                  </a:rPr>
                  <a:t>当前网络</a:t>
                </a:r>
                <a:endParaRPr lang="zh-CN" altLang="en-US" sz="900" b="0" i="0" u="none" strike="noStrike" baseline="0">
                  <a:solidFill>
                    <a:srgbClr val="000000"/>
                  </a:solidFill>
                  <a:latin typeface="Microsoft YaHei UI" panose="020B0503020204020204" charset="-122"/>
                  <a:ea typeface="Microsoft YaHei UI" panose="020B0503020204020204" charset="-122"/>
                </a:endParaRPr>
              </a:p>
            </xdr:txBody>
          </xdr:sp>
        </mc:Choice>
        <mc:Fallback/>
      </mc:AlternateContent>
      <mc:AlternateContent xmlns:mc="http://schemas.openxmlformats.org/markup-compatibility/2006">
        <mc:Choice xmlns:a14="http://schemas.microsoft.com/office/drawing/2010/main" Requires="a14">
          <xdr:sp>
            <xdr:nvSpPr>
              <xdr:cNvPr id="7181" name="op2" hidden="1">
                <a:extLst>
                  <a:ext uri="{63B3BB69-23CF-44E3-9099-C40C66FF867C}">
                    <a14:compatExt spid="_x0000_s7181"/>
                  </a:ext>
                </a:extLst>
              </xdr:cNvPr>
              <xdr:cNvSpPr/>
            </xdr:nvSpPr>
            <xdr:spPr>
              <a:xfrm>
                <a:off x="5153025" y="1362075"/>
                <a:ext cx="923925" cy="276225"/>
              </a:xfrm>
              <a:prstGeom prst="rect">
                <a:avLst/>
              </a:prstGeom>
            </xdr:spPr>
            <xdr:txBody>
              <a:bodyPr vertOverflow="clip" wrap="square" lIns="27432" tIns="32004" rIns="0" bIns="32004" anchor="ctr" upright="1"/>
              <a:lstStyle/>
              <a:p>
                <a:pPr algn="l" rtl="0">
                  <a:defRPr sz="1000"/>
                </a:pPr>
                <a:r>
                  <a:rPr lang="zh-CN" altLang="en-US" sz="900" b="0" i="0" u="none" strike="noStrike" baseline="0">
                    <a:solidFill>
                      <a:srgbClr val="000000"/>
                    </a:solidFill>
                    <a:latin typeface="Microsoft YaHei UI" panose="020B0503020204020204" charset="-122"/>
                    <a:ea typeface="Microsoft YaHei UI" panose="020B0503020204020204" charset="-122"/>
                  </a:rPr>
                  <a:t>外网</a:t>
                </a:r>
                <a:endParaRPr lang="zh-CN" altLang="en-US" sz="900" b="0" i="0" u="none" strike="noStrike" baseline="0">
                  <a:solidFill>
                    <a:srgbClr val="000000"/>
                  </a:solidFill>
                  <a:latin typeface="Microsoft YaHei UI" panose="020B0503020204020204" charset="-122"/>
                  <a:ea typeface="Microsoft YaHei UI" panose="020B0503020204020204" charset="-122"/>
                </a:endParaRPr>
              </a:p>
            </xdr:txBody>
          </xdr:sp>
        </mc:Choice>
        <mc:Fallback/>
      </mc:AlternateContent>
    </xdr:grp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9525</xdr:colOff>
          <xdr:row>13</xdr:row>
          <xdr:rowOff>9525</xdr:rowOff>
        </xdr:from>
        <xdr:to>
          <xdr:col>9</xdr:col>
          <xdr:colOff>466725</xdr:colOff>
          <xdr:row>14</xdr:row>
          <xdr:rowOff>152400</xdr:rowOff>
        </xdr:to>
        <xdr:sp>
          <xdr:nvSpPr>
            <xdr:cNvPr id="7182" name="label1" hidden="1">
              <a:extLst>
                <a:ext uri="{63B3BB69-23CF-44E3-9099-C40C66FF867C}">
                  <a14:compatExt spid="_x0000_s7182"/>
                </a:ext>
              </a:extLst>
            </xdr:cNvPr>
            <xdr:cNvSpPr/>
          </xdr:nvSpPr>
          <xdr:spPr>
            <a:xfrm>
              <a:off x="2066925" y="2362200"/>
              <a:ext cx="4572000" cy="323850"/>
            </a:xfrm>
            <a:prstGeom prst="rect">
              <a:avLst/>
            </a:prstGeom>
          </xdr:spPr>
          <xdr:txBody>
            <a:bodyPr vertOverflow="clip" wrap="square" lIns="27432" tIns="32004" rIns="0" bIns="0" anchor="t" upright="1"/>
            <a:lstStyle/>
            <a:p>
              <a:pPr algn="l" rtl="0">
                <a:defRPr sz="1000"/>
              </a:pPr>
              <a:r>
                <a:rPr lang="zh-CN" altLang="en-US" sz="900" b="0" i="0" u="none" strike="noStrike" baseline="0">
                  <a:solidFill>
                    <a:srgbClr val="000000"/>
                  </a:solidFill>
                  <a:latin typeface="Microsoft YaHei UI" panose="020B0503020204020204" charset="-122"/>
                  <a:ea typeface="Microsoft YaHei UI" panose="020B0503020204020204" charset="-122"/>
                </a:rPr>
                <a:t>CopyRight 2019 - 福建省建筑科学研究院 - 福建省建筑工程质量检测中心有限公司</a:t>
              </a:r>
              <a:endParaRPr lang="zh-CN" altLang="en-US" sz="900" b="0" i="0" u="none" strike="noStrike" baseline="0">
                <a:solidFill>
                  <a:srgbClr val="000000"/>
                </a:solidFill>
                <a:latin typeface="Microsoft YaHei UI" panose="020B0503020204020204" charset="-122"/>
                <a:ea typeface="Microsoft YaHei UI" panose="020B0503020204020204" charset="-122"/>
              </a:endParaRP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38100</xdr:colOff>
          <xdr:row>14</xdr:row>
          <xdr:rowOff>114300</xdr:rowOff>
        </xdr:from>
        <xdr:to>
          <xdr:col>4</xdr:col>
          <xdr:colOff>228600</xdr:colOff>
          <xdr:row>16</xdr:row>
          <xdr:rowOff>76200</xdr:rowOff>
        </xdr:to>
        <xdr:sp>
          <xdr:nvSpPr>
            <xdr:cNvPr id="7183" name="VersionPrompt" hidden="1">
              <a:extLst>
                <a:ext uri="{63B3BB69-23CF-44E3-9099-C40C66FF867C}">
                  <a14:compatExt spid="_x0000_s7183"/>
                </a:ext>
              </a:extLst>
            </xdr:cNvPr>
            <xdr:cNvSpPr/>
          </xdr:nvSpPr>
          <xdr:spPr>
            <a:xfrm>
              <a:off x="2095500" y="2647950"/>
              <a:ext cx="876300" cy="323850"/>
            </a:xfrm>
            <a:prstGeom prst="rect">
              <a:avLst/>
            </a:prstGeom>
          </xdr:spPr>
          <xdr:txBody>
            <a:bodyPr vertOverflow="clip" wrap="square" lIns="27432" tIns="32004" rIns="0" bIns="0" anchor="t" upright="1"/>
            <a:lstStyle/>
            <a:p>
              <a:pPr algn="l" rtl="0">
                <a:defRPr sz="1000"/>
              </a:pPr>
              <a:r>
                <a:rPr lang="zh-CN" altLang="en-US" sz="900" b="0" i="0" u="none" strike="noStrike" baseline="0">
                  <a:solidFill>
                    <a:srgbClr val="000000"/>
                  </a:solidFill>
                  <a:latin typeface="Microsoft YaHei UI" panose="020B0503020204020204" charset="-122"/>
                  <a:ea typeface="Microsoft YaHei UI" panose="020B0503020204020204" charset="-122"/>
                </a:rPr>
                <a:t>当前版本：</a:t>
              </a:r>
              <a:endParaRPr lang="zh-CN" altLang="en-US" sz="900" b="0" i="0" u="none" strike="noStrike" baseline="0">
                <a:solidFill>
                  <a:srgbClr val="000000"/>
                </a:solidFill>
                <a:latin typeface="Microsoft YaHei UI" panose="020B0503020204020204" charset="-122"/>
                <a:ea typeface="Microsoft YaHei UI" panose="020B0503020204020204" charset="-122"/>
              </a:endParaRP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9525</xdr:colOff>
          <xdr:row>14</xdr:row>
          <xdr:rowOff>114300</xdr:rowOff>
        </xdr:from>
        <xdr:to>
          <xdr:col>5</xdr:col>
          <xdr:colOff>276225</xdr:colOff>
          <xdr:row>16</xdr:row>
          <xdr:rowOff>76200</xdr:rowOff>
        </xdr:to>
        <xdr:sp>
          <xdr:nvSpPr>
            <xdr:cNvPr id="7184" name="Version" hidden="1">
              <a:extLst>
                <a:ext uri="{63B3BB69-23CF-44E3-9099-C40C66FF867C}">
                  <a14:compatExt spid="_x0000_s7184"/>
                </a:ext>
              </a:extLst>
            </xdr:cNvPr>
            <xdr:cNvSpPr/>
          </xdr:nvSpPr>
          <xdr:spPr>
            <a:xfrm>
              <a:off x="2752725" y="2647950"/>
              <a:ext cx="952500" cy="323850"/>
            </a:xfrm>
            <a:prstGeom prst="rect">
              <a:avLst/>
            </a:prstGeom>
          </xdr:spPr>
          <xdr:txBody>
            <a:bodyPr vertOverflow="clip" wrap="square" lIns="27432" tIns="32004" rIns="0" bIns="0" anchor="t" upright="1"/>
            <a:lstStyle/>
            <a:p>
              <a:pPr algn="l" rtl="0">
                <a:defRPr sz="1000"/>
              </a:pPr>
              <a:r>
                <a:rPr lang="zh-CN" altLang="en-US" sz="900">
                  <a:solidFill>
                    <a:srgbClr val="000000"/>
                  </a:solidFill>
                  <a:latin typeface="Microsoft YaHei UI" panose="020B0503020204020204" charset="-122"/>
                  <a:ea typeface="Microsoft YaHei UI" panose="020B0503020204020204" charset="-122"/>
                  <a:cs typeface="Microsoft YaHei UI" panose="020B0503020204020204" charset="-122"/>
                  <a:sym typeface="Microsoft YaHei UI" panose="020B0503020204020204" charset="-122"/>
                </a:rPr>
                <a:t>v4.0</a:t>
              </a:r>
              <a:endParaRPr lang="zh-CN" altLang="en-US" sz="900">
                <a:solidFill>
                  <a:srgbClr val="000000"/>
                </a:solidFill>
                <a:latin typeface="Microsoft YaHei UI" panose="020B0503020204020204" charset="-122"/>
                <a:ea typeface="Microsoft YaHei UI" panose="020B0503020204020204" charset="-122"/>
                <a:cs typeface="Microsoft YaHei UI" panose="020B0503020204020204" charset="-122"/>
                <a:sym typeface="Microsoft YaHei UI" panose="020B0503020204020204" charset="-122"/>
              </a:endParaRPr>
            </a:p>
          </xdr:txBody>
        </xdr:sp>
        <xdr:clientData/>
      </xdr:twoCellAnchor>
    </mc:Choice>
    <mc:Fallback/>
  </mc:AlternateContent>
  <xdr:twoCellAnchor>
    <xdr:from>
      <xdr:col>9</xdr:col>
      <xdr:colOff>666750</xdr:colOff>
      <xdr:row>7</xdr:row>
      <xdr:rowOff>9525</xdr:rowOff>
    </xdr:from>
    <xdr:to>
      <xdr:col>18</xdr:col>
      <xdr:colOff>227965</xdr:colOff>
      <xdr:row>12</xdr:row>
      <xdr:rowOff>152400</xdr:rowOff>
    </xdr:to>
    <xdr:sp>
      <xdr:nvSpPr>
        <xdr:cNvPr id="3" name="文本框 2"/>
        <xdr:cNvSpPr txBox="1"/>
      </xdr:nvSpPr>
      <xdr:spPr>
        <a:xfrm>
          <a:off x="6838950" y="1276350"/>
          <a:ext cx="5733415" cy="1047750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p>
          <a:pPr algn="l"/>
          <a:r>
            <a:rPr lang="zh-CN" altLang="en-US" sz="1100"/>
            <a:t>开发负责 ：林迪南</a:t>
          </a:r>
          <a:endParaRPr lang="zh-CN" altLang="en-US" sz="1100"/>
        </a:p>
        <a:p>
          <a:pPr algn="l"/>
          <a:r>
            <a:rPr lang="zh-CN" altLang="en-US" sz="1100"/>
            <a:t>计算书图片插入算法、工程概况智能识别算法、仪器校准日期识别算法设计：陈思远</a:t>
          </a:r>
          <a:endParaRPr lang="zh-CN" altLang="en-US" sz="1100"/>
        </a:p>
        <a:p>
          <a:pPr algn="l"/>
          <a:r>
            <a:rPr lang="zh-CN" altLang="en-US" sz="1100">
              <a:ea typeface="宋体" panose="02010600030101010101" pitchFamily="7" charset="-122"/>
            </a:rPr>
            <a:t>应变、挠度图表生成算法校核、优化，应变、挠度计算公式校核：张玮</a:t>
          </a:r>
          <a:endParaRPr lang="zh-CN" altLang="en-US" sz="1100">
            <a:ea typeface="宋体" panose="02010600030101010101" pitchFamily="7" charset="-122"/>
          </a:endParaRPr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r="http://schemas.openxmlformats.org/officeDocument/2006/relationships" xmlns:a="http://schemas.openxmlformats.org/drawingml/2006/main">
  <xdr:twoCellAnchor>
    <xdr:from>
      <xdr:col>8</xdr:col>
      <xdr:colOff>514350</xdr:colOff>
      <xdr:row>31</xdr:row>
      <xdr:rowOff>123825</xdr:rowOff>
    </xdr:from>
    <xdr:to>
      <xdr:col>12</xdr:col>
      <xdr:colOff>1028065</xdr:colOff>
      <xdr:row>36</xdr:row>
      <xdr:rowOff>133350</xdr:rowOff>
    </xdr:to>
    <xdr:sp>
      <xdr:nvSpPr>
        <xdr:cNvPr id="2" name="文本框 1"/>
        <xdr:cNvSpPr txBox="1"/>
      </xdr:nvSpPr>
      <xdr:spPr>
        <a:xfrm>
          <a:off x="6858000" y="5734050"/>
          <a:ext cx="3847465" cy="914400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p>
          <a:pPr algn="l"/>
          <a:r>
            <a:rPr lang="en-US" altLang="zh-CN" sz="1100"/>
            <a:t>1</a:t>
          </a:r>
          <a:r>
            <a:rPr lang="zh-CN" altLang="en-US" sz="1100"/>
            <a:t>、若特征字符串相同则必须填特征型号以进行区分；</a:t>
          </a:r>
          <a:endParaRPr lang="zh-CN" altLang="en-US" sz="1100"/>
        </a:p>
        <a:p>
          <a:pPr algn="l"/>
          <a:r>
            <a:rPr lang="en-US" altLang="zh-CN" sz="1100"/>
            <a:t>2</a:t>
          </a:r>
          <a:r>
            <a:rPr lang="zh-CN" altLang="en-US" sz="1100"/>
            <a:t>、可手动修改排序以修改搜索列表中各个仪器出现的顺序；</a:t>
          </a:r>
          <a:endParaRPr lang="zh-CN" altLang="en-US" sz="1100"/>
        </a:p>
        <a:p>
          <a:pPr algn="l"/>
          <a:r>
            <a:rPr lang="en-US" altLang="zh-CN" sz="1100"/>
            <a:t>3</a:t>
          </a:r>
          <a:r>
            <a:rPr lang="zh-CN" altLang="en-US" sz="1100"/>
            <a:t>、搜索结果的仪器校准有效期至均晚于临界校准日期；</a:t>
          </a:r>
          <a:endParaRPr lang="zh-CN" altLang="en-US" sz="1100"/>
        </a:p>
        <a:p>
          <a:pPr algn="l"/>
          <a:endParaRPr lang="zh-CN" altLang="en-US" sz="1100"/>
        </a:p>
        <a:p>
          <a:pPr algn="l"/>
          <a:endParaRPr lang="zh-CN" altLang="en-US" sz="1100"/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257175</xdr:colOff>
          <xdr:row>33</xdr:row>
          <xdr:rowOff>114300</xdr:rowOff>
        </xdr:from>
        <xdr:to>
          <xdr:col>6</xdr:col>
          <xdr:colOff>323850</xdr:colOff>
          <xdr:row>35</xdr:row>
          <xdr:rowOff>9525</xdr:rowOff>
        </xdr:to>
        <xdr:sp macro="[0]!ListAvailableInstrument">
          <xdr:nvSpPr>
            <xdr:cNvPr id="23563" name="Button 11" hidden="1">
              <a:extLst>
                <a:ext uri="{63B3BB69-23CF-44E3-9099-C40C66FF867C}">
                  <a14:compatExt spid="_x0000_s23563"/>
                </a:ext>
              </a:extLst>
            </xdr:cNvPr>
            <xdr:cNvSpPr/>
          </xdr:nvSpPr>
          <xdr:spPr>
            <a:xfrm>
              <a:off x="3400425" y="6086475"/>
              <a:ext cx="1438275" cy="257175"/>
            </a:xfrm>
            <a:prstGeom prst="rect">
              <a:avLst/>
            </a:prstGeom>
          </xdr:spPr>
          <xdr:txBody>
            <a:bodyPr wrap="square" anchor="ctr" upright="1">
              <a:noAutofit/>
            </a:bodyPr>
            <a:p>
              <a:pPr algn="ctr" rtl="0"/>
              <a:r>
                <a:rPr lang="zh-CN" altLang="en-US">
                  <a:solidFill>
                    <a:srgbClr val="000000"/>
                  </a:solidFill>
                  <a:latin typeface="宋体" panose="02010600030101010101" pitchFamily="7" charset="-122"/>
                  <a:ea typeface="宋体" panose="02010600030101010101" pitchFamily="7" charset="-122"/>
                  <a:cs typeface="宋体" panose="02010600030101010101" pitchFamily="7" charset="-122"/>
                  <a:sym typeface="宋体" panose="02010600030101010101" pitchFamily="7" charset="-122"/>
                </a:rPr>
                <a:t>搜索可用仪器</a:t>
              </a:r>
              <a:endParaRPr lang="zh-CN" altLang="en-US">
                <a:solidFill>
                  <a:srgbClr val="000000"/>
                </a:solidFill>
                <a:latin typeface="宋体" panose="02010600030101010101" pitchFamily="7" charset="-122"/>
                <a:ea typeface="宋体" panose="02010600030101010101" pitchFamily="7" charset="-122"/>
                <a:cs typeface="宋体" panose="02010600030101010101" pitchFamily="7" charset="-122"/>
                <a:sym typeface="宋体" panose="02010600030101010101" pitchFamily="7" charset="-122"/>
              </a:endParaRP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257810</xdr:colOff>
          <xdr:row>36</xdr:row>
          <xdr:rowOff>9525</xdr:rowOff>
        </xdr:from>
        <xdr:to>
          <xdr:col>6</xdr:col>
          <xdr:colOff>286385</xdr:colOff>
          <xdr:row>37</xdr:row>
          <xdr:rowOff>104775</xdr:rowOff>
        </xdr:to>
        <xdr:sp macro="[0]!ClearInstrumentList">
          <xdr:nvSpPr>
            <xdr:cNvPr id="23564" name="Button 12" hidden="1">
              <a:extLst>
                <a:ext uri="{63B3BB69-23CF-44E3-9099-C40C66FF867C}">
                  <a14:compatExt spid="_x0000_s23564"/>
                </a:ext>
              </a:extLst>
            </xdr:cNvPr>
            <xdr:cNvSpPr/>
          </xdr:nvSpPr>
          <xdr:spPr>
            <a:xfrm>
              <a:off x="3401060" y="6524625"/>
              <a:ext cx="1400175" cy="276225"/>
            </a:xfrm>
            <a:prstGeom prst="rect">
              <a:avLst/>
            </a:prstGeom>
          </xdr:spPr>
          <xdr:txBody>
            <a:bodyPr wrap="square" anchor="ctr" upright="1">
              <a:noAutofit/>
            </a:bodyPr>
            <a:p>
              <a:pPr algn="ctr" rtl="0"/>
              <a:r>
                <a:rPr lang="zh-CN" altLang="en-US">
                  <a:solidFill>
                    <a:srgbClr val="000000"/>
                  </a:solidFill>
                  <a:latin typeface="宋体" panose="02010600030101010101" pitchFamily="7" charset="-122"/>
                  <a:ea typeface="宋体" panose="02010600030101010101" pitchFamily="7" charset="-122"/>
                  <a:cs typeface="宋体" panose="02010600030101010101" pitchFamily="7" charset="-122"/>
                  <a:sym typeface="宋体" panose="02010600030101010101" pitchFamily="7" charset="-122"/>
                </a:rPr>
                <a:t>手动清空列表</a:t>
              </a:r>
              <a:endParaRPr lang="zh-CN" altLang="en-US">
                <a:solidFill>
                  <a:srgbClr val="000000"/>
                </a:solidFill>
                <a:latin typeface="宋体" panose="02010600030101010101" pitchFamily="7" charset="-122"/>
                <a:ea typeface="宋体" panose="02010600030101010101" pitchFamily="7" charset="-122"/>
                <a:cs typeface="宋体" panose="02010600030101010101" pitchFamily="7" charset="-122"/>
                <a:sym typeface="宋体" panose="02010600030101010101" pitchFamily="7" charset="-122"/>
              </a:endParaRP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20</xdr:col>
          <xdr:colOff>104775</xdr:colOff>
          <xdr:row>3</xdr:row>
          <xdr:rowOff>85725</xdr:rowOff>
        </xdr:from>
        <xdr:to>
          <xdr:col>21</xdr:col>
          <xdr:colOff>618490</xdr:colOff>
          <xdr:row>5</xdr:row>
          <xdr:rowOff>27940</xdr:rowOff>
        </xdr:to>
        <xdr:sp macro="[0]!GetSelectedInstrument">
          <xdr:nvSpPr>
            <xdr:cNvPr id="23694" name="Button 142" hidden="1">
              <a:extLst>
                <a:ext uri="{63B3BB69-23CF-44E3-9099-C40C66FF867C}">
                  <a14:compatExt spid="_x0000_s23694"/>
                </a:ext>
              </a:extLst>
            </xdr:cNvPr>
            <xdr:cNvSpPr/>
          </xdr:nvSpPr>
          <xdr:spPr>
            <a:xfrm>
              <a:off x="19173825" y="628650"/>
              <a:ext cx="1199515" cy="304165"/>
            </a:xfrm>
            <a:prstGeom prst="rect">
              <a:avLst/>
            </a:prstGeom>
          </xdr:spPr>
          <xdr:txBody>
            <a:bodyPr wrap="square" anchor="ctr" upright="1">
              <a:noAutofit/>
            </a:bodyPr>
            <a:p>
              <a:pPr algn="ctr" rtl="0"/>
              <a:r>
                <a:rPr lang="zh-CN" altLang="en-US">
                  <a:solidFill>
                    <a:srgbClr val="000000"/>
                  </a:solidFill>
                  <a:latin typeface="宋体" panose="02010600030101010101" pitchFamily="7" charset="-122"/>
                  <a:ea typeface="宋体" panose="02010600030101010101" pitchFamily="7" charset="-122"/>
                  <a:cs typeface="宋体" panose="02010600030101010101" pitchFamily="7" charset="-122"/>
                  <a:sym typeface="宋体" panose="02010600030101010101" pitchFamily="7" charset="-122"/>
                </a:rPr>
                <a:t>选择勾选仪器</a:t>
              </a:r>
              <a:endParaRPr lang="zh-CN" altLang="en-US">
                <a:solidFill>
                  <a:srgbClr val="000000"/>
                </a:solidFill>
                <a:latin typeface="宋体" panose="02010600030101010101" pitchFamily="7" charset="-122"/>
                <a:ea typeface="宋体" panose="02010600030101010101" pitchFamily="7" charset="-122"/>
                <a:cs typeface="宋体" panose="02010600030101010101" pitchFamily="7" charset="-122"/>
                <a:sym typeface="宋体" panose="02010600030101010101" pitchFamily="7" charset="-122"/>
              </a:endParaRP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189865</xdr:colOff>
          <xdr:row>39</xdr:row>
          <xdr:rowOff>64135</xdr:rowOff>
        </xdr:from>
        <xdr:to>
          <xdr:col>3</xdr:col>
          <xdr:colOff>542925</xdr:colOff>
          <xdr:row>40</xdr:row>
          <xdr:rowOff>116205</xdr:rowOff>
        </xdr:to>
        <xdr:sp>
          <xdr:nvSpPr>
            <xdr:cNvPr id="24099" name="Check Box 20" hidden="1">
              <a:extLst>
                <a:ext uri="{63B3BB69-23CF-44E3-9099-C40C66FF867C}">
                  <a14:compatExt spid="_x0000_s24099"/>
                </a:ext>
              </a:extLst>
            </xdr:cNvPr>
            <xdr:cNvSpPr/>
          </xdr:nvSpPr>
          <xdr:spPr>
            <a:xfrm>
              <a:off x="1961515" y="7122160"/>
              <a:ext cx="1038860" cy="233045"/>
            </a:xfrm>
            <a:prstGeom prst="rect">
              <a:avLst/>
            </a:prstGeom>
          </xdr:spPr>
          <xdr:txBody>
            <a:bodyPr wrap="square" anchor="ctr" upright="1"/>
            <a:lstStyle>
              <a:defPPr>
                <a:defRPr lang="zh-CN"/>
              </a:defPPr>
              <a:lvl1pPr marL="0" algn="l" defTabSz="914400" rtl="0" eaLnBrk="1" latinLnBrk="0" hangingPunct="1">
                <a:defRPr sz="1100">
                  <a:latin typeface="+mn-lt"/>
                  <a:ea typeface="+mn-ea"/>
                  <a:cs typeface="+mn-cs"/>
                </a:defRPr>
              </a:lvl1pPr>
              <a:lvl2pPr marL="457200" algn="l" defTabSz="914400" rtl="0" eaLnBrk="1" latinLnBrk="0" hangingPunct="1">
                <a:defRPr sz="1100">
                  <a:latin typeface="+mn-lt"/>
                  <a:ea typeface="+mn-ea"/>
                  <a:cs typeface="+mn-cs"/>
                </a:defRPr>
              </a:lvl2pPr>
              <a:lvl3pPr marL="914400" algn="l" defTabSz="914400" rtl="0" eaLnBrk="1" latinLnBrk="0" hangingPunct="1">
                <a:defRPr sz="1100">
                  <a:latin typeface="+mn-lt"/>
                  <a:ea typeface="+mn-ea"/>
                  <a:cs typeface="+mn-cs"/>
                </a:defRPr>
              </a:lvl3pPr>
              <a:lvl4pPr marL="1371600" algn="l" defTabSz="914400" rtl="0" eaLnBrk="1" latinLnBrk="0" hangingPunct="1">
                <a:defRPr sz="1100">
                  <a:latin typeface="+mn-lt"/>
                  <a:ea typeface="+mn-ea"/>
                  <a:cs typeface="+mn-cs"/>
                </a:defRPr>
              </a:lvl4pPr>
              <a:lvl5pPr marL="1828800" algn="l" defTabSz="914400" rtl="0" eaLnBrk="1" latinLnBrk="0" hangingPunct="1">
                <a:defRPr sz="1100">
                  <a:latin typeface="+mn-lt"/>
                  <a:ea typeface="+mn-ea"/>
                  <a:cs typeface="+mn-cs"/>
                </a:defRPr>
              </a:lvl5pPr>
              <a:lvl6pPr marL="2286000" algn="l" defTabSz="914400" rtl="0" eaLnBrk="1" latinLnBrk="0" hangingPunct="1">
                <a:defRPr sz="1100">
                  <a:latin typeface="+mn-lt"/>
                  <a:ea typeface="+mn-ea"/>
                  <a:cs typeface="+mn-cs"/>
                </a:defRPr>
              </a:lvl6pPr>
              <a:lvl7pPr marL="2743200" algn="l" defTabSz="914400" rtl="0" eaLnBrk="1" latinLnBrk="0" hangingPunct="1">
                <a:defRPr sz="1100">
                  <a:latin typeface="+mn-lt"/>
                  <a:ea typeface="+mn-ea"/>
                  <a:cs typeface="+mn-cs"/>
                </a:defRPr>
              </a:lvl7pPr>
              <a:lvl8pPr marL="3200400" algn="l" defTabSz="914400" rtl="0" eaLnBrk="1" latinLnBrk="0" hangingPunct="1">
                <a:defRPr sz="1100">
                  <a:latin typeface="+mn-lt"/>
                  <a:ea typeface="+mn-ea"/>
                  <a:cs typeface="+mn-cs"/>
                </a:defRPr>
              </a:lvl8pPr>
              <a:lvl9pPr marL="3657600" algn="l" defTabSz="914400" rtl="0" eaLnBrk="1" latinLnBrk="0" hangingPunct="1">
                <a:defRPr sz="1100">
                  <a:latin typeface="+mn-lt"/>
                  <a:ea typeface="+mn-ea"/>
                  <a:cs typeface="+mn-cs"/>
                </a:defRPr>
              </a:lvl9pPr>
            </a:lstStyle>
            <a:p>
              <a:pPr algn="l" rtl="0"/>
              <a:r>
                <a:rPr lang="zh-CN" altLang="en-US" sz="900">
                  <a:solidFill>
                    <a:srgbClr val="000000"/>
                  </a:solidFill>
                  <a:latin typeface="宋体" panose="02010600030101010101" pitchFamily="7" charset="-122"/>
                  <a:ea typeface="宋体" panose="02010600030101010101" pitchFamily="7" charset="-122"/>
                  <a:cs typeface="宋体" panose="02010600030101010101" pitchFamily="7" charset="-122"/>
                  <a:sym typeface="宋体" panose="02010600030101010101" pitchFamily="7" charset="-122"/>
                </a:rPr>
                <a:t>全站仪</a:t>
              </a:r>
              <a:endParaRPr lang="zh-CN" altLang="en-US" sz="900">
                <a:solidFill>
                  <a:srgbClr val="000000"/>
                </a:solidFill>
                <a:latin typeface="宋体" panose="02010600030101010101" pitchFamily="7" charset="-122"/>
                <a:ea typeface="宋体" panose="02010600030101010101" pitchFamily="7" charset="-122"/>
                <a:cs typeface="宋体" panose="02010600030101010101" pitchFamily="7" charset="-122"/>
                <a:sym typeface="宋体" panose="02010600030101010101" pitchFamily="7" charset="-122"/>
              </a:endParaRP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189865</xdr:colOff>
          <xdr:row>37</xdr:row>
          <xdr:rowOff>92710</xdr:rowOff>
        </xdr:from>
        <xdr:to>
          <xdr:col>4</xdr:col>
          <xdr:colOff>645160</xdr:colOff>
          <xdr:row>38</xdr:row>
          <xdr:rowOff>144780</xdr:rowOff>
        </xdr:to>
        <xdr:sp>
          <xdr:nvSpPr>
            <xdr:cNvPr id="24111" name="Check Box 19" hidden="1">
              <a:extLst>
                <a:ext uri="{63B3BB69-23CF-44E3-9099-C40C66FF867C}">
                  <a14:compatExt spid="_x0000_s24111"/>
                </a:ext>
              </a:extLst>
            </xdr:cNvPr>
            <xdr:cNvSpPr/>
          </xdr:nvSpPr>
          <xdr:spPr>
            <a:xfrm>
              <a:off x="1961515" y="6788785"/>
              <a:ext cx="1826895" cy="233045"/>
            </a:xfrm>
            <a:prstGeom prst="rect">
              <a:avLst/>
            </a:prstGeom>
          </xdr:spPr>
          <xdr:txBody>
            <a:bodyPr wrap="square" anchor="ctr" upright="1"/>
            <a:lstStyle>
              <a:defPPr>
                <a:defRPr lang="zh-CN"/>
              </a:defPPr>
              <a:lvl1pPr marL="0" algn="l" defTabSz="914400" rtl="0" eaLnBrk="1" latinLnBrk="0" hangingPunct="1">
                <a:defRPr sz="1100">
                  <a:latin typeface="+mn-lt"/>
                  <a:ea typeface="+mn-ea"/>
                  <a:cs typeface="+mn-cs"/>
                </a:defRPr>
              </a:lvl1pPr>
              <a:lvl2pPr marL="457200" algn="l" defTabSz="914400" rtl="0" eaLnBrk="1" latinLnBrk="0" hangingPunct="1">
                <a:defRPr sz="1100">
                  <a:latin typeface="+mn-lt"/>
                  <a:ea typeface="+mn-ea"/>
                  <a:cs typeface="+mn-cs"/>
                </a:defRPr>
              </a:lvl2pPr>
              <a:lvl3pPr marL="914400" algn="l" defTabSz="914400" rtl="0" eaLnBrk="1" latinLnBrk="0" hangingPunct="1">
                <a:defRPr sz="1100">
                  <a:latin typeface="+mn-lt"/>
                  <a:ea typeface="+mn-ea"/>
                  <a:cs typeface="+mn-cs"/>
                </a:defRPr>
              </a:lvl3pPr>
              <a:lvl4pPr marL="1371600" algn="l" defTabSz="914400" rtl="0" eaLnBrk="1" latinLnBrk="0" hangingPunct="1">
                <a:defRPr sz="1100">
                  <a:latin typeface="+mn-lt"/>
                  <a:ea typeface="+mn-ea"/>
                  <a:cs typeface="+mn-cs"/>
                </a:defRPr>
              </a:lvl4pPr>
              <a:lvl5pPr marL="1828800" algn="l" defTabSz="914400" rtl="0" eaLnBrk="1" latinLnBrk="0" hangingPunct="1">
                <a:defRPr sz="1100">
                  <a:latin typeface="+mn-lt"/>
                  <a:ea typeface="+mn-ea"/>
                  <a:cs typeface="+mn-cs"/>
                </a:defRPr>
              </a:lvl5pPr>
              <a:lvl6pPr marL="2286000" algn="l" defTabSz="914400" rtl="0" eaLnBrk="1" latinLnBrk="0" hangingPunct="1">
                <a:defRPr sz="1100">
                  <a:latin typeface="+mn-lt"/>
                  <a:ea typeface="+mn-ea"/>
                  <a:cs typeface="+mn-cs"/>
                </a:defRPr>
              </a:lvl6pPr>
              <a:lvl7pPr marL="2743200" algn="l" defTabSz="914400" rtl="0" eaLnBrk="1" latinLnBrk="0" hangingPunct="1">
                <a:defRPr sz="1100">
                  <a:latin typeface="+mn-lt"/>
                  <a:ea typeface="+mn-ea"/>
                  <a:cs typeface="+mn-cs"/>
                </a:defRPr>
              </a:lvl7pPr>
              <a:lvl8pPr marL="3200400" algn="l" defTabSz="914400" rtl="0" eaLnBrk="1" latinLnBrk="0" hangingPunct="1">
                <a:defRPr sz="1100">
                  <a:latin typeface="+mn-lt"/>
                  <a:ea typeface="+mn-ea"/>
                  <a:cs typeface="+mn-cs"/>
                </a:defRPr>
              </a:lvl8pPr>
              <a:lvl9pPr marL="3657600" algn="l" defTabSz="914400" rtl="0" eaLnBrk="1" latinLnBrk="0" hangingPunct="1">
                <a:defRPr sz="1100">
                  <a:latin typeface="+mn-lt"/>
                  <a:ea typeface="+mn-ea"/>
                  <a:cs typeface="+mn-cs"/>
                </a:defRPr>
              </a:lvl9pPr>
            </a:lstStyle>
            <a:p>
              <a:pPr algn="l" rtl="0"/>
              <a:r>
                <a:rPr lang="zh-CN" altLang="en-US" sz="900">
                  <a:solidFill>
                    <a:srgbClr val="000000"/>
                  </a:solidFill>
                  <a:latin typeface="宋体" panose="02010600030101010101" pitchFamily="7" charset="-122"/>
                  <a:ea typeface="宋体" panose="02010600030101010101" pitchFamily="7" charset="-122"/>
                  <a:cs typeface="宋体" panose="02010600030101010101" pitchFamily="7" charset="-122"/>
                  <a:sym typeface="宋体" panose="02010600030101010101" pitchFamily="7" charset="-122"/>
                </a:rPr>
                <a:t>混凝土电阻率仪</a:t>
              </a:r>
              <a:endParaRPr lang="zh-CN" altLang="en-US" sz="900">
                <a:solidFill>
                  <a:srgbClr val="000000"/>
                </a:solidFill>
                <a:latin typeface="宋体" panose="02010600030101010101" pitchFamily="7" charset="-122"/>
                <a:ea typeface="宋体" panose="02010600030101010101" pitchFamily="7" charset="-122"/>
                <a:cs typeface="宋体" panose="02010600030101010101" pitchFamily="7" charset="-122"/>
                <a:sym typeface="宋体" panose="02010600030101010101" pitchFamily="7" charset="-122"/>
              </a:endParaRPr>
            </a:p>
            <a:p>
              <a:pPr algn="l" rtl="0"/>
              <a:endParaRPr lang="zh-CN" altLang="en-US" sz="900">
                <a:solidFill>
                  <a:srgbClr val="000000"/>
                </a:solidFill>
                <a:latin typeface="宋体" panose="02010600030101010101" pitchFamily="7" charset="-122"/>
                <a:ea typeface="宋体" panose="02010600030101010101" pitchFamily="7" charset="-122"/>
                <a:cs typeface="宋体" panose="02010600030101010101" pitchFamily="7" charset="-122"/>
                <a:sym typeface="宋体" panose="02010600030101010101" pitchFamily="7" charset="-122"/>
              </a:endParaRPr>
            </a:p>
            <a:p>
              <a:pPr algn="l" rtl="0"/>
              <a:endParaRPr lang="zh-CN" altLang="en-US" sz="900">
                <a:solidFill>
                  <a:srgbClr val="000000"/>
                </a:solidFill>
                <a:latin typeface="宋体" panose="02010600030101010101" pitchFamily="7" charset="-122"/>
                <a:ea typeface="宋体" panose="02010600030101010101" pitchFamily="7" charset="-122"/>
                <a:cs typeface="宋体" panose="02010600030101010101" pitchFamily="7" charset="-122"/>
                <a:sym typeface="宋体" panose="02010600030101010101" pitchFamily="7" charset="-122"/>
              </a:endParaRPr>
            </a:p>
            <a:p>
              <a:pPr algn="l" rtl="0"/>
              <a:endParaRPr lang="zh-CN" altLang="en-US" sz="900">
                <a:solidFill>
                  <a:srgbClr val="000000"/>
                </a:solidFill>
                <a:latin typeface="宋体" panose="02010600030101010101" pitchFamily="7" charset="-122"/>
                <a:ea typeface="宋体" panose="02010600030101010101" pitchFamily="7" charset="-122"/>
                <a:cs typeface="宋体" panose="02010600030101010101" pitchFamily="7" charset="-122"/>
                <a:sym typeface="宋体" panose="02010600030101010101" pitchFamily="7" charset="-122"/>
              </a:endParaRPr>
            </a:p>
            <a:p>
              <a:pPr algn="l" rtl="0"/>
              <a:endParaRPr lang="zh-CN" altLang="en-US" sz="900">
                <a:solidFill>
                  <a:srgbClr val="000000"/>
                </a:solidFill>
                <a:latin typeface="宋体" panose="02010600030101010101" pitchFamily="7" charset="-122"/>
                <a:ea typeface="宋体" panose="02010600030101010101" pitchFamily="7" charset="-122"/>
                <a:cs typeface="宋体" panose="02010600030101010101" pitchFamily="7" charset="-122"/>
                <a:sym typeface="宋体" panose="02010600030101010101" pitchFamily="7" charset="-122"/>
              </a:endParaRPr>
            </a:p>
            <a:p>
              <a:pPr algn="l" rtl="0"/>
              <a:endParaRPr lang="zh-CN" altLang="en-US" sz="900">
                <a:solidFill>
                  <a:srgbClr val="000000"/>
                </a:solidFill>
                <a:latin typeface="宋体" panose="02010600030101010101" pitchFamily="7" charset="-122"/>
                <a:ea typeface="宋体" panose="02010600030101010101" pitchFamily="7" charset="-122"/>
                <a:cs typeface="宋体" panose="02010600030101010101" pitchFamily="7" charset="-122"/>
                <a:sym typeface="宋体" panose="02010600030101010101" pitchFamily="7" charset="-122"/>
              </a:endParaRP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189865</xdr:colOff>
          <xdr:row>35</xdr:row>
          <xdr:rowOff>92710</xdr:rowOff>
        </xdr:from>
        <xdr:to>
          <xdr:col>4</xdr:col>
          <xdr:colOff>645160</xdr:colOff>
          <xdr:row>36</xdr:row>
          <xdr:rowOff>144780</xdr:rowOff>
        </xdr:to>
        <xdr:sp>
          <xdr:nvSpPr>
            <xdr:cNvPr id="24110" name="Check Box 18" hidden="1">
              <a:extLst>
                <a:ext uri="{63B3BB69-23CF-44E3-9099-C40C66FF867C}">
                  <a14:compatExt spid="_x0000_s24110"/>
                </a:ext>
              </a:extLst>
            </xdr:cNvPr>
            <xdr:cNvSpPr/>
          </xdr:nvSpPr>
          <xdr:spPr>
            <a:xfrm>
              <a:off x="1961515" y="6426835"/>
              <a:ext cx="1826895" cy="233045"/>
            </a:xfrm>
            <a:prstGeom prst="rect">
              <a:avLst/>
            </a:prstGeom>
          </xdr:spPr>
          <xdr:txBody>
            <a:bodyPr wrap="square" anchor="ctr" upright="1"/>
            <a:lstStyle>
              <a:defPPr>
                <a:defRPr lang="zh-CN"/>
              </a:defPPr>
              <a:lvl1pPr marL="0" algn="l" defTabSz="914400" rtl="0" eaLnBrk="1" latinLnBrk="0" hangingPunct="1">
                <a:defRPr sz="1100">
                  <a:latin typeface="+mn-lt"/>
                  <a:ea typeface="+mn-ea"/>
                  <a:cs typeface="+mn-cs"/>
                </a:defRPr>
              </a:lvl1pPr>
              <a:lvl2pPr marL="457200" algn="l" defTabSz="914400" rtl="0" eaLnBrk="1" latinLnBrk="0" hangingPunct="1">
                <a:defRPr sz="1100">
                  <a:latin typeface="+mn-lt"/>
                  <a:ea typeface="+mn-ea"/>
                  <a:cs typeface="+mn-cs"/>
                </a:defRPr>
              </a:lvl2pPr>
              <a:lvl3pPr marL="914400" algn="l" defTabSz="914400" rtl="0" eaLnBrk="1" latinLnBrk="0" hangingPunct="1">
                <a:defRPr sz="1100">
                  <a:latin typeface="+mn-lt"/>
                  <a:ea typeface="+mn-ea"/>
                  <a:cs typeface="+mn-cs"/>
                </a:defRPr>
              </a:lvl3pPr>
              <a:lvl4pPr marL="1371600" algn="l" defTabSz="914400" rtl="0" eaLnBrk="1" latinLnBrk="0" hangingPunct="1">
                <a:defRPr sz="1100">
                  <a:latin typeface="+mn-lt"/>
                  <a:ea typeface="+mn-ea"/>
                  <a:cs typeface="+mn-cs"/>
                </a:defRPr>
              </a:lvl4pPr>
              <a:lvl5pPr marL="1828800" algn="l" defTabSz="914400" rtl="0" eaLnBrk="1" latinLnBrk="0" hangingPunct="1">
                <a:defRPr sz="1100">
                  <a:latin typeface="+mn-lt"/>
                  <a:ea typeface="+mn-ea"/>
                  <a:cs typeface="+mn-cs"/>
                </a:defRPr>
              </a:lvl5pPr>
              <a:lvl6pPr marL="2286000" algn="l" defTabSz="914400" rtl="0" eaLnBrk="1" latinLnBrk="0" hangingPunct="1">
                <a:defRPr sz="1100">
                  <a:latin typeface="+mn-lt"/>
                  <a:ea typeface="+mn-ea"/>
                  <a:cs typeface="+mn-cs"/>
                </a:defRPr>
              </a:lvl6pPr>
              <a:lvl7pPr marL="2743200" algn="l" defTabSz="914400" rtl="0" eaLnBrk="1" latinLnBrk="0" hangingPunct="1">
                <a:defRPr sz="1100">
                  <a:latin typeface="+mn-lt"/>
                  <a:ea typeface="+mn-ea"/>
                  <a:cs typeface="+mn-cs"/>
                </a:defRPr>
              </a:lvl7pPr>
              <a:lvl8pPr marL="3200400" algn="l" defTabSz="914400" rtl="0" eaLnBrk="1" latinLnBrk="0" hangingPunct="1">
                <a:defRPr sz="1100">
                  <a:latin typeface="+mn-lt"/>
                  <a:ea typeface="+mn-ea"/>
                  <a:cs typeface="+mn-cs"/>
                </a:defRPr>
              </a:lvl8pPr>
              <a:lvl9pPr marL="3657600" algn="l" defTabSz="914400" rtl="0" eaLnBrk="1" latinLnBrk="0" hangingPunct="1">
                <a:defRPr sz="1100">
                  <a:latin typeface="+mn-lt"/>
                  <a:ea typeface="+mn-ea"/>
                  <a:cs typeface="+mn-cs"/>
                </a:defRPr>
              </a:lvl9pPr>
            </a:lstStyle>
            <a:p>
              <a:pPr algn="l" rtl="0"/>
              <a:r>
                <a:rPr lang="zh-CN" altLang="en-US" sz="900">
                  <a:solidFill>
                    <a:srgbClr val="000000"/>
                  </a:solidFill>
                  <a:latin typeface="宋体" panose="02010600030101010101" pitchFamily="7" charset="-122"/>
                  <a:ea typeface="宋体" panose="02010600030101010101" pitchFamily="7" charset="-122"/>
                  <a:cs typeface="宋体" panose="02010600030101010101" pitchFamily="7" charset="-122"/>
                  <a:sym typeface="宋体" panose="02010600030101010101" pitchFamily="7" charset="-122"/>
                </a:rPr>
                <a:t>贯入式砂浆强度检测仪</a:t>
              </a:r>
              <a:endParaRPr lang="zh-CN" altLang="en-US" sz="900">
                <a:solidFill>
                  <a:srgbClr val="000000"/>
                </a:solidFill>
                <a:latin typeface="宋体" panose="02010600030101010101" pitchFamily="7" charset="-122"/>
                <a:ea typeface="宋体" panose="02010600030101010101" pitchFamily="7" charset="-122"/>
                <a:cs typeface="宋体" panose="02010600030101010101" pitchFamily="7" charset="-122"/>
                <a:sym typeface="宋体" panose="02010600030101010101" pitchFamily="7" charset="-122"/>
              </a:endParaRPr>
            </a:p>
            <a:p>
              <a:pPr algn="l" rtl="0"/>
              <a:endParaRPr lang="zh-CN" altLang="en-US" sz="900">
                <a:solidFill>
                  <a:srgbClr val="000000"/>
                </a:solidFill>
                <a:latin typeface="宋体" panose="02010600030101010101" pitchFamily="7" charset="-122"/>
                <a:ea typeface="宋体" panose="02010600030101010101" pitchFamily="7" charset="-122"/>
                <a:cs typeface="宋体" panose="02010600030101010101" pitchFamily="7" charset="-122"/>
                <a:sym typeface="宋体" panose="02010600030101010101" pitchFamily="7" charset="-122"/>
              </a:endParaRPr>
            </a:p>
            <a:p>
              <a:pPr algn="l" rtl="0"/>
              <a:endParaRPr lang="zh-CN" altLang="en-US" sz="900">
                <a:solidFill>
                  <a:srgbClr val="000000"/>
                </a:solidFill>
                <a:latin typeface="宋体" panose="02010600030101010101" pitchFamily="7" charset="-122"/>
                <a:ea typeface="宋体" panose="02010600030101010101" pitchFamily="7" charset="-122"/>
                <a:cs typeface="宋体" panose="02010600030101010101" pitchFamily="7" charset="-122"/>
                <a:sym typeface="宋体" panose="02010600030101010101" pitchFamily="7" charset="-122"/>
              </a:endParaRPr>
            </a:p>
            <a:p>
              <a:pPr algn="l" rtl="0"/>
              <a:endParaRPr lang="zh-CN" altLang="en-US" sz="900">
                <a:solidFill>
                  <a:srgbClr val="000000"/>
                </a:solidFill>
                <a:latin typeface="宋体" panose="02010600030101010101" pitchFamily="7" charset="-122"/>
                <a:ea typeface="宋体" panose="02010600030101010101" pitchFamily="7" charset="-122"/>
                <a:cs typeface="宋体" panose="02010600030101010101" pitchFamily="7" charset="-122"/>
                <a:sym typeface="宋体" panose="02010600030101010101" pitchFamily="7" charset="-122"/>
              </a:endParaRPr>
            </a:p>
            <a:p>
              <a:pPr algn="l" rtl="0"/>
              <a:endParaRPr lang="zh-CN" altLang="en-US" sz="900">
                <a:solidFill>
                  <a:srgbClr val="000000"/>
                </a:solidFill>
                <a:latin typeface="宋体" panose="02010600030101010101" pitchFamily="7" charset="-122"/>
                <a:ea typeface="宋体" panose="02010600030101010101" pitchFamily="7" charset="-122"/>
                <a:cs typeface="宋体" panose="02010600030101010101" pitchFamily="7" charset="-122"/>
                <a:sym typeface="宋体" panose="02010600030101010101" pitchFamily="7" charset="-122"/>
              </a:endParaRPr>
            </a:p>
            <a:p>
              <a:pPr algn="l" rtl="0"/>
              <a:endParaRPr lang="zh-CN" altLang="en-US" sz="900">
                <a:solidFill>
                  <a:srgbClr val="000000"/>
                </a:solidFill>
                <a:latin typeface="宋体" panose="02010600030101010101" pitchFamily="7" charset="-122"/>
                <a:ea typeface="宋体" panose="02010600030101010101" pitchFamily="7" charset="-122"/>
                <a:cs typeface="宋体" panose="02010600030101010101" pitchFamily="7" charset="-122"/>
                <a:sym typeface="宋体" panose="02010600030101010101" pitchFamily="7" charset="-122"/>
              </a:endParaRP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189865</xdr:colOff>
          <xdr:row>33</xdr:row>
          <xdr:rowOff>92710</xdr:rowOff>
        </xdr:from>
        <xdr:to>
          <xdr:col>4</xdr:col>
          <xdr:colOff>645160</xdr:colOff>
          <xdr:row>34</xdr:row>
          <xdr:rowOff>144780</xdr:rowOff>
        </xdr:to>
        <xdr:sp>
          <xdr:nvSpPr>
            <xdr:cNvPr id="24109" name="Check Box 17" hidden="1">
              <a:extLst>
                <a:ext uri="{63B3BB69-23CF-44E3-9099-C40C66FF867C}">
                  <a14:compatExt spid="_x0000_s24109"/>
                </a:ext>
              </a:extLst>
            </xdr:cNvPr>
            <xdr:cNvSpPr/>
          </xdr:nvSpPr>
          <xdr:spPr>
            <a:xfrm>
              <a:off x="1961515" y="6064885"/>
              <a:ext cx="1826895" cy="233045"/>
            </a:xfrm>
            <a:prstGeom prst="rect">
              <a:avLst/>
            </a:prstGeom>
          </xdr:spPr>
          <xdr:txBody>
            <a:bodyPr wrap="square" anchor="ctr" upright="1"/>
            <a:lstStyle>
              <a:defPPr>
                <a:defRPr lang="zh-CN"/>
              </a:defPPr>
              <a:lvl1pPr marL="0" algn="l" defTabSz="914400" rtl="0" eaLnBrk="1" latinLnBrk="0" hangingPunct="1">
                <a:defRPr sz="1100">
                  <a:latin typeface="+mn-lt"/>
                  <a:ea typeface="+mn-ea"/>
                  <a:cs typeface="+mn-cs"/>
                </a:defRPr>
              </a:lvl1pPr>
              <a:lvl2pPr marL="457200" algn="l" defTabSz="914400" rtl="0" eaLnBrk="1" latinLnBrk="0" hangingPunct="1">
                <a:defRPr sz="1100">
                  <a:latin typeface="+mn-lt"/>
                  <a:ea typeface="+mn-ea"/>
                  <a:cs typeface="+mn-cs"/>
                </a:defRPr>
              </a:lvl2pPr>
              <a:lvl3pPr marL="914400" algn="l" defTabSz="914400" rtl="0" eaLnBrk="1" latinLnBrk="0" hangingPunct="1">
                <a:defRPr sz="1100">
                  <a:latin typeface="+mn-lt"/>
                  <a:ea typeface="+mn-ea"/>
                  <a:cs typeface="+mn-cs"/>
                </a:defRPr>
              </a:lvl3pPr>
              <a:lvl4pPr marL="1371600" algn="l" defTabSz="914400" rtl="0" eaLnBrk="1" latinLnBrk="0" hangingPunct="1">
                <a:defRPr sz="1100">
                  <a:latin typeface="+mn-lt"/>
                  <a:ea typeface="+mn-ea"/>
                  <a:cs typeface="+mn-cs"/>
                </a:defRPr>
              </a:lvl4pPr>
              <a:lvl5pPr marL="1828800" algn="l" defTabSz="914400" rtl="0" eaLnBrk="1" latinLnBrk="0" hangingPunct="1">
                <a:defRPr sz="1100">
                  <a:latin typeface="+mn-lt"/>
                  <a:ea typeface="+mn-ea"/>
                  <a:cs typeface="+mn-cs"/>
                </a:defRPr>
              </a:lvl5pPr>
              <a:lvl6pPr marL="2286000" algn="l" defTabSz="914400" rtl="0" eaLnBrk="1" latinLnBrk="0" hangingPunct="1">
                <a:defRPr sz="1100">
                  <a:latin typeface="+mn-lt"/>
                  <a:ea typeface="+mn-ea"/>
                  <a:cs typeface="+mn-cs"/>
                </a:defRPr>
              </a:lvl6pPr>
              <a:lvl7pPr marL="2743200" algn="l" defTabSz="914400" rtl="0" eaLnBrk="1" latinLnBrk="0" hangingPunct="1">
                <a:defRPr sz="1100">
                  <a:latin typeface="+mn-lt"/>
                  <a:ea typeface="+mn-ea"/>
                  <a:cs typeface="+mn-cs"/>
                </a:defRPr>
              </a:lvl7pPr>
              <a:lvl8pPr marL="3200400" algn="l" defTabSz="914400" rtl="0" eaLnBrk="1" latinLnBrk="0" hangingPunct="1">
                <a:defRPr sz="1100">
                  <a:latin typeface="+mn-lt"/>
                  <a:ea typeface="+mn-ea"/>
                  <a:cs typeface="+mn-cs"/>
                </a:defRPr>
              </a:lvl8pPr>
              <a:lvl9pPr marL="3657600" algn="l" defTabSz="914400" rtl="0" eaLnBrk="1" latinLnBrk="0" hangingPunct="1">
                <a:defRPr sz="1100">
                  <a:latin typeface="+mn-lt"/>
                  <a:ea typeface="+mn-ea"/>
                  <a:cs typeface="+mn-cs"/>
                </a:defRPr>
              </a:lvl9pPr>
            </a:lstStyle>
            <a:p>
              <a:pPr algn="l" rtl="0"/>
              <a:r>
                <a:rPr lang="zh-CN" altLang="en-US" sz="900">
                  <a:solidFill>
                    <a:srgbClr val="000000"/>
                  </a:solidFill>
                  <a:latin typeface="宋体" panose="02010600030101010101" pitchFamily="7" charset="-122"/>
                  <a:ea typeface="宋体" panose="02010600030101010101" pitchFamily="7" charset="-122"/>
                  <a:cs typeface="宋体" panose="02010600030101010101" pitchFamily="7" charset="-122"/>
                  <a:sym typeface="宋体" panose="02010600030101010101" pitchFamily="7" charset="-122"/>
                </a:rPr>
                <a:t>钢筋锈蚀仪</a:t>
              </a:r>
              <a:endParaRPr lang="zh-CN" altLang="en-US" sz="900">
                <a:solidFill>
                  <a:srgbClr val="000000"/>
                </a:solidFill>
                <a:latin typeface="宋体" panose="02010600030101010101" pitchFamily="7" charset="-122"/>
                <a:ea typeface="宋体" panose="02010600030101010101" pitchFamily="7" charset="-122"/>
                <a:cs typeface="宋体" panose="02010600030101010101" pitchFamily="7" charset="-122"/>
                <a:sym typeface="宋体" panose="02010600030101010101" pitchFamily="7" charset="-122"/>
              </a:endParaRPr>
            </a:p>
            <a:p>
              <a:pPr algn="l" rtl="0"/>
              <a:endParaRPr lang="zh-CN" altLang="en-US" sz="900">
                <a:solidFill>
                  <a:srgbClr val="000000"/>
                </a:solidFill>
                <a:latin typeface="宋体" panose="02010600030101010101" pitchFamily="7" charset="-122"/>
                <a:ea typeface="宋体" panose="02010600030101010101" pitchFamily="7" charset="-122"/>
                <a:cs typeface="宋体" panose="02010600030101010101" pitchFamily="7" charset="-122"/>
                <a:sym typeface="宋体" panose="02010600030101010101" pitchFamily="7" charset="-122"/>
              </a:endParaRPr>
            </a:p>
            <a:p>
              <a:pPr algn="l" rtl="0"/>
              <a:endParaRPr lang="zh-CN" altLang="en-US" sz="900">
                <a:solidFill>
                  <a:srgbClr val="000000"/>
                </a:solidFill>
                <a:latin typeface="宋体" panose="02010600030101010101" pitchFamily="7" charset="-122"/>
                <a:ea typeface="宋体" panose="02010600030101010101" pitchFamily="7" charset="-122"/>
                <a:cs typeface="宋体" panose="02010600030101010101" pitchFamily="7" charset="-122"/>
                <a:sym typeface="宋体" panose="02010600030101010101" pitchFamily="7" charset="-122"/>
              </a:endParaRPr>
            </a:p>
            <a:p>
              <a:pPr algn="l" rtl="0"/>
              <a:endParaRPr lang="zh-CN" altLang="en-US" sz="900">
                <a:solidFill>
                  <a:srgbClr val="000000"/>
                </a:solidFill>
                <a:latin typeface="宋体" panose="02010600030101010101" pitchFamily="7" charset="-122"/>
                <a:ea typeface="宋体" panose="02010600030101010101" pitchFamily="7" charset="-122"/>
                <a:cs typeface="宋体" panose="02010600030101010101" pitchFamily="7" charset="-122"/>
                <a:sym typeface="宋体" panose="02010600030101010101" pitchFamily="7" charset="-122"/>
              </a:endParaRPr>
            </a:p>
            <a:p>
              <a:pPr algn="l" rtl="0"/>
              <a:endParaRPr lang="zh-CN" altLang="en-US" sz="900">
                <a:solidFill>
                  <a:srgbClr val="000000"/>
                </a:solidFill>
                <a:latin typeface="宋体" panose="02010600030101010101" pitchFamily="7" charset="-122"/>
                <a:ea typeface="宋体" panose="02010600030101010101" pitchFamily="7" charset="-122"/>
                <a:cs typeface="宋体" panose="02010600030101010101" pitchFamily="7" charset="-122"/>
                <a:sym typeface="宋体" panose="02010600030101010101" pitchFamily="7" charset="-122"/>
              </a:endParaRP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206375</xdr:colOff>
          <xdr:row>31</xdr:row>
          <xdr:rowOff>73025</xdr:rowOff>
        </xdr:from>
        <xdr:to>
          <xdr:col>3</xdr:col>
          <xdr:colOff>520700</xdr:colOff>
          <xdr:row>32</xdr:row>
          <xdr:rowOff>115570</xdr:rowOff>
        </xdr:to>
        <xdr:sp>
          <xdr:nvSpPr>
            <xdr:cNvPr id="23557" name="Check Box 16" hidden="1">
              <a:extLst>
                <a:ext uri="{63B3BB69-23CF-44E3-9099-C40C66FF867C}">
                  <a14:compatExt spid="_x0000_s23557"/>
                </a:ext>
              </a:extLst>
            </xdr:cNvPr>
            <xdr:cNvSpPr/>
          </xdr:nvSpPr>
          <xdr:spPr>
            <a:xfrm>
              <a:off x="1978025" y="5683250"/>
              <a:ext cx="1000125" cy="223520"/>
            </a:xfrm>
            <a:prstGeom prst="rect">
              <a:avLst/>
            </a:prstGeom>
          </xdr:spPr>
          <xdr:txBody>
            <a:bodyPr wrap="square" anchor="ctr" upright="1">
              <a:noAutofit/>
            </a:bodyPr>
            <a:p>
              <a:pPr algn="l" rtl="0"/>
              <a:r>
                <a:rPr lang="zh-CN" altLang="en-US" sz="900">
                  <a:solidFill>
                    <a:srgbClr val="000000"/>
                  </a:solidFill>
                  <a:latin typeface="宋体" panose="02010600030101010101" pitchFamily="7" charset="-122"/>
                  <a:ea typeface="宋体" panose="02010600030101010101" pitchFamily="7" charset="-122"/>
                  <a:cs typeface="宋体" panose="02010600030101010101" pitchFamily="7" charset="-122"/>
                  <a:sym typeface="宋体" panose="02010600030101010101" pitchFamily="7" charset="-122"/>
                </a:rPr>
                <a:t>裂缝宽度观测仪</a:t>
              </a:r>
              <a:endParaRPr lang="zh-CN" altLang="en-US" sz="900">
                <a:solidFill>
                  <a:srgbClr val="000000"/>
                </a:solidFill>
                <a:latin typeface="宋体" panose="02010600030101010101" pitchFamily="7" charset="-122"/>
                <a:ea typeface="宋体" panose="02010600030101010101" pitchFamily="7" charset="-122"/>
                <a:cs typeface="宋体" panose="02010600030101010101" pitchFamily="7" charset="-122"/>
                <a:sym typeface="宋体" panose="02010600030101010101" pitchFamily="7" charset="-122"/>
              </a:endParaRP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189865</xdr:colOff>
          <xdr:row>29</xdr:row>
          <xdr:rowOff>41910</xdr:rowOff>
        </xdr:from>
        <xdr:to>
          <xdr:col>4</xdr:col>
          <xdr:colOff>645160</xdr:colOff>
          <xdr:row>30</xdr:row>
          <xdr:rowOff>93980</xdr:rowOff>
        </xdr:to>
        <xdr:sp>
          <xdr:nvSpPr>
            <xdr:cNvPr id="24108" name="Check Box 15" hidden="1">
              <a:extLst>
                <a:ext uri="{63B3BB69-23CF-44E3-9099-C40C66FF867C}">
                  <a14:compatExt spid="_x0000_s24108"/>
                </a:ext>
              </a:extLst>
            </xdr:cNvPr>
            <xdr:cNvSpPr/>
          </xdr:nvSpPr>
          <xdr:spPr>
            <a:xfrm>
              <a:off x="1961515" y="5290185"/>
              <a:ext cx="1826895" cy="233045"/>
            </a:xfrm>
            <a:prstGeom prst="rect">
              <a:avLst/>
            </a:prstGeom>
          </xdr:spPr>
          <xdr:txBody>
            <a:bodyPr wrap="square" anchor="ctr" upright="1"/>
            <a:lstStyle>
              <a:defPPr>
                <a:defRPr lang="zh-CN"/>
              </a:defPPr>
              <a:lvl1pPr marL="0" algn="l" defTabSz="914400" rtl="0" eaLnBrk="1" latinLnBrk="0" hangingPunct="1">
                <a:defRPr sz="1100">
                  <a:latin typeface="+mn-lt"/>
                  <a:ea typeface="+mn-ea"/>
                  <a:cs typeface="+mn-cs"/>
                </a:defRPr>
              </a:lvl1pPr>
              <a:lvl2pPr marL="457200" algn="l" defTabSz="914400" rtl="0" eaLnBrk="1" latinLnBrk="0" hangingPunct="1">
                <a:defRPr sz="1100">
                  <a:latin typeface="+mn-lt"/>
                  <a:ea typeface="+mn-ea"/>
                  <a:cs typeface="+mn-cs"/>
                </a:defRPr>
              </a:lvl2pPr>
              <a:lvl3pPr marL="914400" algn="l" defTabSz="914400" rtl="0" eaLnBrk="1" latinLnBrk="0" hangingPunct="1">
                <a:defRPr sz="1100">
                  <a:latin typeface="+mn-lt"/>
                  <a:ea typeface="+mn-ea"/>
                  <a:cs typeface="+mn-cs"/>
                </a:defRPr>
              </a:lvl3pPr>
              <a:lvl4pPr marL="1371600" algn="l" defTabSz="914400" rtl="0" eaLnBrk="1" latinLnBrk="0" hangingPunct="1">
                <a:defRPr sz="1100">
                  <a:latin typeface="+mn-lt"/>
                  <a:ea typeface="+mn-ea"/>
                  <a:cs typeface="+mn-cs"/>
                </a:defRPr>
              </a:lvl4pPr>
              <a:lvl5pPr marL="1828800" algn="l" defTabSz="914400" rtl="0" eaLnBrk="1" latinLnBrk="0" hangingPunct="1">
                <a:defRPr sz="1100">
                  <a:latin typeface="+mn-lt"/>
                  <a:ea typeface="+mn-ea"/>
                  <a:cs typeface="+mn-cs"/>
                </a:defRPr>
              </a:lvl5pPr>
              <a:lvl6pPr marL="2286000" algn="l" defTabSz="914400" rtl="0" eaLnBrk="1" latinLnBrk="0" hangingPunct="1">
                <a:defRPr sz="1100">
                  <a:latin typeface="+mn-lt"/>
                  <a:ea typeface="+mn-ea"/>
                  <a:cs typeface="+mn-cs"/>
                </a:defRPr>
              </a:lvl6pPr>
              <a:lvl7pPr marL="2743200" algn="l" defTabSz="914400" rtl="0" eaLnBrk="1" latinLnBrk="0" hangingPunct="1">
                <a:defRPr sz="1100">
                  <a:latin typeface="+mn-lt"/>
                  <a:ea typeface="+mn-ea"/>
                  <a:cs typeface="+mn-cs"/>
                </a:defRPr>
              </a:lvl7pPr>
              <a:lvl8pPr marL="3200400" algn="l" defTabSz="914400" rtl="0" eaLnBrk="1" latinLnBrk="0" hangingPunct="1">
                <a:defRPr sz="1100">
                  <a:latin typeface="+mn-lt"/>
                  <a:ea typeface="+mn-ea"/>
                  <a:cs typeface="+mn-cs"/>
                </a:defRPr>
              </a:lvl8pPr>
              <a:lvl9pPr marL="3657600" algn="l" defTabSz="914400" rtl="0" eaLnBrk="1" latinLnBrk="0" hangingPunct="1">
                <a:defRPr sz="1100">
                  <a:latin typeface="+mn-lt"/>
                  <a:ea typeface="+mn-ea"/>
                  <a:cs typeface="+mn-cs"/>
                </a:defRPr>
              </a:lvl9pPr>
            </a:lstStyle>
            <a:p>
              <a:pPr algn="l" rtl="0"/>
              <a:r>
                <a:rPr lang="zh-CN" altLang="en-US" sz="900">
                  <a:solidFill>
                    <a:srgbClr val="000000"/>
                  </a:solidFill>
                  <a:latin typeface="宋体" panose="02010600030101010101" pitchFamily="7" charset="-122"/>
                  <a:ea typeface="宋体" panose="02010600030101010101" pitchFamily="7" charset="-122"/>
                  <a:cs typeface="宋体" panose="02010600030101010101" pitchFamily="7" charset="-122"/>
                  <a:sym typeface="宋体" panose="02010600030101010101" pitchFamily="7" charset="-122"/>
                </a:rPr>
                <a:t>钢筋扫描仪</a:t>
              </a:r>
              <a:endParaRPr lang="zh-CN" altLang="en-US" sz="900">
                <a:solidFill>
                  <a:srgbClr val="000000"/>
                </a:solidFill>
                <a:latin typeface="宋体" panose="02010600030101010101" pitchFamily="7" charset="-122"/>
                <a:ea typeface="宋体" panose="02010600030101010101" pitchFamily="7" charset="-122"/>
                <a:cs typeface="宋体" panose="02010600030101010101" pitchFamily="7" charset="-122"/>
                <a:sym typeface="宋体" panose="02010600030101010101" pitchFamily="7" charset="-122"/>
              </a:endParaRPr>
            </a:p>
            <a:p>
              <a:pPr algn="l" rtl="0"/>
              <a:endParaRPr lang="zh-CN" altLang="en-US" sz="900">
                <a:solidFill>
                  <a:srgbClr val="000000"/>
                </a:solidFill>
                <a:latin typeface="宋体" panose="02010600030101010101" pitchFamily="7" charset="-122"/>
                <a:ea typeface="宋体" panose="02010600030101010101" pitchFamily="7" charset="-122"/>
                <a:cs typeface="宋体" panose="02010600030101010101" pitchFamily="7" charset="-122"/>
                <a:sym typeface="宋体" panose="02010600030101010101" pitchFamily="7" charset="-122"/>
              </a:endParaRPr>
            </a:p>
            <a:p>
              <a:pPr algn="l" rtl="0"/>
              <a:endParaRPr lang="zh-CN" altLang="en-US" sz="900">
                <a:solidFill>
                  <a:srgbClr val="000000"/>
                </a:solidFill>
                <a:latin typeface="宋体" panose="02010600030101010101" pitchFamily="7" charset="-122"/>
                <a:ea typeface="宋体" panose="02010600030101010101" pitchFamily="7" charset="-122"/>
                <a:cs typeface="宋体" panose="02010600030101010101" pitchFamily="7" charset="-122"/>
                <a:sym typeface="宋体" panose="02010600030101010101" pitchFamily="7" charset="-122"/>
              </a:endParaRPr>
            </a:p>
            <a:p>
              <a:pPr algn="l" rtl="0"/>
              <a:endParaRPr lang="zh-CN" altLang="en-US" sz="900">
                <a:solidFill>
                  <a:srgbClr val="000000"/>
                </a:solidFill>
                <a:latin typeface="宋体" panose="02010600030101010101" pitchFamily="7" charset="-122"/>
                <a:ea typeface="宋体" panose="02010600030101010101" pitchFamily="7" charset="-122"/>
                <a:cs typeface="宋体" panose="02010600030101010101" pitchFamily="7" charset="-122"/>
                <a:sym typeface="宋体" panose="02010600030101010101" pitchFamily="7" charset="-122"/>
              </a:endParaRP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189865</xdr:colOff>
          <xdr:row>27</xdr:row>
          <xdr:rowOff>41910</xdr:rowOff>
        </xdr:from>
        <xdr:to>
          <xdr:col>3</xdr:col>
          <xdr:colOff>92710</xdr:colOff>
          <xdr:row>28</xdr:row>
          <xdr:rowOff>93980</xdr:rowOff>
        </xdr:to>
        <xdr:sp>
          <xdr:nvSpPr>
            <xdr:cNvPr id="24107" name="Check Box 14" hidden="1">
              <a:extLst>
                <a:ext uri="{63B3BB69-23CF-44E3-9099-C40C66FF867C}">
                  <a14:compatExt spid="_x0000_s24107"/>
                </a:ext>
              </a:extLst>
            </xdr:cNvPr>
            <xdr:cNvSpPr/>
          </xdr:nvSpPr>
          <xdr:spPr>
            <a:xfrm>
              <a:off x="1961515" y="4928235"/>
              <a:ext cx="588645" cy="233045"/>
            </a:xfrm>
            <a:prstGeom prst="rect">
              <a:avLst/>
            </a:prstGeom>
          </xdr:spPr>
          <xdr:txBody>
            <a:bodyPr wrap="square" anchor="ctr" upright="1"/>
            <a:lstStyle>
              <a:defPPr>
                <a:defRPr lang="zh-CN"/>
              </a:defPPr>
              <a:lvl1pPr marL="0" algn="l" defTabSz="914400" rtl="0" eaLnBrk="1" latinLnBrk="0" hangingPunct="1">
                <a:defRPr sz="1100">
                  <a:latin typeface="+mn-lt"/>
                  <a:ea typeface="+mn-ea"/>
                  <a:cs typeface="+mn-cs"/>
                </a:defRPr>
              </a:lvl1pPr>
              <a:lvl2pPr marL="457200" algn="l" defTabSz="914400" rtl="0" eaLnBrk="1" latinLnBrk="0" hangingPunct="1">
                <a:defRPr sz="1100">
                  <a:latin typeface="+mn-lt"/>
                  <a:ea typeface="+mn-ea"/>
                  <a:cs typeface="+mn-cs"/>
                </a:defRPr>
              </a:lvl2pPr>
              <a:lvl3pPr marL="914400" algn="l" defTabSz="914400" rtl="0" eaLnBrk="1" latinLnBrk="0" hangingPunct="1">
                <a:defRPr sz="1100">
                  <a:latin typeface="+mn-lt"/>
                  <a:ea typeface="+mn-ea"/>
                  <a:cs typeface="+mn-cs"/>
                </a:defRPr>
              </a:lvl3pPr>
              <a:lvl4pPr marL="1371600" algn="l" defTabSz="914400" rtl="0" eaLnBrk="1" latinLnBrk="0" hangingPunct="1">
                <a:defRPr sz="1100">
                  <a:latin typeface="+mn-lt"/>
                  <a:ea typeface="+mn-ea"/>
                  <a:cs typeface="+mn-cs"/>
                </a:defRPr>
              </a:lvl4pPr>
              <a:lvl5pPr marL="1828800" algn="l" defTabSz="914400" rtl="0" eaLnBrk="1" latinLnBrk="0" hangingPunct="1">
                <a:defRPr sz="1100">
                  <a:latin typeface="+mn-lt"/>
                  <a:ea typeface="+mn-ea"/>
                  <a:cs typeface="+mn-cs"/>
                </a:defRPr>
              </a:lvl5pPr>
              <a:lvl6pPr marL="2286000" algn="l" defTabSz="914400" rtl="0" eaLnBrk="1" latinLnBrk="0" hangingPunct="1">
                <a:defRPr sz="1100">
                  <a:latin typeface="+mn-lt"/>
                  <a:ea typeface="+mn-ea"/>
                  <a:cs typeface="+mn-cs"/>
                </a:defRPr>
              </a:lvl6pPr>
              <a:lvl7pPr marL="2743200" algn="l" defTabSz="914400" rtl="0" eaLnBrk="1" latinLnBrk="0" hangingPunct="1">
                <a:defRPr sz="1100">
                  <a:latin typeface="+mn-lt"/>
                  <a:ea typeface="+mn-ea"/>
                  <a:cs typeface="+mn-cs"/>
                </a:defRPr>
              </a:lvl7pPr>
              <a:lvl8pPr marL="3200400" algn="l" defTabSz="914400" rtl="0" eaLnBrk="1" latinLnBrk="0" hangingPunct="1">
                <a:defRPr sz="1100">
                  <a:latin typeface="+mn-lt"/>
                  <a:ea typeface="+mn-ea"/>
                  <a:cs typeface="+mn-cs"/>
                </a:defRPr>
              </a:lvl8pPr>
              <a:lvl9pPr marL="3657600" algn="l" defTabSz="914400" rtl="0" eaLnBrk="1" latinLnBrk="0" hangingPunct="1">
                <a:defRPr sz="1100">
                  <a:latin typeface="+mn-lt"/>
                  <a:ea typeface="+mn-ea"/>
                  <a:cs typeface="+mn-cs"/>
                </a:defRPr>
              </a:lvl9pPr>
            </a:lstStyle>
            <a:p>
              <a:pPr algn="l" rtl="0"/>
              <a:r>
                <a:rPr lang="zh-CN" altLang="en-US" sz="900">
                  <a:solidFill>
                    <a:srgbClr val="000000"/>
                  </a:solidFill>
                  <a:latin typeface="宋体" panose="02010600030101010101" pitchFamily="7" charset="-122"/>
                  <a:ea typeface="宋体" panose="02010600030101010101" pitchFamily="7" charset="-122"/>
                  <a:cs typeface="宋体" panose="02010600030101010101" pitchFamily="7" charset="-122"/>
                  <a:sym typeface="宋体" panose="02010600030101010101" pitchFamily="7" charset="-122"/>
                </a:rPr>
                <a:t>回弹仪</a:t>
              </a:r>
              <a:endParaRPr lang="zh-CN" altLang="en-US" sz="900">
                <a:solidFill>
                  <a:srgbClr val="000000"/>
                </a:solidFill>
                <a:latin typeface="宋体" panose="02010600030101010101" pitchFamily="7" charset="-122"/>
                <a:ea typeface="宋体" panose="02010600030101010101" pitchFamily="7" charset="-122"/>
                <a:cs typeface="宋体" panose="02010600030101010101" pitchFamily="7" charset="-122"/>
                <a:sym typeface="宋体" panose="02010600030101010101" pitchFamily="7" charset="-122"/>
              </a:endParaRPr>
            </a:p>
            <a:p>
              <a:pPr algn="l" rtl="0"/>
              <a:endParaRPr lang="zh-CN" altLang="en-US" sz="900">
                <a:solidFill>
                  <a:srgbClr val="000000"/>
                </a:solidFill>
                <a:latin typeface="宋体" panose="02010600030101010101" pitchFamily="7" charset="-122"/>
                <a:ea typeface="宋体" panose="02010600030101010101" pitchFamily="7" charset="-122"/>
                <a:cs typeface="宋体" panose="02010600030101010101" pitchFamily="7" charset="-122"/>
                <a:sym typeface="宋体" panose="02010600030101010101" pitchFamily="7" charset="-122"/>
              </a:endParaRPr>
            </a:p>
            <a:p>
              <a:pPr algn="l" rtl="0"/>
              <a:endParaRPr lang="zh-CN" altLang="en-US" sz="900">
                <a:solidFill>
                  <a:srgbClr val="000000"/>
                </a:solidFill>
                <a:latin typeface="宋体" panose="02010600030101010101" pitchFamily="7" charset="-122"/>
                <a:ea typeface="宋体" panose="02010600030101010101" pitchFamily="7" charset="-122"/>
                <a:cs typeface="宋体" panose="02010600030101010101" pitchFamily="7" charset="-122"/>
                <a:sym typeface="宋体" panose="02010600030101010101" pitchFamily="7" charset="-122"/>
              </a:endParaRPr>
            </a:p>
            <a:p>
              <a:pPr algn="l" rtl="0"/>
              <a:endParaRPr lang="zh-CN" altLang="en-US" sz="900">
                <a:solidFill>
                  <a:srgbClr val="000000"/>
                </a:solidFill>
                <a:latin typeface="宋体" panose="02010600030101010101" pitchFamily="7" charset="-122"/>
                <a:ea typeface="宋体" panose="02010600030101010101" pitchFamily="7" charset="-122"/>
                <a:cs typeface="宋体" panose="02010600030101010101" pitchFamily="7" charset="-122"/>
                <a:sym typeface="宋体" panose="02010600030101010101" pitchFamily="7" charset="-122"/>
              </a:endParaRP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177165</xdr:colOff>
          <xdr:row>25</xdr:row>
          <xdr:rowOff>41910</xdr:rowOff>
        </xdr:from>
        <xdr:to>
          <xdr:col>4</xdr:col>
          <xdr:colOff>233680</xdr:colOff>
          <xdr:row>26</xdr:row>
          <xdr:rowOff>93980</xdr:rowOff>
        </xdr:to>
        <xdr:sp>
          <xdr:nvSpPr>
            <xdr:cNvPr id="24104" name="Check Box 13" hidden="1">
              <a:extLst>
                <a:ext uri="{63B3BB69-23CF-44E3-9099-C40C66FF867C}">
                  <a14:compatExt spid="_x0000_s24104"/>
                </a:ext>
              </a:extLst>
            </xdr:cNvPr>
            <xdr:cNvSpPr/>
          </xdr:nvSpPr>
          <xdr:spPr>
            <a:xfrm>
              <a:off x="1948815" y="4566285"/>
              <a:ext cx="1428115" cy="233045"/>
            </a:xfrm>
            <a:prstGeom prst="rect">
              <a:avLst/>
            </a:prstGeom>
          </xdr:spPr>
          <xdr:txBody>
            <a:bodyPr wrap="square" anchor="ctr" upright="1"/>
            <a:lstStyle>
              <a:defPPr>
                <a:defRPr lang="zh-CN"/>
              </a:defPPr>
              <a:lvl1pPr marL="0" algn="l" defTabSz="914400" rtl="0" eaLnBrk="1" latinLnBrk="0" hangingPunct="1">
                <a:defRPr sz="1100">
                  <a:latin typeface="+mn-lt"/>
                  <a:ea typeface="+mn-ea"/>
                  <a:cs typeface="+mn-cs"/>
                </a:defRPr>
              </a:lvl1pPr>
              <a:lvl2pPr marL="457200" algn="l" defTabSz="914400" rtl="0" eaLnBrk="1" latinLnBrk="0" hangingPunct="1">
                <a:defRPr sz="1100">
                  <a:latin typeface="+mn-lt"/>
                  <a:ea typeface="+mn-ea"/>
                  <a:cs typeface="+mn-cs"/>
                </a:defRPr>
              </a:lvl2pPr>
              <a:lvl3pPr marL="914400" algn="l" defTabSz="914400" rtl="0" eaLnBrk="1" latinLnBrk="0" hangingPunct="1">
                <a:defRPr sz="1100">
                  <a:latin typeface="+mn-lt"/>
                  <a:ea typeface="+mn-ea"/>
                  <a:cs typeface="+mn-cs"/>
                </a:defRPr>
              </a:lvl3pPr>
              <a:lvl4pPr marL="1371600" algn="l" defTabSz="914400" rtl="0" eaLnBrk="1" latinLnBrk="0" hangingPunct="1">
                <a:defRPr sz="1100">
                  <a:latin typeface="+mn-lt"/>
                  <a:ea typeface="+mn-ea"/>
                  <a:cs typeface="+mn-cs"/>
                </a:defRPr>
              </a:lvl4pPr>
              <a:lvl5pPr marL="1828800" algn="l" defTabSz="914400" rtl="0" eaLnBrk="1" latinLnBrk="0" hangingPunct="1">
                <a:defRPr sz="1100">
                  <a:latin typeface="+mn-lt"/>
                  <a:ea typeface="+mn-ea"/>
                  <a:cs typeface="+mn-cs"/>
                </a:defRPr>
              </a:lvl5pPr>
              <a:lvl6pPr marL="2286000" algn="l" defTabSz="914400" rtl="0" eaLnBrk="1" latinLnBrk="0" hangingPunct="1">
                <a:defRPr sz="1100">
                  <a:latin typeface="+mn-lt"/>
                  <a:ea typeface="+mn-ea"/>
                  <a:cs typeface="+mn-cs"/>
                </a:defRPr>
              </a:lvl6pPr>
              <a:lvl7pPr marL="2743200" algn="l" defTabSz="914400" rtl="0" eaLnBrk="1" latinLnBrk="0" hangingPunct="1">
                <a:defRPr sz="1100">
                  <a:latin typeface="+mn-lt"/>
                  <a:ea typeface="+mn-ea"/>
                  <a:cs typeface="+mn-cs"/>
                </a:defRPr>
              </a:lvl7pPr>
              <a:lvl8pPr marL="3200400" algn="l" defTabSz="914400" rtl="0" eaLnBrk="1" latinLnBrk="0" hangingPunct="1">
                <a:defRPr sz="1100">
                  <a:latin typeface="+mn-lt"/>
                  <a:ea typeface="+mn-ea"/>
                  <a:cs typeface="+mn-cs"/>
                </a:defRPr>
              </a:lvl8pPr>
              <a:lvl9pPr marL="3657600" algn="l" defTabSz="914400" rtl="0" eaLnBrk="1" latinLnBrk="0" hangingPunct="1">
                <a:defRPr sz="1100">
                  <a:latin typeface="+mn-lt"/>
                  <a:ea typeface="+mn-ea"/>
                  <a:cs typeface="+mn-cs"/>
                </a:defRPr>
              </a:lvl9pPr>
            </a:lstStyle>
            <a:p>
              <a:pPr algn="l" rtl="0"/>
              <a:r>
                <a:rPr lang="zh-CN" altLang="en-US" sz="900">
                  <a:solidFill>
                    <a:srgbClr val="000000"/>
                  </a:solidFill>
                  <a:latin typeface="宋体" panose="02010600030101010101" pitchFamily="7" charset="-122"/>
                  <a:ea typeface="宋体" panose="02010600030101010101" pitchFamily="7" charset="-122"/>
                  <a:cs typeface="宋体" panose="02010600030101010101" pitchFamily="7" charset="-122"/>
                  <a:sym typeface="宋体" panose="02010600030101010101" pitchFamily="7" charset="-122"/>
                </a:rPr>
                <a:t>动态信号测试分析系统</a:t>
              </a:r>
              <a:endParaRPr lang="zh-CN" altLang="en-US" sz="900">
                <a:solidFill>
                  <a:srgbClr val="000000"/>
                </a:solidFill>
                <a:latin typeface="宋体" panose="02010600030101010101" pitchFamily="7" charset="-122"/>
                <a:ea typeface="宋体" panose="02010600030101010101" pitchFamily="7" charset="-122"/>
                <a:cs typeface="宋体" panose="02010600030101010101" pitchFamily="7" charset="-122"/>
                <a:sym typeface="宋体" panose="02010600030101010101" pitchFamily="7" charset="-122"/>
              </a:endParaRPr>
            </a:p>
            <a:p>
              <a:pPr algn="l" rtl="0"/>
              <a:endParaRPr lang="zh-CN" altLang="en-US" sz="900">
                <a:solidFill>
                  <a:srgbClr val="000000"/>
                </a:solidFill>
                <a:latin typeface="宋体" panose="02010600030101010101" pitchFamily="7" charset="-122"/>
                <a:ea typeface="宋体" panose="02010600030101010101" pitchFamily="7" charset="-122"/>
                <a:cs typeface="宋体" panose="02010600030101010101" pitchFamily="7" charset="-122"/>
                <a:sym typeface="宋体" panose="02010600030101010101" pitchFamily="7" charset="-122"/>
              </a:endParaRPr>
            </a:p>
            <a:p>
              <a:pPr algn="l" rtl="0"/>
              <a:endParaRPr lang="zh-CN" altLang="en-US" sz="900">
                <a:solidFill>
                  <a:srgbClr val="000000"/>
                </a:solidFill>
                <a:latin typeface="宋体" panose="02010600030101010101" pitchFamily="7" charset="-122"/>
                <a:ea typeface="宋体" panose="02010600030101010101" pitchFamily="7" charset="-122"/>
                <a:cs typeface="宋体" panose="02010600030101010101" pitchFamily="7" charset="-122"/>
                <a:sym typeface="宋体" panose="02010600030101010101" pitchFamily="7" charset="-122"/>
              </a:endParaRP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180340</xdr:colOff>
          <xdr:row>23</xdr:row>
          <xdr:rowOff>60960</xdr:rowOff>
        </xdr:from>
        <xdr:to>
          <xdr:col>4</xdr:col>
          <xdr:colOff>427990</xdr:colOff>
          <xdr:row>24</xdr:row>
          <xdr:rowOff>113030</xdr:rowOff>
        </xdr:to>
        <xdr:sp>
          <xdr:nvSpPr>
            <xdr:cNvPr id="24112" name="Check Box 12" hidden="1">
              <a:extLst>
                <a:ext uri="{63B3BB69-23CF-44E3-9099-C40C66FF867C}">
                  <a14:compatExt spid="_x0000_s24112"/>
                </a:ext>
              </a:extLst>
            </xdr:cNvPr>
            <xdr:cNvSpPr/>
          </xdr:nvSpPr>
          <xdr:spPr>
            <a:xfrm>
              <a:off x="1951990" y="4223385"/>
              <a:ext cx="1619250" cy="233045"/>
            </a:xfrm>
            <a:prstGeom prst="rect">
              <a:avLst/>
            </a:prstGeom>
          </xdr:spPr>
          <xdr:txBody>
            <a:bodyPr wrap="square" anchor="ctr" upright="1"/>
            <a:lstStyle>
              <a:defPPr>
                <a:defRPr lang="zh-CN"/>
              </a:defPPr>
              <a:lvl1pPr marL="0" algn="l" defTabSz="914400" rtl="0" eaLnBrk="1" latinLnBrk="0" hangingPunct="1">
                <a:defRPr sz="1100">
                  <a:latin typeface="+mn-lt"/>
                  <a:ea typeface="+mn-ea"/>
                  <a:cs typeface="+mn-cs"/>
                </a:defRPr>
              </a:lvl1pPr>
              <a:lvl2pPr marL="457200" algn="l" defTabSz="914400" rtl="0" eaLnBrk="1" latinLnBrk="0" hangingPunct="1">
                <a:defRPr sz="1100">
                  <a:latin typeface="+mn-lt"/>
                  <a:ea typeface="+mn-ea"/>
                  <a:cs typeface="+mn-cs"/>
                </a:defRPr>
              </a:lvl2pPr>
              <a:lvl3pPr marL="914400" algn="l" defTabSz="914400" rtl="0" eaLnBrk="1" latinLnBrk="0" hangingPunct="1">
                <a:defRPr sz="1100">
                  <a:latin typeface="+mn-lt"/>
                  <a:ea typeface="+mn-ea"/>
                  <a:cs typeface="+mn-cs"/>
                </a:defRPr>
              </a:lvl3pPr>
              <a:lvl4pPr marL="1371600" algn="l" defTabSz="914400" rtl="0" eaLnBrk="1" latinLnBrk="0" hangingPunct="1">
                <a:defRPr sz="1100">
                  <a:latin typeface="+mn-lt"/>
                  <a:ea typeface="+mn-ea"/>
                  <a:cs typeface="+mn-cs"/>
                </a:defRPr>
              </a:lvl4pPr>
              <a:lvl5pPr marL="1828800" algn="l" defTabSz="914400" rtl="0" eaLnBrk="1" latinLnBrk="0" hangingPunct="1">
                <a:defRPr sz="1100">
                  <a:latin typeface="+mn-lt"/>
                  <a:ea typeface="+mn-ea"/>
                  <a:cs typeface="+mn-cs"/>
                </a:defRPr>
              </a:lvl5pPr>
              <a:lvl6pPr marL="2286000" algn="l" defTabSz="914400" rtl="0" eaLnBrk="1" latinLnBrk="0" hangingPunct="1">
                <a:defRPr sz="1100">
                  <a:latin typeface="+mn-lt"/>
                  <a:ea typeface="+mn-ea"/>
                  <a:cs typeface="+mn-cs"/>
                </a:defRPr>
              </a:lvl6pPr>
              <a:lvl7pPr marL="2743200" algn="l" defTabSz="914400" rtl="0" eaLnBrk="1" latinLnBrk="0" hangingPunct="1">
                <a:defRPr sz="1100">
                  <a:latin typeface="+mn-lt"/>
                  <a:ea typeface="+mn-ea"/>
                  <a:cs typeface="+mn-cs"/>
                </a:defRPr>
              </a:lvl7pPr>
              <a:lvl8pPr marL="3200400" algn="l" defTabSz="914400" rtl="0" eaLnBrk="1" latinLnBrk="0" hangingPunct="1">
                <a:defRPr sz="1100">
                  <a:latin typeface="+mn-lt"/>
                  <a:ea typeface="+mn-ea"/>
                  <a:cs typeface="+mn-cs"/>
                </a:defRPr>
              </a:lvl8pPr>
              <a:lvl9pPr marL="3657600" algn="l" defTabSz="914400" rtl="0" eaLnBrk="1" latinLnBrk="0" hangingPunct="1">
                <a:defRPr sz="1100">
                  <a:latin typeface="+mn-lt"/>
                  <a:ea typeface="+mn-ea"/>
                  <a:cs typeface="+mn-cs"/>
                </a:defRPr>
              </a:lvl9pPr>
            </a:lstStyle>
            <a:p>
              <a:pPr algn="l" rtl="0"/>
              <a:r>
                <a:rPr lang="zh-CN" altLang="en-US" sz="900">
                  <a:solidFill>
                    <a:srgbClr val="000000"/>
                  </a:solidFill>
                  <a:latin typeface="宋体" panose="02010600030101010101" pitchFamily="7" charset="-122"/>
                  <a:ea typeface="宋体" panose="02010600030101010101" pitchFamily="7" charset="-122"/>
                  <a:cs typeface="宋体" panose="02010600030101010101" pitchFamily="7" charset="-122"/>
                  <a:sym typeface="宋体" panose="02010600030101010101" pitchFamily="7" charset="-122"/>
                </a:rPr>
                <a:t>动态信号采集及分析系统</a:t>
              </a:r>
              <a:endParaRPr lang="zh-CN" altLang="en-US" sz="900">
                <a:solidFill>
                  <a:srgbClr val="000000"/>
                </a:solidFill>
                <a:latin typeface="宋体" panose="02010600030101010101" pitchFamily="7" charset="-122"/>
                <a:ea typeface="宋体" panose="02010600030101010101" pitchFamily="7" charset="-122"/>
                <a:cs typeface="宋体" panose="02010600030101010101" pitchFamily="7" charset="-122"/>
                <a:sym typeface="宋体" panose="02010600030101010101" pitchFamily="7" charset="-122"/>
              </a:endParaRP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164465</xdr:colOff>
          <xdr:row>21</xdr:row>
          <xdr:rowOff>54610</xdr:rowOff>
        </xdr:from>
        <xdr:to>
          <xdr:col>4</xdr:col>
          <xdr:colOff>640080</xdr:colOff>
          <xdr:row>22</xdr:row>
          <xdr:rowOff>106680</xdr:rowOff>
        </xdr:to>
        <xdr:sp>
          <xdr:nvSpPr>
            <xdr:cNvPr id="24103" name="Check Box 11" hidden="1">
              <a:extLst>
                <a:ext uri="{63B3BB69-23CF-44E3-9099-C40C66FF867C}">
                  <a14:compatExt spid="_x0000_s24103"/>
                </a:ext>
              </a:extLst>
            </xdr:cNvPr>
            <xdr:cNvSpPr/>
          </xdr:nvSpPr>
          <xdr:spPr>
            <a:xfrm>
              <a:off x="1936115" y="3855085"/>
              <a:ext cx="1847215" cy="233045"/>
            </a:xfrm>
            <a:prstGeom prst="rect">
              <a:avLst/>
            </a:prstGeom>
          </xdr:spPr>
          <xdr:txBody>
            <a:bodyPr wrap="square" anchor="ctr" upright="1"/>
            <a:lstStyle>
              <a:defPPr>
                <a:defRPr lang="zh-CN"/>
              </a:defPPr>
              <a:lvl1pPr marL="0" algn="l" defTabSz="914400" rtl="0" eaLnBrk="1" latinLnBrk="0" hangingPunct="1">
                <a:defRPr sz="1100">
                  <a:latin typeface="+mn-lt"/>
                  <a:ea typeface="+mn-ea"/>
                  <a:cs typeface="+mn-cs"/>
                </a:defRPr>
              </a:lvl1pPr>
              <a:lvl2pPr marL="457200" algn="l" defTabSz="914400" rtl="0" eaLnBrk="1" latinLnBrk="0" hangingPunct="1">
                <a:defRPr sz="1100">
                  <a:latin typeface="+mn-lt"/>
                  <a:ea typeface="+mn-ea"/>
                  <a:cs typeface="+mn-cs"/>
                </a:defRPr>
              </a:lvl2pPr>
              <a:lvl3pPr marL="914400" algn="l" defTabSz="914400" rtl="0" eaLnBrk="1" latinLnBrk="0" hangingPunct="1">
                <a:defRPr sz="1100">
                  <a:latin typeface="+mn-lt"/>
                  <a:ea typeface="+mn-ea"/>
                  <a:cs typeface="+mn-cs"/>
                </a:defRPr>
              </a:lvl3pPr>
              <a:lvl4pPr marL="1371600" algn="l" defTabSz="914400" rtl="0" eaLnBrk="1" latinLnBrk="0" hangingPunct="1">
                <a:defRPr sz="1100">
                  <a:latin typeface="+mn-lt"/>
                  <a:ea typeface="+mn-ea"/>
                  <a:cs typeface="+mn-cs"/>
                </a:defRPr>
              </a:lvl4pPr>
              <a:lvl5pPr marL="1828800" algn="l" defTabSz="914400" rtl="0" eaLnBrk="1" latinLnBrk="0" hangingPunct="1">
                <a:defRPr sz="1100">
                  <a:latin typeface="+mn-lt"/>
                  <a:ea typeface="+mn-ea"/>
                  <a:cs typeface="+mn-cs"/>
                </a:defRPr>
              </a:lvl5pPr>
              <a:lvl6pPr marL="2286000" algn="l" defTabSz="914400" rtl="0" eaLnBrk="1" latinLnBrk="0" hangingPunct="1">
                <a:defRPr sz="1100">
                  <a:latin typeface="+mn-lt"/>
                  <a:ea typeface="+mn-ea"/>
                  <a:cs typeface="+mn-cs"/>
                </a:defRPr>
              </a:lvl6pPr>
              <a:lvl7pPr marL="2743200" algn="l" defTabSz="914400" rtl="0" eaLnBrk="1" latinLnBrk="0" hangingPunct="1">
                <a:defRPr sz="1100">
                  <a:latin typeface="+mn-lt"/>
                  <a:ea typeface="+mn-ea"/>
                  <a:cs typeface="+mn-cs"/>
                </a:defRPr>
              </a:lvl7pPr>
              <a:lvl8pPr marL="3200400" algn="l" defTabSz="914400" rtl="0" eaLnBrk="1" latinLnBrk="0" hangingPunct="1">
                <a:defRPr sz="1100">
                  <a:latin typeface="+mn-lt"/>
                  <a:ea typeface="+mn-ea"/>
                  <a:cs typeface="+mn-cs"/>
                </a:defRPr>
              </a:lvl8pPr>
              <a:lvl9pPr marL="3657600" algn="l" defTabSz="914400" rtl="0" eaLnBrk="1" latinLnBrk="0" hangingPunct="1">
                <a:defRPr sz="1100">
                  <a:latin typeface="+mn-lt"/>
                  <a:ea typeface="+mn-ea"/>
                  <a:cs typeface="+mn-cs"/>
                </a:defRPr>
              </a:lvl9pPr>
            </a:lstStyle>
            <a:p>
              <a:pPr algn="l" rtl="0"/>
              <a:r>
                <a:rPr lang="zh-CN" altLang="en-US" sz="900">
                  <a:solidFill>
                    <a:srgbClr val="000000"/>
                  </a:solidFill>
                  <a:latin typeface="宋体" panose="02010600030101010101" pitchFamily="7" charset="-122"/>
                  <a:ea typeface="宋体" panose="02010600030101010101" pitchFamily="7" charset="-122"/>
                  <a:cs typeface="宋体" panose="02010600030101010101" pitchFamily="7" charset="-122"/>
                  <a:sym typeface="宋体" panose="02010600030101010101" pitchFamily="7" charset="-122"/>
                </a:rPr>
                <a:t>无线遥测动态应变测试分析系统</a:t>
              </a:r>
              <a:endParaRPr lang="zh-CN" altLang="en-US" sz="900">
                <a:solidFill>
                  <a:srgbClr val="000000"/>
                </a:solidFill>
                <a:latin typeface="宋体" panose="02010600030101010101" pitchFamily="7" charset="-122"/>
                <a:ea typeface="宋体" panose="02010600030101010101" pitchFamily="7" charset="-122"/>
                <a:cs typeface="宋体" panose="02010600030101010101" pitchFamily="7" charset="-122"/>
                <a:sym typeface="宋体" panose="02010600030101010101" pitchFamily="7" charset="-122"/>
              </a:endParaRPr>
            </a:p>
            <a:p>
              <a:pPr algn="l" rtl="0"/>
              <a:endParaRPr lang="zh-CN" altLang="en-US" sz="900">
                <a:solidFill>
                  <a:srgbClr val="000000"/>
                </a:solidFill>
                <a:latin typeface="宋体" panose="02010600030101010101" pitchFamily="7" charset="-122"/>
                <a:ea typeface="宋体" panose="02010600030101010101" pitchFamily="7" charset="-122"/>
                <a:cs typeface="宋体" panose="02010600030101010101" pitchFamily="7" charset="-122"/>
                <a:sym typeface="宋体" panose="02010600030101010101" pitchFamily="7" charset="-122"/>
              </a:endParaRPr>
            </a:p>
            <a:p>
              <a:pPr algn="l" rtl="0"/>
              <a:endParaRPr lang="zh-CN" altLang="en-US" sz="900">
                <a:solidFill>
                  <a:srgbClr val="000000"/>
                </a:solidFill>
                <a:latin typeface="宋体" panose="02010600030101010101" pitchFamily="7" charset="-122"/>
                <a:ea typeface="宋体" panose="02010600030101010101" pitchFamily="7" charset="-122"/>
                <a:cs typeface="宋体" panose="02010600030101010101" pitchFamily="7" charset="-122"/>
                <a:sym typeface="宋体" panose="02010600030101010101" pitchFamily="7" charset="-122"/>
              </a:endParaRP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165100</xdr:colOff>
          <xdr:row>19</xdr:row>
          <xdr:rowOff>57150</xdr:rowOff>
        </xdr:from>
        <xdr:to>
          <xdr:col>5</xdr:col>
          <xdr:colOff>640715</xdr:colOff>
          <xdr:row>20</xdr:row>
          <xdr:rowOff>99695</xdr:rowOff>
        </xdr:to>
        <xdr:sp>
          <xdr:nvSpPr>
            <xdr:cNvPr id="23558" name="Check Box 10" hidden="1">
              <a:extLst>
                <a:ext uri="{63B3BB69-23CF-44E3-9099-C40C66FF867C}">
                  <a14:compatExt spid="_x0000_s23558"/>
                </a:ext>
              </a:extLst>
            </xdr:cNvPr>
            <xdr:cNvSpPr/>
          </xdr:nvSpPr>
          <xdr:spPr>
            <a:xfrm>
              <a:off x="1936750" y="3495675"/>
              <a:ext cx="2533015" cy="223520"/>
            </a:xfrm>
            <a:prstGeom prst="rect">
              <a:avLst/>
            </a:prstGeom>
          </xdr:spPr>
          <xdr:txBody>
            <a:bodyPr wrap="square" anchor="ctr" upright="1">
              <a:noAutofit/>
            </a:bodyPr>
            <a:p>
              <a:pPr algn="l" rtl="0"/>
              <a:r>
                <a:rPr lang="zh-CN" altLang="en-US" sz="900">
                  <a:solidFill>
                    <a:srgbClr val="000000"/>
                  </a:solidFill>
                  <a:latin typeface="宋体" panose="02010600030101010101" pitchFamily="7" charset="-122"/>
                  <a:ea typeface="宋体" panose="02010600030101010101" pitchFamily="7" charset="-122"/>
                  <a:cs typeface="宋体" panose="02010600030101010101" pitchFamily="7" charset="-122"/>
                  <a:sym typeface="宋体" panose="02010600030101010101" pitchFamily="7" charset="-122"/>
                </a:rPr>
                <a:t>无线遥测振动(索力)测试分析系统</a:t>
              </a:r>
              <a:endParaRPr lang="zh-CN" altLang="en-US" sz="900">
                <a:solidFill>
                  <a:srgbClr val="000000"/>
                </a:solidFill>
                <a:latin typeface="宋体" panose="02010600030101010101" pitchFamily="7" charset="-122"/>
                <a:ea typeface="宋体" panose="02010600030101010101" pitchFamily="7" charset="-122"/>
                <a:cs typeface="宋体" panose="02010600030101010101" pitchFamily="7" charset="-122"/>
                <a:sym typeface="宋体" panose="02010600030101010101" pitchFamily="7" charset="-122"/>
              </a:endParaRP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164465</xdr:colOff>
          <xdr:row>17</xdr:row>
          <xdr:rowOff>67310</xdr:rowOff>
        </xdr:from>
        <xdr:to>
          <xdr:col>4</xdr:col>
          <xdr:colOff>147320</xdr:colOff>
          <xdr:row>18</xdr:row>
          <xdr:rowOff>119380</xdr:rowOff>
        </xdr:to>
        <xdr:sp>
          <xdr:nvSpPr>
            <xdr:cNvPr id="24102" name="Check Box 9" hidden="1">
              <a:extLst>
                <a:ext uri="{63B3BB69-23CF-44E3-9099-C40C66FF867C}">
                  <a14:compatExt spid="_x0000_s24102"/>
                </a:ext>
              </a:extLst>
            </xdr:cNvPr>
            <xdr:cNvSpPr/>
          </xdr:nvSpPr>
          <xdr:spPr>
            <a:xfrm>
              <a:off x="1936115" y="3143885"/>
              <a:ext cx="1354455" cy="233045"/>
            </a:xfrm>
            <a:prstGeom prst="rect">
              <a:avLst/>
            </a:prstGeom>
          </xdr:spPr>
          <xdr:txBody>
            <a:bodyPr wrap="square" anchor="ctr" upright="1"/>
            <a:lstStyle>
              <a:defPPr>
                <a:defRPr lang="zh-CN"/>
              </a:defPPr>
              <a:lvl1pPr marL="0" algn="l" defTabSz="914400" rtl="0" eaLnBrk="1" latinLnBrk="0" hangingPunct="1">
                <a:defRPr sz="1100">
                  <a:latin typeface="+mn-lt"/>
                  <a:ea typeface="+mn-ea"/>
                  <a:cs typeface="+mn-cs"/>
                </a:defRPr>
              </a:lvl1pPr>
              <a:lvl2pPr marL="457200" algn="l" defTabSz="914400" rtl="0" eaLnBrk="1" latinLnBrk="0" hangingPunct="1">
                <a:defRPr sz="1100">
                  <a:latin typeface="+mn-lt"/>
                  <a:ea typeface="+mn-ea"/>
                  <a:cs typeface="+mn-cs"/>
                </a:defRPr>
              </a:lvl2pPr>
              <a:lvl3pPr marL="914400" algn="l" defTabSz="914400" rtl="0" eaLnBrk="1" latinLnBrk="0" hangingPunct="1">
                <a:defRPr sz="1100">
                  <a:latin typeface="+mn-lt"/>
                  <a:ea typeface="+mn-ea"/>
                  <a:cs typeface="+mn-cs"/>
                </a:defRPr>
              </a:lvl3pPr>
              <a:lvl4pPr marL="1371600" algn="l" defTabSz="914400" rtl="0" eaLnBrk="1" latinLnBrk="0" hangingPunct="1">
                <a:defRPr sz="1100">
                  <a:latin typeface="+mn-lt"/>
                  <a:ea typeface="+mn-ea"/>
                  <a:cs typeface="+mn-cs"/>
                </a:defRPr>
              </a:lvl4pPr>
              <a:lvl5pPr marL="1828800" algn="l" defTabSz="914400" rtl="0" eaLnBrk="1" latinLnBrk="0" hangingPunct="1">
                <a:defRPr sz="1100">
                  <a:latin typeface="+mn-lt"/>
                  <a:ea typeface="+mn-ea"/>
                  <a:cs typeface="+mn-cs"/>
                </a:defRPr>
              </a:lvl5pPr>
              <a:lvl6pPr marL="2286000" algn="l" defTabSz="914400" rtl="0" eaLnBrk="1" latinLnBrk="0" hangingPunct="1">
                <a:defRPr sz="1100">
                  <a:latin typeface="+mn-lt"/>
                  <a:ea typeface="+mn-ea"/>
                  <a:cs typeface="+mn-cs"/>
                </a:defRPr>
              </a:lvl6pPr>
              <a:lvl7pPr marL="2743200" algn="l" defTabSz="914400" rtl="0" eaLnBrk="1" latinLnBrk="0" hangingPunct="1">
                <a:defRPr sz="1100">
                  <a:latin typeface="+mn-lt"/>
                  <a:ea typeface="+mn-ea"/>
                  <a:cs typeface="+mn-cs"/>
                </a:defRPr>
              </a:lvl7pPr>
              <a:lvl8pPr marL="3200400" algn="l" defTabSz="914400" rtl="0" eaLnBrk="1" latinLnBrk="0" hangingPunct="1">
                <a:defRPr sz="1100">
                  <a:latin typeface="+mn-lt"/>
                  <a:ea typeface="+mn-ea"/>
                  <a:cs typeface="+mn-cs"/>
                </a:defRPr>
              </a:lvl8pPr>
              <a:lvl9pPr marL="3657600" algn="l" defTabSz="914400" rtl="0" eaLnBrk="1" latinLnBrk="0" hangingPunct="1">
                <a:defRPr sz="1100">
                  <a:latin typeface="+mn-lt"/>
                  <a:ea typeface="+mn-ea"/>
                  <a:cs typeface="+mn-cs"/>
                </a:defRPr>
              </a:lvl9pPr>
            </a:lstStyle>
            <a:p>
              <a:pPr algn="l" rtl="0"/>
              <a:r>
                <a:rPr lang="zh-CN" altLang="en-US" sz="900">
                  <a:solidFill>
                    <a:srgbClr val="000000"/>
                  </a:solidFill>
                  <a:latin typeface="宋体" panose="02010600030101010101" pitchFamily="7" charset="-122"/>
                  <a:ea typeface="宋体" panose="02010600030101010101" pitchFamily="7" charset="-122"/>
                  <a:cs typeface="宋体" panose="02010600030101010101" pitchFamily="7" charset="-122"/>
                  <a:sym typeface="宋体" panose="02010600030101010101" pitchFamily="7" charset="-122"/>
                </a:rPr>
                <a:t>桥梁实验模态测试系统</a:t>
              </a:r>
              <a:endParaRPr lang="zh-CN" altLang="en-US" sz="900">
                <a:solidFill>
                  <a:srgbClr val="000000"/>
                </a:solidFill>
                <a:latin typeface="宋体" panose="02010600030101010101" pitchFamily="7" charset="-122"/>
                <a:ea typeface="宋体" panose="02010600030101010101" pitchFamily="7" charset="-122"/>
                <a:cs typeface="宋体" panose="02010600030101010101" pitchFamily="7" charset="-122"/>
                <a:sym typeface="宋体" panose="02010600030101010101" pitchFamily="7" charset="-122"/>
              </a:endParaRPr>
            </a:p>
            <a:p>
              <a:pPr algn="l" rtl="0"/>
              <a:r>
                <a:rPr lang="zh-CN" altLang="en-US" sz="900">
                  <a:solidFill>
                    <a:srgbClr val="000000"/>
                  </a:solidFill>
                  <a:latin typeface="宋体" panose="02010600030101010101" pitchFamily="7" charset="-122"/>
                  <a:ea typeface="宋体" panose="02010600030101010101" pitchFamily="7" charset="-122"/>
                  <a:cs typeface="宋体" panose="02010600030101010101" pitchFamily="7" charset="-122"/>
                  <a:sym typeface="宋体" panose="02010600030101010101" pitchFamily="7" charset="-122"/>
                </a:rPr>
                <a:t>桥梁实验模态测试系统</a:t>
              </a:r>
              <a:endParaRPr lang="zh-CN" altLang="en-US" sz="900">
                <a:solidFill>
                  <a:srgbClr val="000000"/>
                </a:solidFill>
                <a:latin typeface="宋体" panose="02010600030101010101" pitchFamily="7" charset="-122"/>
                <a:ea typeface="宋体" panose="02010600030101010101" pitchFamily="7" charset="-122"/>
                <a:cs typeface="宋体" panose="02010600030101010101" pitchFamily="7" charset="-122"/>
                <a:sym typeface="宋体" panose="02010600030101010101" pitchFamily="7" charset="-122"/>
              </a:endParaRPr>
            </a:p>
            <a:p>
              <a:pPr algn="l" rtl="0"/>
              <a:endParaRPr lang="zh-CN" altLang="en-US" sz="900">
                <a:solidFill>
                  <a:srgbClr val="000000"/>
                </a:solidFill>
                <a:latin typeface="宋体" panose="02010600030101010101" pitchFamily="7" charset="-122"/>
                <a:ea typeface="宋体" panose="02010600030101010101" pitchFamily="7" charset="-122"/>
                <a:cs typeface="宋体" panose="02010600030101010101" pitchFamily="7" charset="-122"/>
                <a:sym typeface="宋体" panose="02010600030101010101" pitchFamily="7" charset="-122"/>
              </a:endParaRPr>
            </a:p>
            <a:p>
              <a:pPr algn="l" rtl="0"/>
              <a:endParaRPr lang="zh-CN" altLang="en-US" sz="900">
                <a:solidFill>
                  <a:srgbClr val="000000"/>
                </a:solidFill>
                <a:latin typeface="宋体" panose="02010600030101010101" pitchFamily="7" charset="-122"/>
                <a:ea typeface="宋体" panose="02010600030101010101" pitchFamily="7" charset="-122"/>
                <a:cs typeface="宋体" panose="02010600030101010101" pitchFamily="7" charset="-122"/>
                <a:sym typeface="宋体" panose="02010600030101010101" pitchFamily="7" charset="-122"/>
              </a:endParaRP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164465</xdr:colOff>
          <xdr:row>15</xdr:row>
          <xdr:rowOff>67310</xdr:rowOff>
        </xdr:from>
        <xdr:to>
          <xdr:col>5</xdr:col>
          <xdr:colOff>106045</xdr:colOff>
          <xdr:row>16</xdr:row>
          <xdr:rowOff>119380</xdr:rowOff>
        </xdr:to>
        <xdr:sp>
          <xdr:nvSpPr>
            <xdr:cNvPr id="24105" name="Check Box 8" hidden="1">
              <a:extLst>
                <a:ext uri="{63B3BB69-23CF-44E3-9099-C40C66FF867C}">
                  <a14:compatExt spid="_x0000_s24105"/>
                </a:ext>
              </a:extLst>
            </xdr:cNvPr>
            <xdr:cNvSpPr/>
          </xdr:nvSpPr>
          <xdr:spPr>
            <a:xfrm>
              <a:off x="1936115" y="2781935"/>
              <a:ext cx="1998980" cy="233045"/>
            </a:xfrm>
            <a:prstGeom prst="rect">
              <a:avLst/>
            </a:prstGeom>
          </xdr:spPr>
          <xdr:txBody>
            <a:bodyPr wrap="square" anchor="ctr" upright="1"/>
            <a:lstStyle>
              <a:defPPr>
                <a:defRPr lang="zh-CN"/>
              </a:defPPr>
              <a:lvl1pPr marL="0" algn="l" defTabSz="914400" rtl="0" eaLnBrk="1" latinLnBrk="0" hangingPunct="1">
                <a:defRPr sz="1100">
                  <a:latin typeface="+mn-lt"/>
                  <a:ea typeface="+mn-ea"/>
                  <a:cs typeface="+mn-cs"/>
                </a:defRPr>
              </a:lvl1pPr>
              <a:lvl2pPr marL="457200" algn="l" defTabSz="914400" rtl="0" eaLnBrk="1" latinLnBrk="0" hangingPunct="1">
                <a:defRPr sz="1100">
                  <a:latin typeface="+mn-lt"/>
                  <a:ea typeface="+mn-ea"/>
                  <a:cs typeface="+mn-cs"/>
                </a:defRPr>
              </a:lvl2pPr>
              <a:lvl3pPr marL="914400" algn="l" defTabSz="914400" rtl="0" eaLnBrk="1" latinLnBrk="0" hangingPunct="1">
                <a:defRPr sz="1100">
                  <a:latin typeface="+mn-lt"/>
                  <a:ea typeface="+mn-ea"/>
                  <a:cs typeface="+mn-cs"/>
                </a:defRPr>
              </a:lvl3pPr>
              <a:lvl4pPr marL="1371600" algn="l" defTabSz="914400" rtl="0" eaLnBrk="1" latinLnBrk="0" hangingPunct="1">
                <a:defRPr sz="1100">
                  <a:latin typeface="+mn-lt"/>
                  <a:ea typeface="+mn-ea"/>
                  <a:cs typeface="+mn-cs"/>
                </a:defRPr>
              </a:lvl4pPr>
              <a:lvl5pPr marL="1828800" algn="l" defTabSz="914400" rtl="0" eaLnBrk="1" latinLnBrk="0" hangingPunct="1">
                <a:defRPr sz="1100">
                  <a:latin typeface="+mn-lt"/>
                  <a:ea typeface="+mn-ea"/>
                  <a:cs typeface="+mn-cs"/>
                </a:defRPr>
              </a:lvl5pPr>
              <a:lvl6pPr marL="2286000" algn="l" defTabSz="914400" rtl="0" eaLnBrk="1" latinLnBrk="0" hangingPunct="1">
                <a:defRPr sz="1100">
                  <a:latin typeface="+mn-lt"/>
                  <a:ea typeface="+mn-ea"/>
                  <a:cs typeface="+mn-cs"/>
                </a:defRPr>
              </a:lvl6pPr>
              <a:lvl7pPr marL="2743200" algn="l" defTabSz="914400" rtl="0" eaLnBrk="1" latinLnBrk="0" hangingPunct="1">
                <a:defRPr sz="1100">
                  <a:latin typeface="+mn-lt"/>
                  <a:ea typeface="+mn-ea"/>
                  <a:cs typeface="+mn-cs"/>
                </a:defRPr>
              </a:lvl7pPr>
              <a:lvl8pPr marL="3200400" algn="l" defTabSz="914400" rtl="0" eaLnBrk="1" latinLnBrk="0" hangingPunct="1">
                <a:defRPr sz="1100">
                  <a:latin typeface="+mn-lt"/>
                  <a:ea typeface="+mn-ea"/>
                  <a:cs typeface="+mn-cs"/>
                </a:defRPr>
              </a:lvl8pPr>
              <a:lvl9pPr marL="3657600" algn="l" defTabSz="914400" rtl="0" eaLnBrk="1" latinLnBrk="0" hangingPunct="1">
                <a:defRPr sz="1100">
                  <a:latin typeface="+mn-lt"/>
                  <a:ea typeface="+mn-ea"/>
                  <a:cs typeface="+mn-cs"/>
                </a:defRPr>
              </a:lvl9pPr>
            </a:lstStyle>
            <a:p>
              <a:pPr algn="l" rtl="0"/>
              <a:r>
                <a:rPr lang="zh-CN" altLang="en-US" sz="900">
                  <a:solidFill>
                    <a:srgbClr val="000000"/>
                  </a:solidFill>
                  <a:latin typeface="宋体" panose="02010600030101010101" pitchFamily="7" charset="-122"/>
                  <a:ea typeface="宋体" panose="02010600030101010101" pitchFamily="7" charset="-122"/>
                  <a:cs typeface="宋体" panose="02010600030101010101" pitchFamily="7" charset="-122"/>
                  <a:sym typeface="宋体" panose="02010600030101010101" pitchFamily="7" charset="-122"/>
                </a:rPr>
                <a:t>无线遥测静态应变测试分析系统</a:t>
              </a:r>
              <a:endParaRPr lang="zh-CN" altLang="en-US" sz="900">
                <a:solidFill>
                  <a:srgbClr val="000000"/>
                </a:solidFill>
                <a:latin typeface="宋体" panose="02010600030101010101" pitchFamily="7" charset="-122"/>
                <a:ea typeface="宋体" panose="02010600030101010101" pitchFamily="7" charset="-122"/>
                <a:cs typeface="宋体" panose="02010600030101010101" pitchFamily="7" charset="-122"/>
                <a:sym typeface="宋体" panose="02010600030101010101" pitchFamily="7" charset="-122"/>
              </a:endParaRPr>
            </a:p>
            <a:p>
              <a:pPr algn="l" rtl="0"/>
              <a:endParaRPr lang="zh-CN" altLang="en-US" sz="900">
                <a:solidFill>
                  <a:srgbClr val="000000"/>
                </a:solidFill>
                <a:latin typeface="宋体" panose="02010600030101010101" pitchFamily="7" charset="-122"/>
                <a:ea typeface="宋体" panose="02010600030101010101" pitchFamily="7" charset="-122"/>
                <a:cs typeface="宋体" panose="02010600030101010101" pitchFamily="7" charset="-122"/>
                <a:sym typeface="宋体" panose="02010600030101010101" pitchFamily="7" charset="-122"/>
              </a:endParaRPr>
            </a:p>
            <a:p>
              <a:pPr algn="l" rtl="0"/>
              <a:endParaRPr lang="zh-CN" altLang="en-US" sz="900">
                <a:solidFill>
                  <a:srgbClr val="000000"/>
                </a:solidFill>
                <a:latin typeface="宋体" panose="02010600030101010101" pitchFamily="7" charset="-122"/>
                <a:ea typeface="宋体" panose="02010600030101010101" pitchFamily="7" charset="-122"/>
                <a:cs typeface="宋体" panose="02010600030101010101" pitchFamily="7" charset="-122"/>
                <a:sym typeface="宋体" panose="02010600030101010101" pitchFamily="7" charset="-122"/>
              </a:endParaRP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151765</xdr:colOff>
          <xdr:row>13</xdr:row>
          <xdr:rowOff>54610</xdr:rowOff>
        </xdr:from>
        <xdr:to>
          <xdr:col>3</xdr:col>
          <xdr:colOff>504825</xdr:colOff>
          <xdr:row>14</xdr:row>
          <xdr:rowOff>106680</xdr:rowOff>
        </xdr:to>
        <xdr:sp>
          <xdr:nvSpPr>
            <xdr:cNvPr id="24101" name="Check Box 7" hidden="1">
              <a:extLst>
                <a:ext uri="{63B3BB69-23CF-44E3-9099-C40C66FF867C}">
                  <a14:compatExt spid="_x0000_s24101"/>
                </a:ext>
              </a:extLst>
            </xdr:cNvPr>
            <xdr:cNvSpPr/>
          </xdr:nvSpPr>
          <xdr:spPr>
            <a:xfrm>
              <a:off x="1923415" y="2407285"/>
              <a:ext cx="1038860" cy="233045"/>
            </a:xfrm>
            <a:prstGeom prst="rect">
              <a:avLst/>
            </a:prstGeom>
          </xdr:spPr>
          <xdr:txBody>
            <a:bodyPr wrap="square" anchor="ctr" upright="1"/>
            <a:lstStyle>
              <a:defPPr>
                <a:defRPr lang="zh-CN"/>
              </a:defPPr>
              <a:lvl1pPr marL="0" algn="l" defTabSz="914400" rtl="0" eaLnBrk="1" latinLnBrk="0" hangingPunct="1">
                <a:defRPr sz="1100">
                  <a:latin typeface="+mn-lt"/>
                  <a:ea typeface="+mn-ea"/>
                  <a:cs typeface="+mn-cs"/>
                </a:defRPr>
              </a:lvl1pPr>
              <a:lvl2pPr marL="457200" algn="l" defTabSz="914400" rtl="0" eaLnBrk="1" latinLnBrk="0" hangingPunct="1">
                <a:defRPr sz="1100">
                  <a:latin typeface="+mn-lt"/>
                  <a:ea typeface="+mn-ea"/>
                  <a:cs typeface="+mn-cs"/>
                </a:defRPr>
              </a:lvl2pPr>
              <a:lvl3pPr marL="914400" algn="l" defTabSz="914400" rtl="0" eaLnBrk="1" latinLnBrk="0" hangingPunct="1">
                <a:defRPr sz="1100">
                  <a:latin typeface="+mn-lt"/>
                  <a:ea typeface="+mn-ea"/>
                  <a:cs typeface="+mn-cs"/>
                </a:defRPr>
              </a:lvl3pPr>
              <a:lvl4pPr marL="1371600" algn="l" defTabSz="914400" rtl="0" eaLnBrk="1" latinLnBrk="0" hangingPunct="1">
                <a:defRPr sz="1100">
                  <a:latin typeface="+mn-lt"/>
                  <a:ea typeface="+mn-ea"/>
                  <a:cs typeface="+mn-cs"/>
                </a:defRPr>
              </a:lvl4pPr>
              <a:lvl5pPr marL="1828800" algn="l" defTabSz="914400" rtl="0" eaLnBrk="1" latinLnBrk="0" hangingPunct="1">
                <a:defRPr sz="1100">
                  <a:latin typeface="+mn-lt"/>
                  <a:ea typeface="+mn-ea"/>
                  <a:cs typeface="+mn-cs"/>
                </a:defRPr>
              </a:lvl5pPr>
              <a:lvl6pPr marL="2286000" algn="l" defTabSz="914400" rtl="0" eaLnBrk="1" latinLnBrk="0" hangingPunct="1">
                <a:defRPr sz="1100">
                  <a:latin typeface="+mn-lt"/>
                  <a:ea typeface="+mn-ea"/>
                  <a:cs typeface="+mn-cs"/>
                </a:defRPr>
              </a:lvl6pPr>
              <a:lvl7pPr marL="2743200" algn="l" defTabSz="914400" rtl="0" eaLnBrk="1" latinLnBrk="0" hangingPunct="1">
                <a:defRPr sz="1100">
                  <a:latin typeface="+mn-lt"/>
                  <a:ea typeface="+mn-ea"/>
                  <a:cs typeface="+mn-cs"/>
                </a:defRPr>
              </a:lvl7pPr>
              <a:lvl8pPr marL="3200400" algn="l" defTabSz="914400" rtl="0" eaLnBrk="1" latinLnBrk="0" hangingPunct="1">
                <a:defRPr sz="1100">
                  <a:latin typeface="+mn-lt"/>
                  <a:ea typeface="+mn-ea"/>
                  <a:cs typeface="+mn-cs"/>
                </a:defRPr>
              </a:lvl8pPr>
              <a:lvl9pPr marL="3657600" algn="l" defTabSz="914400" rtl="0" eaLnBrk="1" latinLnBrk="0" hangingPunct="1">
                <a:defRPr sz="1100">
                  <a:latin typeface="+mn-lt"/>
                  <a:ea typeface="+mn-ea"/>
                  <a:cs typeface="+mn-cs"/>
                </a:defRPr>
              </a:lvl9pPr>
            </a:lstStyle>
            <a:p>
              <a:pPr algn="l" rtl="0"/>
              <a:r>
                <a:rPr lang="zh-CN" altLang="en-US" sz="900">
                  <a:solidFill>
                    <a:srgbClr val="000000"/>
                  </a:solidFill>
                  <a:latin typeface="宋体" panose="02010600030101010101" pitchFamily="7" charset="-122"/>
                  <a:ea typeface="宋体" panose="02010600030101010101" pitchFamily="7" charset="-122"/>
                  <a:cs typeface="宋体" panose="02010600030101010101" pitchFamily="7" charset="-122"/>
                  <a:sym typeface="宋体" panose="02010600030101010101" pitchFamily="7" charset="-122"/>
                </a:rPr>
                <a:t>振弦式读数仪</a:t>
              </a:r>
              <a:endParaRPr lang="zh-CN" altLang="en-US" sz="900">
                <a:solidFill>
                  <a:srgbClr val="000000"/>
                </a:solidFill>
                <a:latin typeface="宋体" panose="02010600030101010101" pitchFamily="7" charset="-122"/>
                <a:ea typeface="宋体" panose="02010600030101010101" pitchFamily="7" charset="-122"/>
                <a:cs typeface="宋体" panose="02010600030101010101" pitchFamily="7" charset="-122"/>
                <a:sym typeface="宋体" panose="02010600030101010101" pitchFamily="7" charset="-122"/>
              </a:endParaRPr>
            </a:p>
            <a:p>
              <a:pPr algn="l" rtl="0"/>
              <a:endParaRPr lang="zh-CN" altLang="en-US" sz="900">
                <a:solidFill>
                  <a:srgbClr val="000000"/>
                </a:solidFill>
                <a:latin typeface="宋体" panose="02010600030101010101" pitchFamily="7" charset="-122"/>
                <a:ea typeface="宋体" panose="02010600030101010101" pitchFamily="7" charset="-122"/>
                <a:cs typeface="宋体" panose="02010600030101010101" pitchFamily="7" charset="-122"/>
                <a:sym typeface="宋体" panose="02010600030101010101" pitchFamily="7" charset="-122"/>
              </a:endParaRP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151765</xdr:colOff>
          <xdr:row>11</xdr:row>
          <xdr:rowOff>67310</xdr:rowOff>
        </xdr:from>
        <xdr:to>
          <xdr:col>3</xdr:col>
          <xdr:colOff>504825</xdr:colOff>
          <xdr:row>12</xdr:row>
          <xdr:rowOff>119380</xdr:rowOff>
        </xdr:to>
        <xdr:sp>
          <xdr:nvSpPr>
            <xdr:cNvPr id="23560" name="Check Box 6" hidden="1">
              <a:extLst>
                <a:ext uri="{63B3BB69-23CF-44E3-9099-C40C66FF867C}">
                  <a14:compatExt spid="_x0000_s23560"/>
                </a:ext>
              </a:extLst>
            </xdr:cNvPr>
            <xdr:cNvSpPr/>
          </xdr:nvSpPr>
          <xdr:spPr>
            <a:xfrm>
              <a:off x="1923415" y="2058035"/>
              <a:ext cx="1038860" cy="233045"/>
            </a:xfrm>
            <a:prstGeom prst="rect">
              <a:avLst/>
            </a:prstGeom>
          </xdr:spPr>
          <xdr:txBody>
            <a:bodyPr wrap="square" anchor="ctr" upright="1"/>
            <a:p>
              <a:pPr algn="l" rtl="0"/>
              <a:r>
                <a:rPr lang="zh-CN" altLang="en-US" sz="900">
                  <a:solidFill>
                    <a:srgbClr val="000000"/>
                  </a:solidFill>
                  <a:latin typeface="宋体" panose="02010600030101010101" pitchFamily="7" charset="-122"/>
                  <a:ea typeface="宋体" panose="02010600030101010101" pitchFamily="7" charset="-122"/>
                  <a:cs typeface="宋体" panose="02010600030101010101" pitchFamily="7" charset="-122"/>
                  <a:sym typeface="宋体" panose="02010600030101010101" pitchFamily="7" charset="-122"/>
                </a:rPr>
                <a:t>百分表(0～30)mm</a:t>
              </a:r>
              <a:endParaRPr lang="zh-CN" altLang="en-US" sz="900">
                <a:solidFill>
                  <a:srgbClr val="000000"/>
                </a:solidFill>
                <a:latin typeface="宋体" panose="02010600030101010101" pitchFamily="7" charset="-122"/>
                <a:ea typeface="宋体" panose="02010600030101010101" pitchFamily="7" charset="-122"/>
                <a:cs typeface="宋体" panose="02010600030101010101" pitchFamily="7" charset="-122"/>
                <a:sym typeface="宋体" panose="02010600030101010101" pitchFamily="7" charset="-122"/>
              </a:endParaRP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161925</xdr:colOff>
          <xdr:row>9</xdr:row>
          <xdr:rowOff>79375</xdr:rowOff>
        </xdr:from>
        <xdr:to>
          <xdr:col>3</xdr:col>
          <xdr:colOff>552450</xdr:colOff>
          <xdr:row>10</xdr:row>
          <xdr:rowOff>121920</xdr:rowOff>
        </xdr:to>
        <xdr:sp>
          <xdr:nvSpPr>
            <xdr:cNvPr id="23559" name="Check Box 5" hidden="1">
              <a:extLst>
                <a:ext uri="{63B3BB69-23CF-44E3-9099-C40C66FF867C}">
                  <a14:compatExt spid="_x0000_s23559"/>
                </a:ext>
              </a:extLst>
            </xdr:cNvPr>
            <xdr:cNvSpPr/>
          </xdr:nvSpPr>
          <xdr:spPr>
            <a:xfrm>
              <a:off x="1933575" y="1708150"/>
              <a:ext cx="1076325" cy="223520"/>
            </a:xfrm>
            <a:prstGeom prst="rect">
              <a:avLst/>
            </a:prstGeom>
          </xdr:spPr>
          <xdr:txBody>
            <a:bodyPr wrap="square" anchor="ctr" upright="1">
              <a:noAutofit/>
            </a:bodyPr>
            <a:p>
              <a:pPr algn="l" rtl="0"/>
              <a:r>
                <a:rPr lang="zh-CN" altLang="en-US" sz="900">
                  <a:solidFill>
                    <a:srgbClr val="000000"/>
                  </a:solidFill>
                  <a:latin typeface="宋体" panose="02010600030101010101" pitchFamily="7" charset="-122"/>
                  <a:ea typeface="宋体" panose="02010600030101010101" pitchFamily="7" charset="-122"/>
                  <a:cs typeface="宋体" panose="02010600030101010101" pitchFamily="7" charset="-122"/>
                  <a:sym typeface="宋体" panose="02010600030101010101" pitchFamily="7" charset="-122"/>
                </a:rPr>
                <a:t>百分表(0～10)mm</a:t>
              </a:r>
              <a:endParaRPr lang="zh-CN" altLang="en-US" sz="900">
                <a:solidFill>
                  <a:srgbClr val="000000"/>
                </a:solidFill>
                <a:latin typeface="宋体" panose="02010600030101010101" pitchFamily="7" charset="-122"/>
                <a:ea typeface="宋体" panose="02010600030101010101" pitchFamily="7" charset="-122"/>
                <a:cs typeface="宋体" panose="02010600030101010101" pitchFamily="7" charset="-122"/>
                <a:sym typeface="宋体" panose="02010600030101010101" pitchFamily="7" charset="-122"/>
              </a:endParaRP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151765</xdr:colOff>
          <xdr:row>7</xdr:row>
          <xdr:rowOff>45085</xdr:rowOff>
        </xdr:from>
        <xdr:to>
          <xdr:col>3</xdr:col>
          <xdr:colOff>504825</xdr:colOff>
          <xdr:row>8</xdr:row>
          <xdr:rowOff>97155</xdr:rowOff>
        </xdr:to>
        <xdr:sp>
          <xdr:nvSpPr>
            <xdr:cNvPr id="24098" name="Check Box 4" hidden="1">
              <a:extLst>
                <a:ext uri="{63B3BB69-23CF-44E3-9099-C40C66FF867C}">
                  <a14:compatExt spid="_x0000_s24098"/>
                </a:ext>
              </a:extLst>
            </xdr:cNvPr>
            <xdr:cNvSpPr/>
          </xdr:nvSpPr>
          <xdr:spPr>
            <a:xfrm>
              <a:off x="1923415" y="1311910"/>
              <a:ext cx="1038860" cy="233045"/>
            </a:xfrm>
            <a:prstGeom prst="rect">
              <a:avLst/>
            </a:prstGeom>
          </xdr:spPr>
          <xdr:txBody>
            <a:bodyPr wrap="square" anchor="ctr" upright="1"/>
            <a:lstStyle>
              <a:defPPr>
                <a:defRPr lang="zh-CN"/>
              </a:defPPr>
              <a:lvl1pPr marL="0" algn="l" defTabSz="914400" rtl="0" eaLnBrk="1" latinLnBrk="0" hangingPunct="1">
                <a:defRPr sz="1100">
                  <a:latin typeface="+mn-lt"/>
                  <a:ea typeface="+mn-ea"/>
                  <a:cs typeface="+mn-cs"/>
                </a:defRPr>
              </a:lvl1pPr>
              <a:lvl2pPr marL="457200" algn="l" defTabSz="914400" rtl="0" eaLnBrk="1" latinLnBrk="0" hangingPunct="1">
                <a:defRPr sz="1100">
                  <a:latin typeface="+mn-lt"/>
                  <a:ea typeface="+mn-ea"/>
                  <a:cs typeface="+mn-cs"/>
                </a:defRPr>
              </a:lvl2pPr>
              <a:lvl3pPr marL="914400" algn="l" defTabSz="914400" rtl="0" eaLnBrk="1" latinLnBrk="0" hangingPunct="1">
                <a:defRPr sz="1100">
                  <a:latin typeface="+mn-lt"/>
                  <a:ea typeface="+mn-ea"/>
                  <a:cs typeface="+mn-cs"/>
                </a:defRPr>
              </a:lvl3pPr>
              <a:lvl4pPr marL="1371600" algn="l" defTabSz="914400" rtl="0" eaLnBrk="1" latinLnBrk="0" hangingPunct="1">
                <a:defRPr sz="1100">
                  <a:latin typeface="+mn-lt"/>
                  <a:ea typeface="+mn-ea"/>
                  <a:cs typeface="+mn-cs"/>
                </a:defRPr>
              </a:lvl4pPr>
              <a:lvl5pPr marL="1828800" algn="l" defTabSz="914400" rtl="0" eaLnBrk="1" latinLnBrk="0" hangingPunct="1">
                <a:defRPr sz="1100">
                  <a:latin typeface="+mn-lt"/>
                  <a:ea typeface="+mn-ea"/>
                  <a:cs typeface="+mn-cs"/>
                </a:defRPr>
              </a:lvl5pPr>
              <a:lvl6pPr marL="2286000" algn="l" defTabSz="914400" rtl="0" eaLnBrk="1" latinLnBrk="0" hangingPunct="1">
                <a:defRPr sz="1100">
                  <a:latin typeface="+mn-lt"/>
                  <a:ea typeface="+mn-ea"/>
                  <a:cs typeface="+mn-cs"/>
                </a:defRPr>
              </a:lvl6pPr>
              <a:lvl7pPr marL="2743200" algn="l" defTabSz="914400" rtl="0" eaLnBrk="1" latinLnBrk="0" hangingPunct="1">
                <a:defRPr sz="1100">
                  <a:latin typeface="+mn-lt"/>
                  <a:ea typeface="+mn-ea"/>
                  <a:cs typeface="+mn-cs"/>
                </a:defRPr>
              </a:lvl7pPr>
              <a:lvl8pPr marL="3200400" algn="l" defTabSz="914400" rtl="0" eaLnBrk="1" latinLnBrk="0" hangingPunct="1">
                <a:defRPr sz="1100">
                  <a:latin typeface="+mn-lt"/>
                  <a:ea typeface="+mn-ea"/>
                  <a:cs typeface="+mn-cs"/>
                </a:defRPr>
              </a:lvl8pPr>
              <a:lvl9pPr marL="3657600" algn="l" defTabSz="914400" rtl="0" eaLnBrk="1" latinLnBrk="0" hangingPunct="1">
                <a:defRPr sz="1100">
                  <a:latin typeface="+mn-lt"/>
                  <a:ea typeface="+mn-ea"/>
                  <a:cs typeface="+mn-cs"/>
                </a:defRPr>
              </a:lvl9pPr>
            </a:lstStyle>
            <a:p>
              <a:pPr algn="l" rtl="0"/>
              <a:r>
                <a:rPr lang="zh-CN" altLang="en-US" sz="900">
                  <a:solidFill>
                    <a:srgbClr val="000000"/>
                  </a:solidFill>
                  <a:latin typeface="宋体" panose="02010600030101010101" pitchFamily="7" charset="-122"/>
                  <a:ea typeface="宋体" panose="02010600030101010101" pitchFamily="7" charset="-122"/>
                  <a:cs typeface="宋体" panose="02010600030101010101" pitchFamily="7" charset="-122"/>
                  <a:sym typeface="宋体" panose="02010600030101010101" pitchFamily="7" charset="-122"/>
                </a:rPr>
                <a:t>水准仪</a:t>
              </a:r>
              <a:endParaRPr lang="zh-CN" altLang="en-US" sz="900">
                <a:solidFill>
                  <a:srgbClr val="000000"/>
                </a:solidFill>
                <a:latin typeface="宋体" panose="02010600030101010101" pitchFamily="7" charset="-122"/>
                <a:ea typeface="宋体" panose="02010600030101010101" pitchFamily="7" charset="-122"/>
                <a:cs typeface="宋体" panose="02010600030101010101" pitchFamily="7" charset="-122"/>
                <a:sym typeface="宋体" panose="02010600030101010101" pitchFamily="7" charset="-122"/>
              </a:endParaRP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142875</xdr:colOff>
          <xdr:row>5</xdr:row>
          <xdr:rowOff>63500</xdr:rowOff>
        </xdr:from>
        <xdr:to>
          <xdr:col>4</xdr:col>
          <xdr:colOff>552450</xdr:colOff>
          <xdr:row>6</xdr:row>
          <xdr:rowOff>106045</xdr:rowOff>
        </xdr:to>
        <xdr:sp>
          <xdr:nvSpPr>
            <xdr:cNvPr id="23562" name="Check Box 3" hidden="1">
              <a:extLst>
                <a:ext uri="{63B3BB69-23CF-44E3-9099-C40C66FF867C}">
                  <a14:compatExt spid="_x0000_s23562"/>
                </a:ext>
              </a:extLst>
            </xdr:cNvPr>
            <xdr:cNvSpPr/>
          </xdr:nvSpPr>
          <xdr:spPr>
            <a:xfrm>
              <a:off x="1914525" y="968375"/>
              <a:ext cx="1781175" cy="223520"/>
            </a:xfrm>
            <a:prstGeom prst="rect">
              <a:avLst/>
            </a:prstGeom>
          </xdr:spPr>
          <xdr:txBody>
            <a:bodyPr wrap="square" anchor="ctr" upright="1"/>
            <a:lstStyle>
              <a:defPPr>
                <a:defRPr lang="zh-CN"/>
              </a:defPPr>
              <a:lvl1pPr marL="0" algn="l" defTabSz="914400" rtl="0" eaLnBrk="1" latinLnBrk="0" hangingPunct="1">
                <a:defRPr sz="1100">
                  <a:latin typeface="+mn-lt"/>
                  <a:ea typeface="+mn-ea"/>
                  <a:cs typeface="+mn-cs"/>
                </a:defRPr>
              </a:lvl1pPr>
              <a:lvl2pPr marL="457200" algn="l" defTabSz="914400" rtl="0" eaLnBrk="1" latinLnBrk="0" hangingPunct="1">
                <a:defRPr sz="1100">
                  <a:latin typeface="+mn-lt"/>
                  <a:ea typeface="+mn-ea"/>
                  <a:cs typeface="+mn-cs"/>
                </a:defRPr>
              </a:lvl2pPr>
              <a:lvl3pPr marL="914400" algn="l" defTabSz="914400" rtl="0" eaLnBrk="1" latinLnBrk="0" hangingPunct="1">
                <a:defRPr sz="1100">
                  <a:latin typeface="+mn-lt"/>
                  <a:ea typeface="+mn-ea"/>
                  <a:cs typeface="+mn-cs"/>
                </a:defRPr>
              </a:lvl3pPr>
              <a:lvl4pPr marL="1371600" algn="l" defTabSz="914400" rtl="0" eaLnBrk="1" latinLnBrk="0" hangingPunct="1">
                <a:defRPr sz="1100">
                  <a:latin typeface="+mn-lt"/>
                  <a:ea typeface="+mn-ea"/>
                  <a:cs typeface="+mn-cs"/>
                </a:defRPr>
              </a:lvl4pPr>
              <a:lvl5pPr marL="1828800" algn="l" defTabSz="914400" rtl="0" eaLnBrk="1" latinLnBrk="0" hangingPunct="1">
                <a:defRPr sz="1100">
                  <a:latin typeface="+mn-lt"/>
                  <a:ea typeface="+mn-ea"/>
                  <a:cs typeface="+mn-cs"/>
                </a:defRPr>
              </a:lvl5pPr>
              <a:lvl6pPr marL="2286000" algn="l" defTabSz="914400" rtl="0" eaLnBrk="1" latinLnBrk="0" hangingPunct="1">
                <a:defRPr sz="1100">
                  <a:latin typeface="+mn-lt"/>
                  <a:ea typeface="+mn-ea"/>
                  <a:cs typeface="+mn-cs"/>
                </a:defRPr>
              </a:lvl6pPr>
              <a:lvl7pPr marL="2743200" algn="l" defTabSz="914400" rtl="0" eaLnBrk="1" latinLnBrk="0" hangingPunct="1">
                <a:defRPr sz="1100">
                  <a:latin typeface="+mn-lt"/>
                  <a:ea typeface="+mn-ea"/>
                  <a:cs typeface="+mn-cs"/>
                </a:defRPr>
              </a:lvl7pPr>
              <a:lvl8pPr marL="3200400" algn="l" defTabSz="914400" rtl="0" eaLnBrk="1" latinLnBrk="0" hangingPunct="1">
                <a:defRPr sz="1100">
                  <a:latin typeface="+mn-lt"/>
                  <a:ea typeface="+mn-ea"/>
                  <a:cs typeface="+mn-cs"/>
                </a:defRPr>
              </a:lvl8pPr>
              <a:lvl9pPr marL="3657600" algn="l" defTabSz="914400" rtl="0" eaLnBrk="1" latinLnBrk="0" hangingPunct="1">
                <a:defRPr sz="1100">
                  <a:latin typeface="+mn-lt"/>
                  <a:ea typeface="+mn-ea"/>
                  <a:cs typeface="+mn-cs"/>
                </a:defRPr>
              </a:lvl9pPr>
            </a:lstStyle>
            <a:p>
              <a:pPr algn="l" rtl="0"/>
              <a:r>
                <a:rPr lang="zh-CN" altLang="en-US" sz="900">
                  <a:solidFill>
                    <a:srgbClr val="000000"/>
                  </a:solidFill>
                  <a:latin typeface="宋体" panose="02010600030101010101" pitchFamily="7" charset="-122"/>
                  <a:ea typeface="宋体" panose="02010600030101010101" pitchFamily="7" charset="-122"/>
                  <a:cs typeface="宋体" panose="02010600030101010101" pitchFamily="7" charset="-122"/>
                  <a:sym typeface="宋体" panose="02010600030101010101" pitchFamily="7" charset="-122"/>
                </a:rPr>
                <a:t>钢卷尺(0～30)m</a:t>
              </a:r>
              <a:endParaRPr lang="zh-CN" altLang="en-US" sz="900">
                <a:solidFill>
                  <a:srgbClr val="000000"/>
                </a:solidFill>
                <a:latin typeface="宋体" panose="02010600030101010101" pitchFamily="7" charset="-122"/>
                <a:ea typeface="宋体" panose="02010600030101010101" pitchFamily="7" charset="-122"/>
                <a:cs typeface="宋体" panose="02010600030101010101" pitchFamily="7" charset="-122"/>
                <a:sym typeface="宋体" panose="02010600030101010101" pitchFamily="7" charset="-122"/>
              </a:endParaRP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149225</xdr:colOff>
          <xdr:row>3</xdr:row>
          <xdr:rowOff>60325</xdr:rowOff>
        </xdr:from>
        <xdr:to>
          <xdr:col>4</xdr:col>
          <xdr:colOff>558800</xdr:colOff>
          <xdr:row>4</xdr:row>
          <xdr:rowOff>102870</xdr:rowOff>
        </xdr:to>
        <xdr:sp>
          <xdr:nvSpPr>
            <xdr:cNvPr id="23561" name="Check Box 2" hidden="1">
              <a:extLst>
                <a:ext uri="{63B3BB69-23CF-44E3-9099-C40C66FF867C}">
                  <a14:compatExt spid="_x0000_s23561"/>
                </a:ext>
              </a:extLst>
            </xdr:cNvPr>
            <xdr:cNvSpPr/>
          </xdr:nvSpPr>
          <xdr:spPr>
            <a:xfrm>
              <a:off x="1920875" y="603250"/>
              <a:ext cx="1781175" cy="223520"/>
            </a:xfrm>
            <a:prstGeom prst="rect">
              <a:avLst/>
            </a:prstGeom>
          </xdr:spPr>
          <xdr:txBody>
            <a:bodyPr wrap="square" anchor="ctr" upright="1"/>
            <a:p>
              <a:pPr algn="l" rtl="0"/>
              <a:r>
                <a:rPr lang="zh-CN" altLang="en-US" sz="900">
                  <a:solidFill>
                    <a:srgbClr val="000000"/>
                  </a:solidFill>
                  <a:latin typeface="宋体" panose="02010600030101010101" pitchFamily="7" charset="-122"/>
                  <a:ea typeface="宋体" panose="02010600030101010101" pitchFamily="7" charset="-122"/>
                  <a:cs typeface="宋体" panose="02010600030101010101" pitchFamily="7" charset="-122"/>
                  <a:sym typeface="宋体" panose="02010600030101010101" pitchFamily="7" charset="-122"/>
                </a:rPr>
                <a:t>钢卷尺(0～5)m</a:t>
              </a:r>
              <a:endParaRPr lang="zh-CN" altLang="en-US" sz="900">
                <a:solidFill>
                  <a:srgbClr val="000000"/>
                </a:solidFill>
                <a:latin typeface="宋体" panose="02010600030101010101" pitchFamily="7" charset="-122"/>
                <a:ea typeface="宋体" panose="02010600030101010101" pitchFamily="7" charset="-122"/>
                <a:cs typeface="宋体" panose="02010600030101010101" pitchFamily="7" charset="-122"/>
                <a:sym typeface="宋体" panose="02010600030101010101" pitchFamily="7" charset="-122"/>
              </a:endParaRP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164465</xdr:colOff>
          <xdr:row>1</xdr:row>
          <xdr:rowOff>67310</xdr:rowOff>
        </xdr:from>
        <xdr:to>
          <xdr:col>3</xdr:col>
          <xdr:colOff>517525</xdr:colOff>
          <xdr:row>2</xdr:row>
          <xdr:rowOff>119380</xdr:rowOff>
        </xdr:to>
        <xdr:sp>
          <xdr:nvSpPr>
            <xdr:cNvPr id="24100" name="Check Box 1" hidden="1">
              <a:extLst>
                <a:ext uri="{63B3BB69-23CF-44E3-9099-C40C66FF867C}">
                  <a14:compatExt spid="_x0000_s24100"/>
                </a:ext>
              </a:extLst>
            </xdr:cNvPr>
            <xdr:cNvSpPr/>
          </xdr:nvSpPr>
          <xdr:spPr>
            <a:xfrm>
              <a:off x="1936115" y="248285"/>
              <a:ext cx="1038860" cy="233045"/>
            </a:xfrm>
            <a:prstGeom prst="rect">
              <a:avLst/>
            </a:prstGeom>
          </xdr:spPr>
          <xdr:txBody>
            <a:bodyPr wrap="square" anchor="ctr" upright="1"/>
            <a:lstStyle>
              <a:defPPr>
                <a:defRPr lang="zh-CN"/>
              </a:defPPr>
              <a:lvl1pPr marL="0" algn="l" defTabSz="914400" rtl="0" eaLnBrk="1" latinLnBrk="0" hangingPunct="1">
                <a:defRPr sz="1100">
                  <a:latin typeface="+mn-lt"/>
                  <a:ea typeface="+mn-ea"/>
                  <a:cs typeface="+mn-cs"/>
                </a:defRPr>
              </a:lvl1pPr>
              <a:lvl2pPr marL="457200" algn="l" defTabSz="914400" rtl="0" eaLnBrk="1" latinLnBrk="0" hangingPunct="1">
                <a:defRPr sz="1100">
                  <a:latin typeface="+mn-lt"/>
                  <a:ea typeface="+mn-ea"/>
                  <a:cs typeface="+mn-cs"/>
                </a:defRPr>
              </a:lvl2pPr>
              <a:lvl3pPr marL="914400" algn="l" defTabSz="914400" rtl="0" eaLnBrk="1" latinLnBrk="0" hangingPunct="1">
                <a:defRPr sz="1100">
                  <a:latin typeface="+mn-lt"/>
                  <a:ea typeface="+mn-ea"/>
                  <a:cs typeface="+mn-cs"/>
                </a:defRPr>
              </a:lvl3pPr>
              <a:lvl4pPr marL="1371600" algn="l" defTabSz="914400" rtl="0" eaLnBrk="1" latinLnBrk="0" hangingPunct="1">
                <a:defRPr sz="1100">
                  <a:latin typeface="+mn-lt"/>
                  <a:ea typeface="+mn-ea"/>
                  <a:cs typeface="+mn-cs"/>
                </a:defRPr>
              </a:lvl4pPr>
              <a:lvl5pPr marL="1828800" algn="l" defTabSz="914400" rtl="0" eaLnBrk="1" latinLnBrk="0" hangingPunct="1">
                <a:defRPr sz="1100">
                  <a:latin typeface="+mn-lt"/>
                  <a:ea typeface="+mn-ea"/>
                  <a:cs typeface="+mn-cs"/>
                </a:defRPr>
              </a:lvl5pPr>
              <a:lvl6pPr marL="2286000" algn="l" defTabSz="914400" rtl="0" eaLnBrk="1" latinLnBrk="0" hangingPunct="1">
                <a:defRPr sz="1100">
                  <a:latin typeface="+mn-lt"/>
                  <a:ea typeface="+mn-ea"/>
                  <a:cs typeface="+mn-cs"/>
                </a:defRPr>
              </a:lvl6pPr>
              <a:lvl7pPr marL="2743200" algn="l" defTabSz="914400" rtl="0" eaLnBrk="1" latinLnBrk="0" hangingPunct="1">
                <a:defRPr sz="1100">
                  <a:latin typeface="+mn-lt"/>
                  <a:ea typeface="+mn-ea"/>
                  <a:cs typeface="+mn-cs"/>
                </a:defRPr>
              </a:lvl7pPr>
              <a:lvl8pPr marL="3200400" algn="l" defTabSz="914400" rtl="0" eaLnBrk="1" latinLnBrk="0" hangingPunct="1">
                <a:defRPr sz="1100">
                  <a:latin typeface="+mn-lt"/>
                  <a:ea typeface="+mn-ea"/>
                  <a:cs typeface="+mn-cs"/>
                </a:defRPr>
              </a:lvl8pPr>
              <a:lvl9pPr marL="3657600" algn="l" defTabSz="914400" rtl="0" eaLnBrk="1" latinLnBrk="0" hangingPunct="1">
                <a:defRPr sz="1100">
                  <a:latin typeface="+mn-lt"/>
                  <a:ea typeface="+mn-ea"/>
                  <a:cs typeface="+mn-cs"/>
                </a:defRPr>
              </a:lvl9pPr>
            </a:lstStyle>
            <a:p>
              <a:pPr algn="l" rtl="0"/>
              <a:r>
                <a:rPr lang="zh-CN" altLang="en-US" sz="900">
                  <a:solidFill>
                    <a:srgbClr val="000000"/>
                  </a:solidFill>
                  <a:latin typeface="宋体" panose="02010600030101010101" pitchFamily="7" charset="-122"/>
                  <a:ea typeface="宋体" panose="02010600030101010101" pitchFamily="7" charset="-122"/>
                  <a:cs typeface="宋体" panose="02010600030101010101" pitchFamily="7" charset="-122"/>
                  <a:sym typeface="宋体" panose="02010600030101010101" pitchFamily="7" charset="-122"/>
                </a:rPr>
                <a:t>皮尺</a:t>
              </a:r>
              <a:endParaRPr lang="zh-CN" altLang="en-US" sz="900">
                <a:solidFill>
                  <a:srgbClr val="000000"/>
                </a:solidFill>
                <a:latin typeface="宋体" panose="02010600030101010101" pitchFamily="7" charset="-122"/>
                <a:ea typeface="宋体" panose="02010600030101010101" pitchFamily="7" charset="-122"/>
                <a:cs typeface="宋体" panose="02010600030101010101" pitchFamily="7" charset="-122"/>
                <a:sym typeface="宋体" panose="02010600030101010101" pitchFamily="7" charset="-122"/>
              </a:endParaRP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20</xdr:col>
          <xdr:colOff>114300</xdr:colOff>
          <xdr:row>6</xdr:row>
          <xdr:rowOff>9525</xdr:rowOff>
        </xdr:from>
        <xdr:to>
          <xdr:col>22</xdr:col>
          <xdr:colOff>18415</xdr:colOff>
          <xdr:row>7</xdr:row>
          <xdr:rowOff>113665</xdr:rowOff>
        </xdr:to>
        <xdr:sp macro="[0]!ClearSelectedInstrumentList">
          <xdr:nvSpPr>
            <xdr:cNvPr id="24121" name="Button 569" hidden="1">
              <a:extLst>
                <a:ext uri="{63B3BB69-23CF-44E3-9099-C40C66FF867C}">
                  <a14:compatExt spid="_x0000_s24121"/>
                </a:ext>
              </a:extLst>
            </xdr:cNvPr>
            <xdr:cNvSpPr/>
          </xdr:nvSpPr>
          <xdr:spPr>
            <a:xfrm>
              <a:off x="19183350" y="1095375"/>
              <a:ext cx="1275715" cy="285115"/>
            </a:xfrm>
            <a:prstGeom prst="rect">
              <a:avLst/>
            </a:prstGeom>
          </xdr:spPr>
          <xdr:txBody>
            <a:bodyPr wrap="square" anchor="ctr" upright="1">
              <a:noAutofit/>
            </a:bodyPr>
            <a:p>
              <a:pPr algn="ctr" rtl="0"/>
              <a:r>
                <a:rPr lang="zh-CN" altLang="en-US">
                  <a:solidFill>
                    <a:srgbClr val="000000"/>
                  </a:solidFill>
                  <a:latin typeface="宋体" panose="02010600030101010101" pitchFamily="7" charset="-122"/>
                  <a:ea typeface="宋体" panose="02010600030101010101" pitchFamily="7" charset="-122"/>
                  <a:cs typeface="宋体" panose="02010600030101010101" pitchFamily="7" charset="-122"/>
                  <a:sym typeface="宋体" panose="02010600030101010101" pitchFamily="7" charset="-122"/>
                </a:rPr>
                <a:t>手动清空已选仪器</a:t>
              </a:r>
              <a:endParaRPr lang="zh-CN" altLang="en-US">
                <a:solidFill>
                  <a:srgbClr val="000000"/>
                </a:solidFill>
                <a:latin typeface="宋体" panose="02010600030101010101" pitchFamily="7" charset="-122"/>
                <a:ea typeface="宋体" panose="02010600030101010101" pitchFamily="7" charset="-122"/>
                <a:cs typeface="宋体" panose="02010600030101010101" pitchFamily="7" charset="-122"/>
                <a:sym typeface="宋体" panose="02010600030101010101" pitchFamily="7" charset="-122"/>
              </a:endParaRP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202565</xdr:colOff>
          <xdr:row>41</xdr:row>
          <xdr:rowOff>38100</xdr:rowOff>
        </xdr:from>
        <xdr:to>
          <xdr:col>3</xdr:col>
          <xdr:colOff>555625</xdr:colOff>
          <xdr:row>42</xdr:row>
          <xdr:rowOff>90805</xdr:rowOff>
        </xdr:to>
        <xdr:sp>
          <xdr:nvSpPr>
            <xdr:cNvPr id="24122" name="Check Box 21" hidden="1">
              <a:extLst>
                <a:ext uri="{63B3BB69-23CF-44E3-9099-C40C66FF867C}">
                  <a14:compatExt spid="_x0000_s24122"/>
                </a:ext>
              </a:extLst>
            </xdr:cNvPr>
            <xdr:cNvSpPr/>
          </xdr:nvSpPr>
          <xdr:spPr>
            <a:xfrm>
              <a:off x="1974215" y="7458075"/>
              <a:ext cx="1038860" cy="233680"/>
            </a:xfrm>
            <a:prstGeom prst="rect">
              <a:avLst/>
            </a:prstGeom>
          </xdr:spPr>
          <xdr:txBody>
            <a:bodyPr wrap="square" anchor="ctr" upright="1"/>
            <a:lstStyle>
              <a:defPPr>
                <a:defRPr lang="zh-CN"/>
              </a:defPPr>
              <a:lvl1pPr marL="0" algn="l" defTabSz="914400" rtl="0" eaLnBrk="1" latinLnBrk="0" hangingPunct="1">
                <a:defRPr sz="1100">
                  <a:latin typeface="+mn-lt"/>
                  <a:ea typeface="+mn-ea"/>
                  <a:cs typeface="+mn-cs"/>
                </a:defRPr>
              </a:lvl1pPr>
              <a:lvl2pPr marL="457200" algn="l" defTabSz="914400" rtl="0" eaLnBrk="1" latinLnBrk="0" hangingPunct="1">
                <a:defRPr sz="1100">
                  <a:latin typeface="+mn-lt"/>
                  <a:ea typeface="+mn-ea"/>
                  <a:cs typeface="+mn-cs"/>
                </a:defRPr>
              </a:lvl2pPr>
              <a:lvl3pPr marL="914400" algn="l" defTabSz="914400" rtl="0" eaLnBrk="1" latinLnBrk="0" hangingPunct="1">
                <a:defRPr sz="1100">
                  <a:latin typeface="+mn-lt"/>
                  <a:ea typeface="+mn-ea"/>
                  <a:cs typeface="+mn-cs"/>
                </a:defRPr>
              </a:lvl3pPr>
              <a:lvl4pPr marL="1371600" algn="l" defTabSz="914400" rtl="0" eaLnBrk="1" latinLnBrk="0" hangingPunct="1">
                <a:defRPr sz="1100">
                  <a:latin typeface="+mn-lt"/>
                  <a:ea typeface="+mn-ea"/>
                  <a:cs typeface="+mn-cs"/>
                </a:defRPr>
              </a:lvl4pPr>
              <a:lvl5pPr marL="1828800" algn="l" defTabSz="914400" rtl="0" eaLnBrk="1" latinLnBrk="0" hangingPunct="1">
                <a:defRPr sz="1100">
                  <a:latin typeface="+mn-lt"/>
                  <a:ea typeface="+mn-ea"/>
                  <a:cs typeface="+mn-cs"/>
                </a:defRPr>
              </a:lvl5pPr>
              <a:lvl6pPr marL="2286000" algn="l" defTabSz="914400" rtl="0" eaLnBrk="1" latinLnBrk="0" hangingPunct="1">
                <a:defRPr sz="1100">
                  <a:latin typeface="+mn-lt"/>
                  <a:ea typeface="+mn-ea"/>
                  <a:cs typeface="+mn-cs"/>
                </a:defRPr>
              </a:lvl6pPr>
              <a:lvl7pPr marL="2743200" algn="l" defTabSz="914400" rtl="0" eaLnBrk="1" latinLnBrk="0" hangingPunct="1">
                <a:defRPr sz="1100">
                  <a:latin typeface="+mn-lt"/>
                  <a:ea typeface="+mn-ea"/>
                  <a:cs typeface="+mn-cs"/>
                </a:defRPr>
              </a:lvl7pPr>
              <a:lvl8pPr marL="3200400" algn="l" defTabSz="914400" rtl="0" eaLnBrk="1" latinLnBrk="0" hangingPunct="1">
                <a:defRPr sz="1100">
                  <a:latin typeface="+mn-lt"/>
                  <a:ea typeface="+mn-ea"/>
                  <a:cs typeface="+mn-cs"/>
                </a:defRPr>
              </a:lvl8pPr>
              <a:lvl9pPr marL="3657600" algn="l" defTabSz="914400" rtl="0" eaLnBrk="1" latinLnBrk="0" hangingPunct="1">
                <a:defRPr sz="1100">
                  <a:latin typeface="+mn-lt"/>
                  <a:ea typeface="+mn-ea"/>
                  <a:cs typeface="+mn-cs"/>
                </a:defRPr>
              </a:lvl9pPr>
            </a:lstStyle>
            <a:p>
              <a:pPr algn="l" rtl="0"/>
              <a:r>
                <a:rPr lang="zh-CN" altLang="en-US" sz="900">
                  <a:solidFill>
                    <a:srgbClr val="000000"/>
                  </a:solidFill>
                  <a:latin typeface="宋体" panose="02010600030101010101" pitchFamily="7" charset="-122"/>
                  <a:ea typeface="宋体" panose="02010600030101010101" pitchFamily="7" charset="-122"/>
                  <a:cs typeface="宋体" panose="02010600030101010101" pitchFamily="7" charset="-122"/>
                  <a:sym typeface="宋体" panose="02010600030101010101" pitchFamily="7" charset="-122"/>
                </a:rPr>
                <a:t>自定义仪器1</a:t>
              </a:r>
              <a:endParaRPr lang="zh-CN" altLang="en-US" sz="900">
                <a:solidFill>
                  <a:srgbClr val="000000"/>
                </a:solidFill>
                <a:latin typeface="宋体" panose="02010600030101010101" pitchFamily="7" charset="-122"/>
                <a:ea typeface="宋体" panose="02010600030101010101" pitchFamily="7" charset="-122"/>
                <a:cs typeface="宋体" panose="02010600030101010101" pitchFamily="7" charset="-122"/>
                <a:sym typeface="宋体" panose="02010600030101010101" pitchFamily="7" charset="-122"/>
              </a:endParaRP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202565</xdr:colOff>
          <xdr:row>43</xdr:row>
          <xdr:rowOff>50800</xdr:rowOff>
        </xdr:from>
        <xdr:to>
          <xdr:col>3</xdr:col>
          <xdr:colOff>555625</xdr:colOff>
          <xdr:row>44</xdr:row>
          <xdr:rowOff>103505</xdr:rowOff>
        </xdr:to>
        <xdr:sp>
          <xdr:nvSpPr>
            <xdr:cNvPr id="24123" name="Check Box 22" hidden="1">
              <a:extLst>
                <a:ext uri="{63B3BB69-23CF-44E3-9099-C40C66FF867C}">
                  <a14:compatExt spid="_x0000_s24123"/>
                </a:ext>
              </a:extLst>
            </xdr:cNvPr>
            <xdr:cNvSpPr/>
          </xdr:nvSpPr>
          <xdr:spPr>
            <a:xfrm>
              <a:off x="1974215" y="7832725"/>
              <a:ext cx="1038860" cy="233680"/>
            </a:xfrm>
            <a:prstGeom prst="rect">
              <a:avLst/>
            </a:prstGeom>
          </xdr:spPr>
          <xdr:txBody>
            <a:bodyPr wrap="square" anchor="ctr" upright="1"/>
            <a:lstStyle>
              <a:defPPr>
                <a:defRPr lang="zh-CN"/>
              </a:defPPr>
              <a:lvl1pPr marL="0" algn="l" defTabSz="914400" rtl="0" eaLnBrk="1" latinLnBrk="0" hangingPunct="1">
                <a:defRPr sz="1100">
                  <a:latin typeface="+mn-lt"/>
                  <a:ea typeface="+mn-ea"/>
                  <a:cs typeface="+mn-cs"/>
                </a:defRPr>
              </a:lvl1pPr>
              <a:lvl2pPr marL="457200" algn="l" defTabSz="914400" rtl="0" eaLnBrk="1" latinLnBrk="0" hangingPunct="1">
                <a:defRPr sz="1100">
                  <a:latin typeface="+mn-lt"/>
                  <a:ea typeface="+mn-ea"/>
                  <a:cs typeface="+mn-cs"/>
                </a:defRPr>
              </a:lvl2pPr>
              <a:lvl3pPr marL="914400" algn="l" defTabSz="914400" rtl="0" eaLnBrk="1" latinLnBrk="0" hangingPunct="1">
                <a:defRPr sz="1100">
                  <a:latin typeface="+mn-lt"/>
                  <a:ea typeface="+mn-ea"/>
                  <a:cs typeface="+mn-cs"/>
                </a:defRPr>
              </a:lvl3pPr>
              <a:lvl4pPr marL="1371600" algn="l" defTabSz="914400" rtl="0" eaLnBrk="1" latinLnBrk="0" hangingPunct="1">
                <a:defRPr sz="1100">
                  <a:latin typeface="+mn-lt"/>
                  <a:ea typeface="+mn-ea"/>
                  <a:cs typeface="+mn-cs"/>
                </a:defRPr>
              </a:lvl4pPr>
              <a:lvl5pPr marL="1828800" algn="l" defTabSz="914400" rtl="0" eaLnBrk="1" latinLnBrk="0" hangingPunct="1">
                <a:defRPr sz="1100">
                  <a:latin typeface="+mn-lt"/>
                  <a:ea typeface="+mn-ea"/>
                  <a:cs typeface="+mn-cs"/>
                </a:defRPr>
              </a:lvl5pPr>
              <a:lvl6pPr marL="2286000" algn="l" defTabSz="914400" rtl="0" eaLnBrk="1" latinLnBrk="0" hangingPunct="1">
                <a:defRPr sz="1100">
                  <a:latin typeface="+mn-lt"/>
                  <a:ea typeface="+mn-ea"/>
                  <a:cs typeface="+mn-cs"/>
                </a:defRPr>
              </a:lvl6pPr>
              <a:lvl7pPr marL="2743200" algn="l" defTabSz="914400" rtl="0" eaLnBrk="1" latinLnBrk="0" hangingPunct="1">
                <a:defRPr sz="1100">
                  <a:latin typeface="+mn-lt"/>
                  <a:ea typeface="+mn-ea"/>
                  <a:cs typeface="+mn-cs"/>
                </a:defRPr>
              </a:lvl7pPr>
              <a:lvl8pPr marL="3200400" algn="l" defTabSz="914400" rtl="0" eaLnBrk="1" latinLnBrk="0" hangingPunct="1">
                <a:defRPr sz="1100">
                  <a:latin typeface="+mn-lt"/>
                  <a:ea typeface="+mn-ea"/>
                  <a:cs typeface="+mn-cs"/>
                </a:defRPr>
              </a:lvl8pPr>
              <a:lvl9pPr marL="3657600" algn="l" defTabSz="914400" rtl="0" eaLnBrk="1" latinLnBrk="0" hangingPunct="1">
                <a:defRPr sz="1100">
                  <a:latin typeface="+mn-lt"/>
                  <a:ea typeface="+mn-ea"/>
                  <a:cs typeface="+mn-cs"/>
                </a:defRPr>
              </a:lvl9pPr>
            </a:lstStyle>
            <a:p>
              <a:pPr algn="l" rtl="0"/>
              <a:r>
                <a:rPr lang="zh-CN" altLang="en-US" sz="900">
                  <a:solidFill>
                    <a:srgbClr val="000000"/>
                  </a:solidFill>
                  <a:latin typeface="宋体" panose="02010600030101010101" pitchFamily="7" charset="-122"/>
                  <a:ea typeface="宋体" panose="02010600030101010101" pitchFamily="7" charset="-122"/>
                  <a:cs typeface="宋体" panose="02010600030101010101" pitchFamily="7" charset="-122"/>
                  <a:sym typeface="宋体" panose="02010600030101010101" pitchFamily="7" charset="-122"/>
                </a:rPr>
                <a:t>自定义仪器2</a:t>
              </a:r>
              <a:endParaRPr lang="zh-CN" altLang="en-US" sz="900">
                <a:solidFill>
                  <a:srgbClr val="000000"/>
                </a:solidFill>
                <a:latin typeface="宋体" panose="02010600030101010101" pitchFamily="7" charset="-122"/>
                <a:ea typeface="宋体" panose="02010600030101010101" pitchFamily="7" charset="-122"/>
                <a:cs typeface="宋体" panose="02010600030101010101" pitchFamily="7" charset="-122"/>
                <a:sym typeface="宋体" panose="02010600030101010101" pitchFamily="7" charset="-122"/>
              </a:endParaRP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202565</xdr:colOff>
          <xdr:row>45</xdr:row>
          <xdr:rowOff>50800</xdr:rowOff>
        </xdr:from>
        <xdr:to>
          <xdr:col>3</xdr:col>
          <xdr:colOff>555625</xdr:colOff>
          <xdr:row>46</xdr:row>
          <xdr:rowOff>103505</xdr:rowOff>
        </xdr:to>
        <xdr:sp>
          <xdr:nvSpPr>
            <xdr:cNvPr id="24124" name="Check Box 23" hidden="1">
              <a:extLst>
                <a:ext uri="{63B3BB69-23CF-44E3-9099-C40C66FF867C}">
                  <a14:compatExt spid="_x0000_s24124"/>
                </a:ext>
              </a:extLst>
            </xdr:cNvPr>
            <xdr:cNvSpPr/>
          </xdr:nvSpPr>
          <xdr:spPr>
            <a:xfrm>
              <a:off x="1974215" y="8194675"/>
              <a:ext cx="1038860" cy="233680"/>
            </a:xfrm>
            <a:prstGeom prst="rect">
              <a:avLst/>
            </a:prstGeom>
          </xdr:spPr>
          <xdr:txBody>
            <a:bodyPr wrap="square" anchor="ctr" upright="1"/>
            <a:lstStyle>
              <a:defPPr>
                <a:defRPr lang="zh-CN"/>
              </a:defPPr>
              <a:lvl1pPr marL="0" algn="l" defTabSz="914400" rtl="0" eaLnBrk="1" latinLnBrk="0" hangingPunct="1">
                <a:defRPr sz="1100">
                  <a:latin typeface="+mn-lt"/>
                  <a:ea typeface="+mn-ea"/>
                  <a:cs typeface="+mn-cs"/>
                </a:defRPr>
              </a:lvl1pPr>
              <a:lvl2pPr marL="457200" algn="l" defTabSz="914400" rtl="0" eaLnBrk="1" latinLnBrk="0" hangingPunct="1">
                <a:defRPr sz="1100">
                  <a:latin typeface="+mn-lt"/>
                  <a:ea typeface="+mn-ea"/>
                  <a:cs typeface="+mn-cs"/>
                </a:defRPr>
              </a:lvl2pPr>
              <a:lvl3pPr marL="914400" algn="l" defTabSz="914400" rtl="0" eaLnBrk="1" latinLnBrk="0" hangingPunct="1">
                <a:defRPr sz="1100">
                  <a:latin typeface="+mn-lt"/>
                  <a:ea typeface="+mn-ea"/>
                  <a:cs typeface="+mn-cs"/>
                </a:defRPr>
              </a:lvl3pPr>
              <a:lvl4pPr marL="1371600" algn="l" defTabSz="914400" rtl="0" eaLnBrk="1" latinLnBrk="0" hangingPunct="1">
                <a:defRPr sz="1100">
                  <a:latin typeface="+mn-lt"/>
                  <a:ea typeface="+mn-ea"/>
                  <a:cs typeface="+mn-cs"/>
                </a:defRPr>
              </a:lvl4pPr>
              <a:lvl5pPr marL="1828800" algn="l" defTabSz="914400" rtl="0" eaLnBrk="1" latinLnBrk="0" hangingPunct="1">
                <a:defRPr sz="1100">
                  <a:latin typeface="+mn-lt"/>
                  <a:ea typeface="+mn-ea"/>
                  <a:cs typeface="+mn-cs"/>
                </a:defRPr>
              </a:lvl5pPr>
              <a:lvl6pPr marL="2286000" algn="l" defTabSz="914400" rtl="0" eaLnBrk="1" latinLnBrk="0" hangingPunct="1">
                <a:defRPr sz="1100">
                  <a:latin typeface="+mn-lt"/>
                  <a:ea typeface="+mn-ea"/>
                  <a:cs typeface="+mn-cs"/>
                </a:defRPr>
              </a:lvl6pPr>
              <a:lvl7pPr marL="2743200" algn="l" defTabSz="914400" rtl="0" eaLnBrk="1" latinLnBrk="0" hangingPunct="1">
                <a:defRPr sz="1100">
                  <a:latin typeface="+mn-lt"/>
                  <a:ea typeface="+mn-ea"/>
                  <a:cs typeface="+mn-cs"/>
                </a:defRPr>
              </a:lvl7pPr>
              <a:lvl8pPr marL="3200400" algn="l" defTabSz="914400" rtl="0" eaLnBrk="1" latinLnBrk="0" hangingPunct="1">
                <a:defRPr sz="1100">
                  <a:latin typeface="+mn-lt"/>
                  <a:ea typeface="+mn-ea"/>
                  <a:cs typeface="+mn-cs"/>
                </a:defRPr>
              </a:lvl8pPr>
              <a:lvl9pPr marL="3657600" algn="l" defTabSz="914400" rtl="0" eaLnBrk="1" latinLnBrk="0" hangingPunct="1">
                <a:defRPr sz="1100">
                  <a:latin typeface="+mn-lt"/>
                  <a:ea typeface="+mn-ea"/>
                  <a:cs typeface="+mn-cs"/>
                </a:defRPr>
              </a:lvl9pPr>
            </a:lstStyle>
            <a:p>
              <a:pPr algn="l" rtl="0"/>
              <a:r>
                <a:rPr lang="zh-CN" altLang="en-US" sz="900">
                  <a:solidFill>
                    <a:srgbClr val="000000"/>
                  </a:solidFill>
                  <a:latin typeface="宋体" panose="02010600030101010101" pitchFamily="7" charset="-122"/>
                  <a:ea typeface="宋体" panose="02010600030101010101" pitchFamily="7" charset="-122"/>
                  <a:cs typeface="宋体" panose="02010600030101010101" pitchFamily="7" charset="-122"/>
                  <a:sym typeface="宋体" panose="02010600030101010101" pitchFamily="7" charset="-122"/>
                </a:rPr>
                <a:t>自定义仪器3</a:t>
              </a:r>
              <a:endParaRPr lang="zh-CN" altLang="en-US" sz="900">
                <a:solidFill>
                  <a:srgbClr val="000000"/>
                </a:solidFill>
                <a:latin typeface="宋体" panose="02010600030101010101" pitchFamily="7" charset="-122"/>
                <a:ea typeface="宋体" panose="02010600030101010101" pitchFamily="7" charset="-122"/>
                <a:cs typeface="宋体" panose="02010600030101010101" pitchFamily="7" charset="-122"/>
                <a:sym typeface="宋体" panose="02010600030101010101" pitchFamily="7" charset="-122"/>
              </a:endParaRP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215265</xdr:colOff>
          <xdr:row>47</xdr:row>
          <xdr:rowOff>50800</xdr:rowOff>
        </xdr:from>
        <xdr:to>
          <xdr:col>3</xdr:col>
          <xdr:colOff>568325</xdr:colOff>
          <xdr:row>48</xdr:row>
          <xdr:rowOff>103505</xdr:rowOff>
        </xdr:to>
        <xdr:sp>
          <xdr:nvSpPr>
            <xdr:cNvPr id="24125" name="Check Box 24" hidden="1">
              <a:extLst>
                <a:ext uri="{63B3BB69-23CF-44E3-9099-C40C66FF867C}">
                  <a14:compatExt spid="_x0000_s24125"/>
                </a:ext>
              </a:extLst>
            </xdr:cNvPr>
            <xdr:cNvSpPr/>
          </xdr:nvSpPr>
          <xdr:spPr>
            <a:xfrm>
              <a:off x="1986915" y="8556625"/>
              <a:ext cx="1038860" cy="233680"/>
            </a:xfrm>
            <a:prstGeom prst="rect">
              <a:avLst/>
            </a:prstGeom>
          </xdr:spPr>
          <xdr:txBody>
            <a:bodyPr wrap="square" anchor="ctr" upright="1"/>
            <a:lstStyle>
              <a:defPPr>
                <a:defRPr lang="zh-CN"/>
              </a:defPPr>
              <a:lvl1pPr marL="0" algn="l" defTabSz="914400" rtl="0" eaLnBrk="1" latinLnBrk="0" hangingPunct="1">
                <a:defRPr sz="1100">
                  <a:latin typeface="+mn-lt"/>
                  <a:ea typeface="+mn-ea"/>
                  <a:cs typeface="+mn-cs"/>
                </a:defRPr>
              </a:lvl1pPr>
              <a:lvl2pPr marL="457200" algn="l" defTabSz="914400" rtl="0" eaLnBrk="1" latinLnBrk="0" hangingPunct="1">
                <a:defRPr sz="1100">
                  <a:latin typeface="+mn-lt"/>
                  <a:ea typeface="+mn-ea"/>
                  <a:cs typeface="+mn-cs"/>
                </a:defRPr>
              </a:lvl2pPr>
              <a:lvl3pPr marL="914400" algn="l" defTabSz="914400" rtl="0" eaLnBrk="1" latinLnBrk="0" hangingPunct="1">
                <a:defRPr sz="1100">
                  <a:latin typeface="+mn-lt"/>
                  <a:ea typeface="+mn-ea"/>
                  <a:cs typeface="+mn-cs"/>
                </a:defRPr>
              </a:lvl3pPr>
              <a:lvl4pPr marL="1371600" algn="l" defTabSz="914400" rtl="0" eaLnBrk="1" latinLnBrk="0" hangingPunct="1">
                <a:defRPr sz="1100">
                  <a:latin typeface="+mn-lt"/>
                  <a:ea typeface="+mn-ea"/>
                  <a:cs typeface="+mn-cs"/>
                </a:defRPr>
              </a:lvl4pPr>
              <a:lvl5pPr marL="1828800" algn="l" defTabSz="914400" rtl="0" eaLnBrk="1" latinLnBrk="0" hangingPunct="1">
                <a:defRPr sz="1100">
                  <a:latin typeface="+mn-lt"/>
                  <a:ea typeface="+mn-ea"/>
                  <a:cs typeface="+mn-cs"/>
                </a:defRPr>
              </a:lvl5pPr>
              <a:lvl6pPr marL="2286000" algn="l" defTabSz="914400" rtl="0" eaLnBrk="1" latinLnBrk="0" hangingPunct="1">
                <a:defRPr sz="1100">
                  <a:latin typeface="+mn-lt"/>
                  <a:ea typeface="+mn-ea"/>
                  <a:cs typeface="+mn-cs"/>
                </a:defRPr>
              </a:lvl6pPr>
              <a:lvl7pPr marL="2743200" algn="l" defTabSz="914400" rtl="0" eaLnBrk="1" latinLnBrk="0" hangingPunct="1">
                <a:defRPr sz="1100">
                  <a:latin typeface="+mn-lt"/>
                  <a:ea typeface="+mn-ea"/>
                  <a:cs typeface="+mn-cs"/>
                </a:defRPr>
              </a:lvl7pPr>
              <a:lvl8pPr marL="3200400" algn="l" defTabSz="914400" rtl="0" eaLnBrk="1" latinLnBrk="0" hangingPunct="1">
                <a:defRPr sz="1100">
                  <a:latin typeface="+mn-lt"/>
                  <a:ea typeface="+mn-ea"/>
                  <a:cs typeface="+mn-cs"/>
                </a:defRPr>
              </a:lvl8pPr>
              <a:lvl9pPr marL="3657600" algn="l" defTabSz="914400" rtl="0" eaLnBrk="1" latinLnBrk="0" hangingPunct="1">
                <a:defRPr sz="1100">
                  <a:latin typeface="+mn-lt"/>
                  <a:ea typeface="+mn-ea"/>
                  <a:cs typeface="+mn-cs"/>
                </a:defRPr>
              </a:lvl9pPr>
            </a:lstStyle>
            <a:p>
              <a:pPr algn="l" rtl="0"/>
              <a:r>
                <a:rPr lang="zh-CN" altLang="en-US" sz="900">
                  <a:solidFill>
                    <a:srgbClr val="000000"/>
                  </a:solidFill>
                  <a:latin typeface="宋体" panose="02010600030101010101" pitchFamily="7" charset="-122"/>
                  <a:ea typeface="宋体" panose="02010600030101010101" pitchFamily="7" charset="-122"/>
                  <a:cs typeface="宋体" panose="02010600030101010101" pitchFamily="7" charset="-122"/>
                  <a:sym typeface="宋体" panose="02010600030101010101" pitchFamily="7" charset="-122"/>
                </a:rPr>
                <a:t>自定义仪器4</a:t>
              </a:r>
              <a:endParaRPr lang="zh-CN" altLang="en-US" sz="900">
                <a:solidFill>
                  <a:srgbClr val="000000"/>
                </a:solidFill>
                <a:latin typeface="宋体" panose="02010600030101010101" pitchFamily="7" charset="-122"/>
                <a:ea typeface="宋体" panose="02010600030101010101" pitchFamily="7" charset="-122"/>
                <a:cs typeface="宋体" panose="02010600030101010101" pitchFamily="7" charset="-122"/>
                <a:sym typeface="宋体" panose="02010600030101010101" pitchFamily="7" charset="-122"/>
              </a:endParaRP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227965</xdr:colOff>
          <xdr:row>49</xdr:row>
          <xdr:rowOff>50800</xdr:rowOff>
        </xdr:from>
        <xdr:to>
          <xdr:col>3</xdr:col>
          <xdr:colOff>581025</xdr:colOff>
          <xdr:row>50</xdr:row>
          <xdr:rowOff>103505</xdr:rowOff>
        </xdr:to>
        <xdr:sp>
          <xdr:nvSpPr>
            <xdr:cNvPr id="24126" name="Check Box 25" hidden="1">
              <a:extLst>
                <a:ext uri="{63B3BB69-23CF-44E3-9099-C40C66FF867C}">
                  <a14:compatExt spid="_x0000_s24126"/>
                </a:ext>
              </a:extLst>
            </xdr:cNvPr>
            <xdr:cNvSpPr/>
          </xdr:nvSpPr>
          <xdr:spPr>
            <a:xfrm>
              <a:off x="1999615" y="8918575"/>
              <a:ext cx="1038860" cy="233680"/>
            </a:xfrm>
            <a:prstGeom prst="rect">
              <a:avLst/>
            </a:prstGeom>
          </xdr:spPr>
          <xdr:txBody>
            <a:bodyPr wrap="square" anchor="ctr" upright="1"/>
            <a:lstStyle>
              <a:defPPr>
                <a:defRPr lang="zh-CN"/>
              </a:defPPr>
              <a:lvl1pPr marL="0" algn="l" defTabSz="914400" rtl="0" eaLnBrk="1" latinLnBrk="0" hangingPunct="1">
                <a:defRPr sz="1100">
                  <a:latin typeface="+mn-lt"/>
                  <a:ea typeface="+mn-ea"/>
                  <a:cs typeface="+mn-cs"/>
                </a:defRPr>
              </a:lvl1pPr>
              <a:lvl2pPr marL="457200" algn="l" defTabSz="914400" rtl="0" eaLnBrk="1" latinLnBrk="0" hangingPunct="1">
                <a:defRPr sz="1100">
                  <a:latin typeface="+mn-lt"/>
                  <a:ea typeface="+mn-ea"/>
                  <a:cs typeface="+mn-cs"/>
                </a:defRPr>
              </a:lvl2pPr>
              <a:lvl3pPr marL="914400" algn="l" defTabSz="914400" rtl="0" eaLnBrk="1" latinLnBrk="0" hangingPunct="1">
                <a:defRPr sz="1100">
                  <a:latin typeface="+mn-lt"/>
                  <a:ea typeface="+mn-ea"/>
                  <a:cs typeface="+mn-cs"/>
                </a:defRPr>
              </a:lvl3pPr>
              <a:lvl4pPr marL="1371600" algn="l" defTabSz="914400" rtl="0" eaLnBrk="1" latinLnBrk="0" hangingPunct="1">
                <a:defRPr sz="1100">
                  <a:latin typeface="+mn-lt"/>
                  <a:ea typeface="+mn-ea"/>
                  <a:cs typeface="+mn-cs"/>
                </a:defRPr>
              </a:lvl4pPr>
              <a:lvl5pPr marL="1828800" algn="l" defTabSz="914400" rtl="0" eaLnBrk="1" latinLnBrk="0" hangingPunct="1">
                <a:defRPr sz="1100">
                  <a:latin typeface="+mn-lt"/>
                  <a:ea typeface="+mn-ea"/>
                  <a:cs typeface="+mn-cs"/>
                </a:defRPr>
              </a:lvl5pPr>
              <a:lvl6pPr marL="2286000" algn="l" defTabSz="914400" rtl="0" eaLnBrk="1" latinLnBrk="0" hangingPunct="1">
                <a:defRPr sz="1100">
                  <a:latin typeface="+mn-lt"/>
                  <a:ea typeface="+mn-ea"/>
                  <a:cs typeface="+mn-cs"/>
                </a:defRPr>
              </a:lvl6pPr>
              <a:lvl7pPr marL="2743200" algn="l" defTabSz="914400" rtl="0" eaLnBrk="1" latinLnBrk="0" hangingPunct="1">
                <a:defRPr sz="1100">
                  <a:latin typeface="+mn-lt"/>
                  <a:ea typeface="+mn-ea"/>
                  <a:cs typeface="+mn-cs"/>
                </a:defRPr>
              </a:lvl7pPr>
              <a:lvl8pPr marL="3200400" algn="l" defTabSz="914400" rtl="0" eaLnBrk="1" latinLnBrk="0" hangingPunct="1">
                <a:defRPr sz="1100">
                  <a:latin typeface="+mn-lt"/>
                  <a:ea typeface="+mn-ea"/>
                  <a:cs typeface="+mn-cs"/>
                </a:defRPr>
              </a:lvl8pPr>
              <a:lvl9pPr marL="3657600" algn="l" defTabSz="914400" rtl="0" eaLnBrk="1" latinLnBrk="0" hangingPunct="1">
                <a:defRPr sz="1100">
                  <a:latin typeface="+mn-lt"/>
                  <a:ea typeface="+mn-ea"/>
                  <a:cs typeface="+mn-cs"/>
                </a:defRPr>
              </a:lvl9pPr>
            </a:lstStyle>
            <a:p>
              <a:pPr algn="l" rtl="0"/>
              <a:r>
                <a:rPr lang="zh-CN" altLang="en-US" sz="900">
                  <a:solidFill>
                    <a:srgbClr val="000000"/>
                  </a:solidFill>
                  <a:latin typeface="宋体" panose="02010600030101010101" pitchFamily="7" charset="-122"/>
                  <a:ea typeface="宋体" panose="02010600030101010101" pitchFamily="7" charset="-122"/>
                  <a:cs typeface="宋体" panose="02010600030101010101" pitchFamily="7" charset="-122"/>
                  <a:sym typeface="宋体" panose="02010600030101010101" pitchFamily="7" charset="-122"/>
                </a:rPr>
                <a:t>自定义仪器5</a:t>
              </a:r>
              <a:endParaRPr lang="zh-CN" altLang="en-US" sz="900">
                <a:solidFill>
                  <a:srgbClr val="000000"/>
                </a:solidFill>
                <a:latin typeface="宋体" panose="02010600030101010101" pitchFamily="7" charset="-122"/>
                <a:ea typeface="宋体" panose="02010600030101010101" pitchFamily="7" charset="-122"/>
                <a:cs typeface="宋体" panose="02010600030101010101" pitchFamily="7" charset="-122"/>
                <a:sym typeface="宋体" panose="02010600030101010101" pitchFamily="7" charset="-122"/>
              </a:endParaRP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266700</xdr:colOff>
          <xdr:row>38</xdr:row>
          <xdr:rowOff>57150</xdr:rowOff>
        </xdr:from>
        <xdr:to>
          <xdr:col>6</xdr:col>
          <xdr:colOff>294640</xdr:colOff>
          <xdr:row>40</xdr:row>
          <xdr:rowOff>18415</xdr:rowOff>
        </xdr:to>
        <xdr:sp macro="[0]!OpenUpgradeInstrumentDbHelp">
          <xdr:nvSpPr>
            <xdr:cNvPr id="24433" name="Button 881" hidden="1">
              <a:extLst>
                <a:ext uri="{63B3BB69-23CF-44E3-9099-C40C66FF867C}">
                  <a14:compatExt spid="_x0000_s24433"/>
                </a:ext>
              </a:extLst>
            </xdr:cNvPr>
            <xdr:cNvSpPr/>
          </xdr:nvSpPr>
          <xdr:spPr>
            <a:xfrm>
              <a:off x="3409950" y="6934200"/>
              <a:ext cx="1399540" cy="323215"/>
            </a:xfrm>
            <a:prstGeom prst="rect">
              <a:avLst/>
            </a:prstGeom>
          </xdr:spPr>
          <xdr:txBody>
            <a:bodyPr wrap="square" anchor="ctr" upright="1">
              <a:noAutofit/>
            </a:bodyPr>
            <a:p>
              <a:pPr algn="ctr" rtl="0"/>
              <a:r>
                <a:rPr lang="zh-CN" altLang="en-US">
                  <a:solidFill>
                    <a:srgbClr val="000000"/>
                  </a:solidFill>
                  <a:latin typeface="宋体" panose="02010600030101010101" pitchFamily="7" charset="-122"/>
                  <a:ea typeface="宋体" panose="02010600030101010101" pitchFamily="7" charset="-122"/>
                  <a:cs typeface="宋体" panose="02010600030101010101" pitchFamily="7" charset="-122"/>
                  <a:sym typeface="宋体" panose="02010600030101010101" pitchFamily="7" charset="-122"/>
                </a:rPr>
                <a:t>如何更新数据库？</a:t>
              </a:r>
              <a:endParaRPr lang="zh-CN" altLang="en-US">
                <a:solidFill>
                  <a:srgbClr val="000000"/>
                </a:solidFill>
                <a:latin typeface="宋体" panose="02010600030101010101" pitchFamily="7" charset="-122"/>
                <a:ea typeface="宋体" panose="02010600030101010101" pitchFamily="7" charset="-122"/>
                <a:cs typeface="宋体" panose="02010600030101010101" pitchFamily="7" charset="-122"/>
                <a:sym typeface="宋体" panose="02010600030101010101" pitchFamily="7" charset="-122"/>
              </a:endParaRP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r="http://schemas.openxmlformats.org/officeDocument/2006/relationships" xmlns:a="http://schemas.openxmlformats.org/drawingml/2006/main">
  <xdr:twoCellAnchor>
    <xdr:from>
      <xdr:col>7</xdr:col>
      <xdr:colOff>428625</xdr:colOff>
      <xdr:row>3</xdr:row>
      <xdr:rowOff>142240</xdr:rowOff>
    </xdr:from>
    <xdr:to>
      <xdr:col>11</xdr:col>
      <xdr:colOff>533400</xdr:colOff>
      <xdr:row>15</xdr:row>
      <xdr:rowOff>18416</xdr:rowOff>
    </xdr:to>
    <xdr:grpSp>
      <xdr:nvGrpSpPr>
        <xdr:cNvPr id="15" name="组合 14"/>
        <xdr:cNvGrpSpPr/>
      </xdr:nvGrpSpPr>
      <xdr:grpSpPr>
        <a:xfrm>
          <a:off x="5448300" y="685165"/>
          <a:ext cx="2847975" cy="2105025"/>
          <a:chOff x="10801350" y="1590673"/>
          <a:chExt cx="2847975" cy="2038351"/>
        </a:xfrm>
      </xdr:grpSpPr>
      <mc:AlternateContent xmlns:mc="http://schemas.openxmlformats.org/markup-compatibility/2006">
        <mc:Choice xmlns:a14="http://schemas.microsoft.com/office/drawing/2010/main" Requires="a14">
          <xdr:sp macro="[0]!AutoDisp_Click">
            <xdr:nvSpPr>
              <xdr:cNvPr id="1025" name="Button 1" hidden="1">
                <a:extLst>
                  <a:ext uri="{63B3BB69-23CF-44E3-9099-C40C66FF867C}">
                    <a14:compatExt spid="_x0000_s1025"/>
                  </a:ext>
                </a:extLst>
              </xdr:cNvPr>
              <xdr:cNvSpPr/>
            </xdr:nvSpPr>
            <xdr:spPr>
              <a:xfrm>
                <a:off x="11010900" y="2200275"/>
                <a:ext cx="981075" cy="295275"/>
              </a:xfrm>
              <a:prstGeom prst="rect">
                <a:avLst/>
              </a:prstGeom>
            </xdr:spPr>
            <xdr:txBody>
              <a:bodyPr vertOverflow="clip" wrap="square" lIns="27432" tIns="22860" rIns="27432" bIns="22860" anchor="ctr" upright="1"/>
              <a:lstStyle/>
              <a:p>
                <a:pPr algn="ctr" rtl="0">
                  <a:defRPr sz="1000"/>
                </a:pPr>
                <a:r>
                  <a:rPr lang="zh-CN" altLang="en-US" sz="1100" b="0" i="0" u="none" strike="noStrike" baseline="0">
                    <a:solidFill>
                      <a:srgbClr val="000000"/>
                    </a:solidFill>
                    <a:latin typeface="等线" panose="02010600030101010101" charset="-122"/>
                    <a:ea typeface="等线" panose="02010600030101010101" charset="-122"/>
                  </a:rPr>
                  <a:t>自动计算</a:t>
                </a:r>
                <a:endParaRPr lang="zh-CN" altLang="en-US" sz="1100" b="0" i="0" u="none" strike="noStrike" baseline="0">
                  <a:solidFill>
                    <a:srgbClr val="000000"/>
                  </a:solidFill>
                  <a:latin typeface="等线" panose="02010600030101010101" charset="-122"/>
                  <a:ea typeface="等线" panose="02010600030101010101" charset="-122"/>
                </a:endParaRPr>
              </a:p>
            </xdr:txBody>
          </xdr:sp>
        </mc:Choice>
        <mc:Fallback/>
      </mc:AlternateContent>
      <mc:AlternateContent xmlns:mc="http://schemas.openxmlformats.org/markup-compatibility/2006">
        <mc:Choice xmlns:a14="http://schemas.microsoft.com/office/drawing/2010/main" Requires="a14">
          <xdr:sp macro="[0]!GenerateRows_Click">
            <xdr:nvSpPr>
              <xdr:cNvPr id="1026" name="Button 2" hidden="1">
                <a:extLst>
                  <a:ext uri="{63B3BB69-23CF-44E3-9099-C40C66FF867C}">
                    <a14:compatExt spid="_x0000_s1026"/>
                  </a:ext>
                </a:extLst>
              </xdr:cNvPr>
              <xdr:cNvSpPr/>
            </xdr:nvSpPr>
            <xdr:spPr>
              <a:xfrm>
                <a:off x="12401550" y="1771650"/>
                <a:ext cx="962025" cy="285750"/>
              </a:xfrm>
              <a:prstGeom prst="rect">
                <a:avLst/>
              </a:prstGeom>
            </xdr:spPr>
            <xdr:txBody>
              <a:bodyPr vertOverflow="clip" wrap="square" lIns="27432" tIns="22860" rIns="27432" bIns="22860" anchor="ctr" upright="1"/>
              <a:lstStyle/>
              <a:p>
                <a:pPr algn="ctr" rtl="0">
                  <a:defRPr sz="1000"/>
                </a:pPr>
                <a:r>
                  <a:rPr lang="zh-CN" altLang="en-US" sz="1100" b="0" i="0" u="none" strike="noStrike" baseline="0">
                    <a:solidFill>
                      <a:srgbClr val="000000"/>
                    </a:solidFill>
                    <a:latin typeface="等线" panose="02010600030101010101" charset="-122"/>
                    <a:ea typeface="等线" panose="02010600030101010101" charset="-122"/>
                  </a:rPr>
                  <a:t>生成输入行</a:t>
                </a:r>
                <a:endParaRPr lang="zh-CN" altLang="en-US" sz="1100" b="0" i="0" u="none" strike="noStrike" baseline="0">
                  <a:solidFill>
                    <a:srgbClr val="000000"/>
                  </a:solidFill>
                  <a:latin typeface="等线" panose="02010600030101010101" charset="-122"/>
                  <a:ea typeface="等线" panose="02010600030101010101" charset="-122"/>
                </a:endParaRPr>
              </a:p>
            </xdr:txBody>
          </xdr:sp>
        </mc:Choice>
        <mc:Fallback/>
      </mc:AlternateContent>
      <mc:AlternateContent xmlns:mc="http://schemas.openxmlformats.org/markup-compatibility/2006">
        <mc:Choice xmlns:a14="http://schemas.microsoft.com/office/drawing/2010/main" Requires="a14">
          <xdr:sp macro="[0]!AutoGraph_Click">
            <xdr:nvSpPr>
              <xdr:cNvPr id="1027" name="Button 3" hidden="1">
                <a:extLst>
                  <a:ext uri="{63B3BB69-23CF-44E3-9099-C40C66FF867C}">
                    <a14:compatExt spid="_x0000_s1027"/>
                  </a:ext>
                </a:extLst>
              </xdr:cNvPr>
              <xdr:cNvSpPr/>
            </xdr:nvSpPr>
            <xdr:spPr>
              <a:xfrm>
                <a:off x="12411075" y="2209800"/>
                <a:ext cx="971550" cy="276225"/>
              </a:xfrm>
              <a:prstGeom prst="rect">
                <a:avLst/>
              </a:prstGeom>
            </xdr:spPr>
            <xdr:txBody>
              <a:bodyPr vertOverflow="clip" wrap="square" lIns="27432" tIns="22860" rIns="27432" bIns="22860" anchor="ctr" upright="1"/>
              <a:lstStyle/>
              <a:p>
                <a:pPr algn="ctr" rtl="0">
                  <a:defRPr sz="1000"/>
                </a:pPr>
                <a:r>
                  <a:rPr lang="zh-CN" altLang="en-US" sz="1100" b="0" i="0" u="none" strike="noStrike" baseline="0">
                    <a:solidFill>
                      <a:srgbClr val="000000"/>
                    </a:solidFill>
                    <a:latin typeface="等线" panose="02010600030101010101" charset="-122"/>
                    <a:ea typeface="等线" panose="02010600030101010101" charset="-122"/>
                  </a:rPr>
                  <a:t>自动作图</a:t>
                </a:r>
                <a:endParaRPr lang="zh-CN" altLang="en-US" sz="1100" b="0" i="0" u="none" strike="noStrike" baseline="0">
                  <a:solidFill>
                    <a:srgbClr val="000000"/>
                  </a:solidFill>
                  <a:latin typeface="等线" panose="02010600030101010101" charset="-122"/>
                  <a:ea typeface="等线" panose="02010600030101010101" charset="-122"/>
                </a:endParaRPr>
              </a:p>
            </xdr:txBody>
          </xdr:sp>
        </mc:Choice>
        <mc:Fallback/>
      </mc:AlternateContent>
      <mc:AlternateContent xmlns:mc="http://schemas.openxmlformats.org/markup-compatibility/2006">
        <mc:Choice xmlns:a14="http://schemas.microsoft.com/office/drawing/2010/main" Requires="a14">
          <xdr:sp macro="[0]!DeleteAllCharts">
            <xdr:nvSpPr>
              <xdr:cNvPr id="1028" name="Button 4" hidden="1">
                <a:extLst>
                  <a:ext uri="{63B3BB69-23CF-44E3-9099-C40C66FF867C}">
                    <a14:compatExt spid="_x0000_s1028"/>
                  </a:ext>
                </a:extLst>
              </xdr:cNvPr>
              <xdr:cNvSpPr/>
            </xdr:nvSpPr>
            <xdr:spPr>
              <a:xfrm>
                <a:off x="11010900" y="2676524"/>
                <a:ext cx="1381125" cy="295275"/>
              </a:xfrm>
              <a:prstGeom prst="rect">
                <a:avLst/>
              </a:prstGeom>
            </xdr:spPr>
            <xdr:txBody>
              <a:bodyPr vertOverflow="clip" wrap="square" lIns="27432" tIns="18288" rIns="27432" bIns="18288" anchor="ctr" upright="1"/>
              <a:lstStyle/>
              <a:p>
                <a:pPr algn="ctr" rtl="0">
                  <a:defRPr sz="1000"/>
                </a:pPr>
                <a:r>
                  <a:rPr lang="zh-CN" altLang="en-US" sz="1100" b="0" i="0" u="none" strike="noStrike" baseline="0">
                    <a:solidFill>
                      <a:srgbClr val="000000"/>
                    </a:solidFill>
                    <a:latin typeface="宋体" panose="02010600030101010101" pitchFamily="7" charset="-122"/>
                    <a:ea typeface="宋体" panose="02010600030101010101" pitchFamily="7" charset="-122"/>
                  </a:rPr>
                  <a:t>删除本页所有图表</a:t>
                </a:r>
                <a:endParaRPr lang="zh-CN" altLang="en-US" sz="1100" b="0" i="0" u="none" strike="noStrike" baseline="0">
                  <a:solidFill>
                    <a:srgbClr val="000000"/>
                  </a:solidFill>
                  <a:latin typeface="宋体" panose="02010600030101010101" pitchFamily="7" charset="-122"/>
                  <a:ea typeface="宋体" panose="02010600030101010101" pitchFamily="7" charset="-122"/>
                </a:endParaRPr>
              </a:p>
            </xdr:txBody>
          </xdr:sp>
        </mc:Choice>
        <mc:Fallback/>
      </mc:AlternateContent>
      <mc:AlternateContent xmlns:mc="http://schemas.openxmlformats.org/markup-compatibility/2006">
        <mc:Choice xmlns:a14="http://schemas.microsoft.com/office/drawing/2010/main" Requires="a14">
          <xdr:sp macro="[0]!DispDataClear">
            <xdr:nvSpPr>
              <xdr:cNvPr id="1029" name="Button 5" hidden="1">
                <a:extLst>
                  <a:ext uri="{63B3BB69-23CF-44E3-9099-C40C66FF867C}">
                    <a14:compatExt spid="_x0000_s1029"/>
                  </a:ext>
                </a:extLst>
              </xdr:cNvPr>
              <xdr:cNvSpPr/>
            </xdr:nvSpPr>
            <xdr:spPr>
              <a:xfrm>
                <a:off x="10991850" y="1781175"/>
                <a:ext cx="1152525" cy="276225"/>
              </a:xfrm>
              <a:prstGeom prst="rect">
                <a:avLst/>
              </a:prstGeom>
            </xdr:spPr>
            <xdr:txBody>
              <a:bodyPr vertOverflow="clip" wrap="square" lIns="27432" tIns="22860" rIns="27432" bIns="22860" anchor="ctr" upright="1"/>
              <a:lstStyle/>
              <a:p>
                <a:pPr algn="ctr" rtl="0">
                  <a:defRPr sz="1000"/>
                </a:pPr>
                <a:r>
                  <a:rPr lang="zh-CN" altLang="en-US" sz="1100" b="0" i="0" u="none" strike="noStrike" baseline="0">
                    <a:solidFill>
                      <a:srgbClr val="000000"/>
                    </a:solidFill>
                    <a:latin typeface="等线" panose="02010600030101010101" charset="-122"/>
                    <a:ea typeface="等线" panose="02010600030101010101" charset="-122"/>
                  </a:rPr>
                  <a:t>清空输入数据</a:t>
                </a:r>
                <a:endParaRPr lang="zh-CN" altLang="en-US" sz="1100" b="0" i="0" u="none" strike="noStrike" baseline="0">
                  <a:solidFill>
                    <a:srgbClr val="000000"/>
                  </a:solidFill>
                  <a:latin typeface="等线" panose="02010600030101010101" charset="-122"/>
                  <a:ea typeface="等线" panose="02010600030101010101" charset="-122"/>
                </a:endParaRPr>
              </a:p>
            </xdr:txBody>
          </xdr:sp>
        </mc:Choice>
        <mc:Fallback/>
      </mc:AlternateContent>
      <mc:AlternateContent xmlns:mc="http://schemas.openxmlformats.org/markup-compatibility/2006">
        <mc:Choice xmlns:a14="http://schemas.microsoft.com/office/drawing/2010/main" Requires="a14">
          <xdr:sp>
            <xdr:nvSpPr>
              <xdr:cNvPr id="1030" name="Group Box 6" hidden="1">
                <a:extLst>
                  <a:ext uri="{63B3BB69-23CF-44E3-9099-C40C66FF867C}">
                    <a14:compatExt spid="_x0000_s1030"/>
                  </a:ext>
                </a:extLst>
              </xdr:cNvPr>
              <xdr:cNvSpPr/>
            </xdr:nvSpPr>
            <xdr:spPr>
              <a:xfrm>
                <a:off x="10801350" y="1590673"/>
                <a:ext cx="2847975" cy="2038351"/>
              </a:xfrm>
              <a:prstGeom prst="rect">
                <a:avLst/>
              </a:prstGeom>
            </xdr:spPr>
            <xdr:txBody>
              <a:bodyPr vertOverflow="clip" wrap="none" lIns="27432" tIns="32004" rIns="0" bIns="0" anchor="t" upright="1"/>
              <a:lstStyle/>
              <a:p>
                <a:pPr algn="l" rtl="0">
                  <a:defRPr sz="1000"/>
                </a:pPr>
                <a:r>
                  <a:rPr lang="zh-CN" altLang="en-US" sz="900" b="0" i="0" u="none" strike="noStrike" baseline="0">
                    <a:solidFill>
                      <a:srgbClr val="000000"/>
                    </a:solidFill>
                    <a:latin typeface="Microsoft YaHei UI" panose="020B0503020204020204" charset="-122"/>
                    <a:ea typeface="Microsoft YaHei UI" panose="020B0503020204020204" charset="-122"/>
                  </a:rPr>
                  <a:t>挠度功能区</a:t>
                </a:r>
                <a:endParaRPr lang="zh-CN" altLang="en-US" sz="900" b="0" i="0" u="none" strike="noStrike" baseline="0">
                  <a:solidFill>
                    <a:srgbClr val="000000"/>
                  </a:solidFill>
                  <a:latin typeface="Microsoft YaHei UI" panose="020B0503020204020204" charset="-122"/>
                  <a:ea typeface="Microsoft YaHei UI" panose="020B0503020204020204" charset="-122"/>
                </a:endParaRPr>
              </a:p>
            </xdr:txBody>
          </xdr:sp>
        </mc:Choice>
        <mc:Fallback/>
      </mc:AlternateContent>
    </xdr:grpSp>
    <xdr:clientData/>
  </xdr:twoCellAnchor>
  <xdr:twoCellAnchor>
    <xdr:from>
      <xdr:col>15</xdr:col>
      <xdr:colOff>208915</xdr:colOff>
      <xdr:row>33</xdr:row>
      <xdr:rowOff>123825</xdr:rowOff>
    </xdr:from>
    <xdr:to>
      <xdr:col>20</xdr:col>
      <xdr:colOff>533400</xdr:colOff>
      <xdr:row>43</xdr:row>
      <xdr:rowOff>0</xdr:rowOff>
    </xdr:to>
    <xdr:sp>
      <xdr:nvSpPr>
        <xdr:cNvPr id="6" name="文本框 5"/>
        <xdr:cNvSpPr txBox="1"/>
      </xdr:nvSpPr>
      <xdr:spPr>
        <a:xfrm>
          <a:off x="10714990" y="6505575"/>
          <a:ext cx="3782060" cy="1876425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zh-CN" altLang="en-US" sz="1100"/>
            <a:t>使用说明：</a:t>
          </a:r>
          <a:endParaRPr lang="en-US" altLang="zh-CN" sz="1100"/>
        </a:p>
        <a:p>
          <a:r>
            <a:rPr lang="en-US" altLang="zh-CN" sz="1100"/>
            <a:t>1</a:t>
          </a:r>
          <a:r>
            <a:rPr lang="zh-CN" altLang="en-US" sz="1100"/>
            <a:t>、输入组数、各组测点数（不超过</a:t>
          </a:r>
          <a:r>
            <a:rPr lang="en-US" altLang="zh-CN" sz="1100"/>
            <a:t>10</a:t>
          </a:r>
          <a:r>
            <a:rPr lang="zh-CN" altLang="en-US" sz="1100">
              <a:ea typeface="宋体" panose="02010600030101010101" pitchFamily="7" charset="-122"/>
            </a:rPr>
            <a:t>组</a:t>
          </a:r>
          <a:r>
            <a:rPr lang="zh-CN" altLang="en-US" sz="1100"/>
            <a:t>）；</a:t>
          </a:r>
          <a:endParaRPr lang="en-US" altLang="zh-CN" sz="1100"/>
        </a:p>
        <a:p>
          <a:r>
            <a:rPr lang="en-US" altLang="zh-CN" sz="1100" b="0" i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2</a:t>
          </a:r>
          <a:r>
            <a:rPr lang="zh-CN" altLang="en-US" sz="1100" b="0" i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、</a:t>
          </a:r>
          <a:r>
            <a:rPr lang="zh-CN" altLang="zh-CN" sz="1100" b="0" i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报告工况指报告中对应的工况号</a:t>
          </a:r>
          <a:r>
            <a:rPr lang="zh-CN" altLang="zh-CN" sz="110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 （如连续梁桥工况</a:t>
          </a:r>
          <a:r>
            <a:rPr lang="en-US" altLang="zh-CN" sz="110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1</a:t>
          </a:r>
          <a:r>
            <a:rPr lang="zh-CN" altLang="en-US" sz="1100">
              <a:solidFill>
                <a:schemeClr val="dk1"/>
              </a:solidFill>
              <a:effectLst/>
              <a:latin typeface="+mn-lt"/>
              <a:ea typeface="宋体" panose="02010600030101010101" pitchFamily="7" charset="-122"/>
              <a:cs typeface="+mn-cs"/>
            </a:rPr>
            <a:t>分别测试</a:t>
          </a:r>
          <a:r>
            <a:rPr lang="en-US" altLang="zh-CN" sz="1100">
              <a:solidFill>
                <a:schemeClr val="dk1"/>
              </a:solidFill>
              <a:effectLst/>
              <a:latin typeface="+mn-lt"/>
              <a:ea typeface="宋体" panose="02010600030101010101" pitchFamily="7" charset="-122"/>
              <a:cs typeface="+mn-cs"/>
            </a:rPr>
            <a:t>A</a:t>
          </a:r>
          <a:r>
            <a:rPr lang="zh-CN" altLang="en-US" sz="1100">
              <a:solidFill>
                <a:schemeClr val="dk1"/>
              </a:solidFill>
              <a:effectLst/>
              <a:latin typeface="+mn-lt"/>
              <a:ea typeface="宋体" panose="02010600030101010101" pitchFamily="7" charset="-122"/>
              <a:cs typeface="+mn-cs"/>
            </a:rPr>
            <a:t>（第</a:t>
          </a:r>
          <a:r>
            <a:rPr lang="en-US" altLang="zh-CN" sz="1100">
              <a:solidFill>
                <a:schemeClr val="dk1"/>
              </a:solidFill>
              <a:effectLst/>
              <a:latin typeface="+mn-lt"/>
              <a:ea typeface="宋体" panose="02010600030101010101" pitchFamily="7" charset="-122"/>
              <a:cs typeface="+mn-cs"/>
            </a:rPr>
            <a:t>1</a:t>
          </a:r>
          <a:r>
            <a:rPr lang="zh-CN" altLang="en-US" sz="1100">
              <a:solidFill>
                <a:schemeClr val="dk1"/>
              </a:solidFill>
              <a:effectLst/>
              <a:latin typeface="+mn-lt"/>
              <a:ea typeface="宋体" panose="02010600030101010101" pitchFamily="7" charset="-122"/>
              <a:cs typeface="+mn-cs"/>
            </a:rPr>
            <a:t>组）、</a:t>
          </a:r>
          <a:r>
            <a:rPr lang="en-US" altLang="zh-CN" sz="1100">
              <a:solidFill>
                <a:schemeClr val="dk1"/>
              </a:solidFill>
              <a:effectLst/>
              <a:latin typeface="+mn-lt"/>
              <a:ea typeface="宋体" panose="02010600030101010101" pitchFamily="7" charset="-122"/>
              <a:cs typeface="+mn-cs"/>
            </a:rPr>
            <a:t>B</a:t>
          </a:r>
          <a:r>
            <a:rPr lang="zh-CN" altLang="en-US" sz="1100">
              <a:solidFill>
                <a:schemeClr val="dk1"/>
              </a:solidFill>
              <a:effectLst/>
              <a:latin typeface="+mn-lt"/>
              <a:ea typeface="宋体" panose="02010600030101010101" pitchFamily="7" charset="-122"/>
              <a:cs typeface="+mn-cs"/>
            </a:rPr>
            <a:t>（第</a:t>
          </a:r>
          <a:r>
            <a:rPr lang="en-US" altLang="zh-CN" sz="1100">
              <a:solidFill>
                <a:schemeClr val="dk1"/>
              </a:solidFill>
              <a:effectLst/>
              <a:latin typeface="+mn-lt"/>
              <a:ea typeface="宋体" panose="02010600030101010101" pitchFamily="7" charset="-122"/>
              <a:cs typeface="+mn-cs"/>
            </a:rPr>
            <a:t>2</a:t>
          </a:r>
          <a:r>
            <a:rPr lang="zh-CN" altLang="en-US" sz="1100">
              <a:solidFill>
                <a:schemeClr val="dk1"/>
              </a:solidFill>
              <a:effectLst/>
              <a:latin typeface="+mn-lt"/>
              <a:ea typeface="宋体" panose="02010600030101010101" pitchFamily="7" charset="-122"/>
              <a:cs typeface="+mn-cs"/>
            </a:rPr>
            <a:t>组）截面，工况</a:t>
          </a:r>
          <a:r>
            <a:rPr lang="en-US" altLang="zh-CN" sz="1100">
              <a:solidFill>
                <a:schemeClr val="dk1"/>
              </a:solidFill>
              <a:effectLst/>
              <a:latin typeface="+mn-lt"/>
              <a:ea typeface="宋体" panose="02010600030101010101" pitchFamily="7" charset="-122"/>
              <a:cs typeface="+mn-cs"/>
            </a:rPr>
            <a:t>2</a:t>
          </a:r>
          <a:r>
            <a:rPr lang="zh-CN" altLang="en-US" sz="1100">
              <a:solidFill>
                <a:schemeClr val="dk1"/>
              </a:solidFill>
              <a:effectLst/>
              <a:latin typeface="+mn-lt"/>
              <a:ea typeface="宋体" panose="02010600030101010101" pitchFamily="7" charset="-122"/>
              <a:cs typeface="+mn-cs"/>
            </a:rPr>
            <a:t>测试</a:t>
          </a:r>
          <a:r>
            <a:rPr lang="en-US" altLang="zh-CN" sz="1100">
              <a:solidFill>
                <a:schemeClr val="dk1"/>
              </a:solidFill>
              <a:effectLst/>
              <a:latin typeface="+mn-lt"/>
              <a:ea typeface="宋体" panose="02010600030101010101" pitchFamily="7" charset="-122"/>
              <a:cs typeface="+mn-cs"/>
            </a:rPr>
            <a:t>C</a:t>
          </a:r>
          <a:r>
            <a:rPr lang="zh-CN" altLang="en-US" sz="1100">
              <a:solidFill>
                <a:schemeClr val="dk1"/>
              </a:solidFill>
              <a:effectLst/>
              <a:latin typeface="+mn-lt"/>
              <a:ea typeface="宋体" panose="02010600030101010101" pitchFamily="7" charset="-122"/>
              <a:cs typeface="+mn-cs"/>
            </a:rPr>
            <a:t>（第</a:t>
          </a:r>
          <a:r>
            <a:rPr lang="en-US" altLang="zh-CN" sz="1100">
              <a:solidFill>
                <a:schemeClr val="dk1"/>
              </a:solidFill>
              <a:effectLst/>
              <a:latin typeface="+mn-lt"/>
              <a:ea typeface="宋体" panose="02010600030101010101" pitchFamily="7" charset="-122"/>
              <a:cs typeface="+mn-cs"/>
            </a:rPr>
            <a:t>3</a:t>
          </a:r>
          <a:r>
            <a:rPr lang="zh-CN" altLang="en-US" sz="1100">
              <a:solidFill>
                <a:schemeClr val="dk1"/>
              </a:solidFill>
              <a:effectLst/>
              <a:latin typeface="+mn-lt"/>
              <a:ea typeface="宋体" panose="02010600030101010101" pitchFamily="7" charset="-122"/>
              <a:cs typeface="+mn-cs"/>
            </a:rPr>
            <a:t>组）截面，则第</a:t>
          </a:r>
          <a:r>
            <a:rPr lang="en-US" altLang="zh-CN" sz="1100">
              <a:solidFill>
                <a:schemeClr val="dk1"/>
              </a:solidFill>
              <a:effectLst/>
              <a:latin typeface="+mn-lt"/>
              <a:ea typeface="宋体" panose="02010600030101010101" pitchFamily="7" charset="-122"/>
              <a:cs typeface="+mn-cs"/>
            </a:rPr>
            <a:t>1</a:t>
          </a:r>
          <a:r>
            <a:rPr lang="zh-CN" altLang="en-US" sz="1100">
              <a:solidFill>
                <a:schemeClr val="dk1"/>
              </a:solidFill>
              <a:effectLst/>
              <a:latin typeface="+mn-lt"/>
              <a:ea typeface="宋体" panose="02010600030101010101" pitchFamily="7" charset="-122"/>
              <a:cs typeface="+mn-cs"/>
            </a:rPr>
            <a:t>、</a:t>
          </a:r>
          <a:r>
            <a:rPr lang="en-US" altLang="zh-CN" sz="1100">
              <a:solidFill>
                <a:schemeClr val="dk1"/>
              </a:solidFill>
              <a:effectLst/>
              <a:latin typeface="+mn-lt"/>
              <a:ea typeface="宋体" panose="02010600030101010101" pitchFamily="7" charset="-122"/>
              <a:cs typeface="+mn-cs"/>
            </a:rPr>
            <a:t>2</a:t>
          </a:r>
          <a:r>
            <a:rPr lang="zh-CN" altLang="en-US" sz="1100">
              <a:solidFill>
                <a:schemeClr val="dk1"/>
              </a:solidFill>
              <a:effectLst/>
              <a:latin typeface="+mn-lt"/>
              <a:ea typeface="宋体" panose="02010600030101010101" pitchFamily="7" charset="-122"/>
              <a:cs typeface="+mn-cs"/>
            </a:rPr>
            <a:t>组报告工况分别填</a:t>
          </a:r>
          <a:r>
            <a:rPr lang="en-US" altLang="zh-CN" sz="1100">
              <a:solidFill>
                <a:schemeClr val="dk1"/>
              </a:solidFill>
              <a:effectLst/>
              <a:latin typeface="+mn-lt"/>
              <a:ea typeface="宋体" panose="02010600030101010101" pitchFamily="7" charset="-122"/>
              <a:cs typeface="+mn-cs"/>
            </a:rPr>
            <a:t>1</a:t>
          </a:r>
          <a:r>
            <a:rPr lang="zh-CN" altLang="en-US" sz="1100">
              <a:solidFill>
                <a:schemeClr val="dk1"/>
              </a:solidFill>
              <a:effectLst/>
              <a:latin typeface="+mn-lt"/>
              <a:ea typeface="宋体" panose="02010600030101010101" pitchFamily="7" charset="-122"/>
              <a:cs typeface="+mn-cs"/>
            </a:rPr>
            <a:t>，第</a:t>
          </a:r>
          <a:r>
            <a:rPr lang="en-US" altLang="zh-CN" sz="1100">
              <a:solidFill>
                <a:schemeClr val="dk1"/>
              </a:solidFill>
              <a:effectLst/>
              <a:latin typeface="+mn-lt"/>
              <a:ea typeface="宋体" panose="02010600030101010101" pitchFamily="7" charset="-122"/>
              <a:cs typeface="+mn-cs"/>
            </a:rPr>
            <a:t>3</a:t>
          </a:r>
          <a:r>
            <a:rPr lang="zh-CN" altLang="en-US" sz="1100">
              <a:solidFill>
                <a:schemeClr val="dk1"/>
              </a:solidFill>
              <a:effectLst/>
              <a:latin typeface="+mn-lt"/>
              <a:ea typeface="宋体" panose="02010600030101010101" pitchFamily="7" charset="-122"/>
              <a:cs typeface="+mn-cs"/>
            </a:rPr>
            <a:t>组报告工况填</a:t>
          </a:r>
          <a:r>
            <a:rPr lang="en-US" altLang="zh-CN" sz="1100">
              <a:solidFill>
                <a:schemeClr val="dk1"/>
              </a:solidFill>
              <a:effectLst/>
              <a:latin typeface="+mn-lt"/>
              <a:ea typeface="宋体" panose="02010600030101010101" pitchFamily="7" charset="-122"/>
              <a:cs typeface="+mn-cs"/>
            </a:rPr>
            <a:t>2</a:t>
          </a:r>
          <a:r>
            <a:rPr lang="zh-CN" altLang="en-US" sz="1100">
              <a:solidFill>
                <a:schemeClr val="dk1"/>
              </a:solidFill>
              <a:effectLst/>
              <a:latin typeface="+mn-lt"/>
              <a:ea typeface="宋体" panose="02010600030101010101" pitchFamily="7" charset="-122"/>
              <a:cs typeface="+mn-cs"/>
            </a:rPr>
            <a:t>）</a:t>
          </a:r>
          <a:r>
            <a:rPr lang="zh-CN" altLang="en-US" sz="110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；</a:t>
          </a:r>
          <a:endParaRPr lang="zh-CN" altLang="en-US" sz="1100">
            <a:solidFill>
              <a:schemeClr val="dk1"/>
            </a:solidFill>
            <a:effectLst/>
            <a:latin typeface="+mn-lt"/>
            <a:ea typeface="+mn-ea"/>
            <a:cs typeface="+mn-cs"/>
          </a:endParaRPr>
        </a:p>
        <a:p>
          <a:r>
            <a:rPr lang="en-US" altLang="zh-CN" sz="1100"/>
            <a:t>3</a:t>
          </a:r>
          <a:r>
            <a:rPr lang="zh-CN" altLang="en-US" sz="1100"/>
            <a:t>、测点编号以字母开头；</a:t>
          </a:r>
          <a:endParaRPr lang="zh-CN" altLang="en-US" sz="1100"/>
        </a:p>
        <a:p>
          <a:r>
            <a:rPr lang="en-US" altLang="zh-CN" sz="1100"/>
            <a:t>4</a:t>
          </a:r>
          <a:r>
            <a:rPr lang="zh-CN" altLang="en-US" sz="1100"/>
            <a:t>、位移单位为</a:t>
          </a:r>
          <a:r>
            <a:rPr lang="en-US" altLang="zh-CN" sz="1100"/>
            <a:t>mm</a:t>
          </a:r>
          <a:r>
            <a:rPr lang="zh-CN" altLang="en-US" sz="1100">
              <a:ea typeface="宋体" panose="02010600030101010101" pitchFamily="7" charset="-122"/>
            </a:rPr>
            <a:t>；</a:t>
          </a:r>
          <a:endParaRPr lang="en-US" altLang="zh-CN" sz="1100"/>
        </a:p>
        <a:p>
          <a:r>
            <a:rPr lang="en-US" altLang="zh-CN" sz="1100"/>
            <a:t>5</a:t>
          </a:r>
          <a:r>
            <a:rPr lang="zh-CN" altLang="en-US" sz="1100"/>
            <a:t>、挠度理论值程序取</a:t>
          </a:r>
          <a:r>
            <a:rPr lang="en-US" altLang="zh-CN" sz="1100"/>
            <a:t>2</a:t>
          </a:r>
          <a:r>
            <a:rPr lang="zh-CN" altLang="en-US" sz="1100"/>
            <a:t>位小数运算（四舍五入）；</a:t>
          </a:r>
          <a:endParaRPr lang="zh-CN" altLang="en-US" sz="1100"/>
        </a:p>
      </xdr:txBody>
    </xdr:sp>
    <xdr:clientData/>
  </xdr:twoCellAnchor>
  <xdr:twoCellAnchor>
    <xdr:from>
      <xdr:col>7</xdr:col>
      <xdr:colOff>247015</xdr:colOff>
      <xdr:row>33</xdr:row>
      <xdr:rowOff>152400</xdr:rowOff>
    </xdr:from>
    <xdr:to>
      <xdr:col>13</xdr:col>
      <xdr:colOff>8890</xdr:colOff>
      <xdr:row>42</xdr:row>
      <xdr:rowOff>28575</xdr:rowOff>
    </xdr:to>
    <xdr:sp>
      <xdr:nvSpPr>
        <xdr:cNvPr id="10" name="文本框 9"/>
        <xdr:cNvSpPr txBox="1"/>
      </xdr:nvSpPr>
      <xdr:spPr>
        <a:xfrm>
          <a:off x="5266690" y="6534150"/>
          <a:ext cx="3876675" cy="1676400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zh-CN" altLang="en-US" sz="1100"/>
            <a:t>操作步骤：</a:t>
          </a:r>
          <a:endParaRPr lang="en-US" altLang="zh-CN" sz="1100"/>
        </a:p>
        <a:p>
          <a:r>
            <a:rPr lang="en-US" altLang="zh-CN" sz="1100"/>
            <a:t>1</a:t>
          </a:r>
          <a:r>
            <a:rPr lang="zh-CN" altLang="en-US" sz="1100"/>
            <a:t>、点击“清空数据数据”；</a:t>
          </a:r>
          <a:endParaRPr lang="en-US" altLang="zh-CN" sz="1100"/>
        </a:p>
        <a:p>
          <a:r>
            <a:rPr lang="en-US" altLang="zh-CN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2</a:t>
          </a:r>
          <a:r>
            <a:rPr lang="zh-CN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、填写挠度组数，各组测点数以及对应报告工况，点击“生成输入行”；</a:t>
          </a:r>
          <a:endParaRPr lang="en-US" altLang="zh-CN" sz="1100" b="0" i="0" u="none" strike="noStrike">
            <a:solidFill>
              <a:schemeClr val="dk1"/>
            </a:solidFill>
            <a:effectLst/>
            <a:latin typeface="+mn-lt"/>
            <a:ea typeface="+mn-ea"/>
            <a:cs typeface="+mn-cs"/>
          </a:endParaRPr>
        </a:p>
        <a:p>
          <a:r>
            <a:rPr lang="en-US" altLang="zh-CN" sz="1100" b="0" i="0" u="none" strike="noStrike">
              <a:solidFill>
                <a:srgbClr val="FF0000"/>
              </a:solidFill>
              <a:effectLst/>
              <a:latin typeface="+mn-lt"/>
              <a:ea typeface="+mn-ea"/>
              <a:cs typeface="+mn-cs"/>
            </a:rPr>
            <a:t>3</a:t>
          </a:r>
          <a:r>
            <a:rPr lang="zh-CN" altLang="en-US" sz="1100" b="0" i="0" u="none" strike="noStrike">
              <a:solidFill>
                <a:srgbClr val="FF0000"/>
              </a:solidFill>
              <a:effectLst/>
              <a:latin typeface="+mn-lt"/>
              <a:ea typeface="+mn-ea"/>
              <a:cs typeface="+mn-cs"/>
            </a:rPr>
            <a:t>、请填写绿色列内容（工况除外）；</a:t>
          </a:r>
          <a:r>
            <a:rPr lang="zh-CN" altLang="en-US">
              <a:solidFill>
                <a:srgbClr val="FF0000"/>
              </a:solidFill>
            </a:rPr>
            <a:t> </a:t>
          </a:r>
          <a:endParaRPr lang="en-US" altLang="zh-CN">
            <a:solidFill>
              <a:srgbClr val="FF0000"/>
            </a:solidFill>
          </a:endParaRPr>
        </a:p>
        <a:p>
          <a:r>
            <a:rPr lang="en-US" altLang="zh-CN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4</a:t>
          </a:r>
          <a:r>
            <a:rPr lang="zh-CN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、点击“自动计算”；</a:t>
          </a:r>
          <a:endParaRPr lang="en-US" altLang="zh-CN" sz="1100" b="0" i="0" u="none" strike="noStrike">
            <a:solidFill>
              <a:schemeClr val="dk1"/>
            </a:solidFill>
            <a:effectLst/>
            <a:latin typeface="+mn-lt"/>
            <a:ea typeface="+mn-ea"/>
            <a:cs typeface="+mn-cs"/>
          </a:endParaRPr>
        </a:p>
        <a:p>
          <a:r>
            <a:rPr lang="en-US" altLang="zh-CN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5</a:t>
          </a:r>
          <a:r>
            <a:rPr lang="zh-CN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、点击“自动作图”。</a:t>
          </a:r>
          <a:endParaRPr lang="zh-CN" altLang="en-US" sz="1100"/>
        </a:p>
      </xdr:txBody>
    </xdr:sp>
    <xdr:clientData/>
  </xdr:twoCellAnchor>
  <xdr:twoCellAnchor>
    <xdr:from>
      <xdr:col>12</xdr:col>
      <xdr:colOff>352425</xdr:colOff>
      <xdr:row>5</xdr:row>
      <xdr:rowOff>152400</xdr:rowOff>
    </xdr:from>
    <xdr:to>
      <xdr:col>15</xdr:col>
      <xdr:colOff>647700</xdr:colOff>
      <xdr:row>9</xdr:row>
      <xdr:rowOff>38100</xdr:rowOff>
    </xdr:to>
    <xdr:sp>
      <xdr:nvSpPr>
        <xdr:cNvPr id="26" name="文本框 25"/>
        <xdr:cNvSpPr txBox="1"/>
      </xdr:nvSpPr>
      <xdr:spPr>
        <a:xfrm>
          <a:off x="8801100" y="1057275"/>
          <a:ext cx="2352675" cy="609600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>
          <a:noAutofit/>
        </a:bodyPr>
        <a:p>
          <a:pPr algn="l"/>
          <a:r>
            <a:rPr lang="zh-CN" altLang="en-US" sz="1100">
              <a:solidFill>
                <a:srgbClr val="FF0000"/>
              </a:solidFill>
              <a:ea typeface="宋体" panose="02010600030101010101" pitchFamily="7" charset="-122"/>
            </a:rPr>
            <a:t>提示：若作图结果不正确，请尝试再点击一次</a:t>
          </a:r>
          <a:r>
            <a:rPr lang="en-US" altLang="zh-CN" sz="1100">
              <a:solidFill>
                <a:srgbClr val="FF0000"/>
              </a:solidFill>
              <a:ea typeface="宋体" panose="02010600030101010101" pitchFamily="7" charset="-122"/>
            </a:rPr>
            <a:t>“</a:t>
          </a:r>
          <a:r>
            <a:rPr lang="zh-CN" altLang="en-US" sz="1100">
              <a:solidFill>
                <a:srgbClr val="FF0000"/>
              </a:solidFill>
              <a:ea typeface="宋体" panose="02010600030101010101" pitchFamily="7" charset="-122"/>
            </a:rPr>
            <a:t>自动作图</a:t>
          </a:r>
          <a:r>
            <a:rPr lang="en-US" altLang="zh-CN" sz="1100">
              <a:solidFill>
                <a:srgbClr val="FF0000"/>
              </a:solidFill>
              <a:ea typeface="宋体" panose="02010600030101010101" pitchFamily="7" charset="-122"/>
            </a:rPr>
            <a:t>”</a:t>
          </a:r>
          <a:r>
            <a:rPr lang="zh-CN" altLang="en-US" sz="1100">
              <a:solidFill>
                <a:srgbClr val="FF0000"/>
              </a:solidFill>
              <a:ea typeface="宋体" panose="02010600030101010101" pitchFamily="7" charset="-122"/>
            </a:rPr>
            <a:t>（</a:t>
          </a:r>
          <a:r>
            <a:rPr lang="en-US" altLang="zh-CN" sz="1100">
              <a:solidFill>
                <a:srgbClr val="FF0000"/>
              </a:solidFill>
              <a:ea typeface="宋体" panose="02010600030101010101" pitchFamily="7" charset="-122"/>
            </a:rPr>
            <a:t>WPS bug</a:t>
          </a:r>
          <a:r>
            <a:rPr lang="zh-CN" altLang="en-US" sz="1100">
              <a:solidFill>
                <a:srgbClr val="FF0000"/>
              </a:solidFill>
              <a:ea typeface="宋体" panose="02010600030101010101" pitchFamily="7" charset="-122"/>
            </a:rPr>
            <a:t>）</a:t>
          </a:r>
          <a:endParaRPr lang="zh-CN" altLang="en-US" sz="1100">
            <a:solidFill>
              <a:srgbClr val="FF0000"/>
            </a:solidFill>
            <a:ea typeface="宋体" panose="02010600030101010101" pitchFamily="7" charset="-122"/>
          </a:endParaRPr>
        </a:p>
      </xdr:txBody>
    </xdr:sp>
    <xdr:clientData/>
  </xdr:twoCellAnchor>
  <xdr:twoCellAnchor>
    <xdr:from>
      <xdr:col>25</xdr:col>
      <xdr:colOff>95250</xdr:colOff>
      <xdr:row>4</xdr:row>
      <xdr:rowOff>161925</xdr:rowOff>
    </xdr:from>
    <xdr:to>
      <xdr:col>31</xdr:col>
      <xdr:colOff>685165</xdr:colOff>
      <xdr:row>31</xdr:row>
      <xdr:rowOff>135255</xdr:rowOff>
    </xdr:to>
    <xdr:pic>
      <xdr:nvPicPr>
        <xdr:cNvPr id="12" name="图片 11"/>
        <xdr:cNvPicPr>
          <a:picLocks noChangeAspect="1"/>
        </xdr:cNvPicPr>
      </xdr:nvPicPr>
      <xdr:blipFill>
        <a:blip r:embed="rId3"/>
        <a:stretch>
          <a:fillRect/>
        </a:stretch>
      </xdr:blipFill>
      <xdr:spPr>
        <a:xfrm>
          <a:off x="17487900" y="885825"/>
          <a:ext cx="4733290" cy="5231130"/>
        </a:xfrm>
        <a:prstGeom prst="rect">
          <a:avLst/>
        </a:prstGeom>
        <a:noFill/>
        <a:ln w="9525">
          <a:noFill/>
        </a:ln>
      </xdr:spPr>
    </xdr:pic>
    <xdr:clientData/>
  </xdr:twoCellAnchor>
  <xdr:twoCellAnchor>
    <xdr:from>
      <xdr:col>25</xdr:col>
      <xdr:colOff>133350</xdr:colOff>
      <xdr:row>33</xdr:row>
      <xdr:rowOff>47625</xdr:rowOff>
    </xdr:from>
    <xdr:to>
      <xdr:col>32</xdr:col>
      <xdr:colOff>86995</xdr:colOff>
      <xdr:row>56</xdr:row>
      <xdr:rowOff>152400</xdr:rowOff>
    </xdr:to>
    <xdr:pic>
      <xdr:nvPicPr>
        <xdr:cNvPr id="13" name="图片 12"/>
        <xdr:cNvPicPr>
          <a:picLocks noChangeAspect="1"/>
        </xdr:cNvPicPr>
      </xdr:nvPicPr>
      <xdr:blipFill>
        <a:blip r:embed="rId4"/>
        <a:stretch>
          <a:fillRect/>
        </a:stretch>
      </xdr:blipFill>
      <xdr:spPr>
        <a:xfrm>
          <a:off x="17526000" y="6429375"/>
          <a:ext cx="4782820" cy="4705350"/>
        </a:xfrm>
        <a:prstGeom prst="rect">
          <a:avLst/>
        </a:prstGeom>
        <a:noFill/>
        <a:ln w="9525">
          <a:noFill/>
        </a:ln>
      </xdr:spPr>
    </xdr:pic>
    <xdr:clientData/>
  </xdr:twoCellAnchor>
  <xdr:twoCellAnchor>
    <xdr:from>
      <xdr:col>7</xdr:col>
      <xdr:colOff>60325</xdr:colOff>
      <xdr:row>10</xdr:row>
      <xdr:rowOff>95250</xdr:rowOff>
    </xdr:from>
    <xdr:to>
      <xdr:col>13</xdr:col>
      <xdr:colOff>390525</xdr:colOff>
      <xdr:row>24</xdr:row>
      <xdr:rowOff>127000</xdr:rowOff>
    </xdr:to>
    <xdr:graphicFrame>
      <xdr:nvGraphicFramePr>
        <xdr:cNvPr id="17" name="图表 16"/>
        <xdr:cNvGraphicFramePr/>
      </xdr:nvGraphicFramePr>
      <xdr:xfrm>
        <a:off x="5080000" y="1905000"/>
        <a:ext cx="4445000" cy="279400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7</xdr:col>
      <xdr:colOff>60325</xdr:colOff>
      <xdr:row>27</xdr:row>
      <xdr:rowOff>25400</xdr:rowOff>
    </xdr:from>
    <xdr:to>
      <xdr:col>13</xdr:col>
      <xdr:colOff>390525</xdr:colOff>
      <xdr:row>41</xdr:row>
      <xdr:rowOff>19050</xdr:rowOff>
    </xdr:to>
    <xdr:graphicFrame>
      <xdr:nvGraphicFramePr>
        <xdr:cNvPr id="18" name="图表 17"/>
        <xdr:cNvGraphicFramePr/>
      </xdr:nvGraphicFramePr>
      <xdr:xfrm>
        <a:off x="5080000" y="5207000"/>
        <a:ext cx="4445000" cy="279400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4.xml><?xml version="1.0" encoding="utf-8"?>
<xdr:wsDr xmlns:xdr="http://schemas.openxmlformats.org/drawingml/2006/spreadsheetDrawing" xmlns:r="http://schemas.openxmlformats.org/officeDocument/2006/relationships" xmlns:a="http://schemas.openxmlformats.org/drawingml/2006/main">
  <xdr:twoCellAnchor>
    <xdr:from>
      <xdr:col>12</xdr:col>
      <xdr:colOff>0</xdr:colOff>
      <xdr:row>3</xdr:row>
      <xdr:rowOff>123825</xdr:rowOff>
    </xdr:from>
    <xdr:to>
      <xdr:col>16</xdr:col>
      <xdr:colOff>419100</xdr:colOff>
      <xdr:row>13</xdr:row>
      <xdr:rowOff>123825</xdr:rowOff>
    </xdr:to>
    <xdr:grpSp>
      <xdr:nvGrpSpPr>
        <xdr:cNvPr id="11" name="组合 10"/>
        <xdr:cNvGrpSpPr/>
      </xdr:nvGrpSpPr>
      <xdr:grpSpPr>
        <a:xfrm>
          <a:off x="8953500" y="666750"/>
          <a:ext cx="3162300" cy="1809750"/>
          <a:chOff x="7762875" y="619126"/>
          <a:chExt cx="3162300" cy="2019301"/>
        </a:xfrm>
      </xdr:grpSpPr>
      <mc:AlternateContent xmlns:mc="http://schemas.openxmlformats.org/markup-compatibility/2006">
        <mc:Choice xmlns:a14="http://schemas.microsoft.com/office/drawing/2010/main" Requires="a14">
          <xdr:sp macro="[0]!AutoStrain_Click">
            <xdr:nvSpPr>
              <xdr:cNvPr id="2049" name="Button 1" hidden="1">
                <a:extLst>
                  <a:ext uri="{63B3BB69-23CF-44E3-9099-C40C66FF867C}">
                    <a14:compatExt spid="_x0000_s2049"/>
                  </a:ext>
                </a:extLst>
              </xdr:cNvPr>
              <xdr:cNvSpPr/>
            </xdr:nvSpPr>
            <xdr:spPr>
              <a:xfrm>
                <a:off x="8058150" y="1352549"/>
                <a:ext cx="1047750" cy="333374"/>
              </a:xfrm>
              <a:prstGeom prst="rect">
                <a:avLst/>
              </a:prstGeom>
            </xdr:spPr>
            <xdr:txBody>
              <a:bodyPr vertOverflow="clip" wrap="square" lIns="27432" tIns="22860" rIns="27432" bIns="22860" anchor="ctr" upright="1"/>
              <a:lstStyle/>
              <a:p>
                <a:pPr algn="ctr" rtl="0">
                  <a:defRPr sz="1000"/>
                </a:pPr>
                <a:r>
                  <a:rPr lang="zh-CN" altLang="en-US" sz="1100" b="0" i="0" u="none" strike="noStrike" baseline="0">
                    <a:solidFill>
                      <a:srgbClr val="000000"/>
                    </a:solidFill>
                    <a:latin typeface="等线" panose="02010600030101010101" charset="-122"/>
                    <a:ea typeface="等线" panose="02010600030101010101" charset="-122"/>
                  </a:rPr>
                  <a:t>自动计算应变</a:t>
                </a:r>
                <a:endParaRPr lang="zh-CN" altLang="en-US" sz="1100" b="0" i="0" u="none" strike="noStrike" baseline="0">
                  <a:solidFill>
                    <a:srgbClr val="000000"/>
                  </a:solidFill>
                  <a:latin typeface="等线" panose="02010600030101010101" charset="-122"/>
                  <a:ea typeface="等线" panose="02010600030101010101" charset="-122"/>
                </a:endParaRPr>
              </a:p>
            </xdr:txBody>
          </xdr:sp>
        </mc:Choice>
        <mc:Fallback/>
      </mc:AlternateContent>
      <mc:AlternateContent xmlns:mc="http://schemas.openxmlformats.org/markup-compatibility/2006">
        <mc:Choice xmlns:a14="http://schemas.microsoft.com/office/drawing/2010/main" Requires="a14">
          <xdr:sp macro="[0]!GenerateStrainRows_Click">
            <xdr:nvSpPr>
              <xdr:cNvPr id="2050" name="Button 2" hidden="1">
                <a:extLst>
                  <a:ext uri="{63B3BB69-23CF-44E3-9099-C40C66FF867C}">
                    <a14:compatExt spid="_x0000_s2050"/>
                  </a:ext>
                </a:extLst>
              </xdr:cNvPr>
              <xdr:cNvSpPr/>
            </xdr:nvSpPr>
            <xdr:spPr>
              <a:xfrm>
                <a:off x="9486900" y="838199"/>
                <a:ext cx="962025" cy="295275"/>
              </a:xfrm>
              <a:prstGeom prst="rect">
                <a:avLst/>
              </a:prstGeom>
            </xdr:spPr>
            <xdr:txBody>
              <a:bodyPr vertOverflow="clip" wrap="square" lIns="27432" tIns="22860" rIns="27432" bIns="22860" anchor="ctr" upright="1"/>
              <a:lstStyle/>
              <a:p>
                <a:pPr algn="ctr" rtl="0">
                  <a:defRPr sz="1000"/>
                </a:pPr>
                <a:r>
                  <a:rPr lang="zh-CN" altLang="en-US" sz="1100" b="0" i="0" u="none" strike="noStrike" baseline="0">
                    <a:solidFill>
                      <a:srgbClr val="000000"/>
                    </a:solidFill>
                    <a:latin typeface="等线" panose="02010600030101010101" charset="-122"/>
                    <a:ea typeface="等线" panose="02010600030101010101" charset="-122"/>
                  </a:rPr>
                  <a:t>生成输入行</a:t>
                </a:r>
                <a:endParaRPr lang="zh-CN" altLang="en-US" sz="1100" b="0" i="0" u="none" strike="noStrike" baseline="0">
                  <a:solidFill>
                    <a:srgbClr val="000000"/>
                  </a:solidFill>
                  <a:latin typeface="等线" panose="02010600030101010101" charset="-122"/>
                  <a:ea typeface="等线" panose="02010600030101010101" charset="-122"/>
                </a:endParaRPr>
              </a:p>
            </xdr:txBody>
          </xdr:sp>
        </mc:Choice>
        <mc:Fallback/>
      </mc:AlternateContent>
      <mc:AlternateContent xmlns:mc="http://schemas.openxmlformats.org/markup-compatibility/2006">
        <mc:Choice xmlns:a14="http://schemas.microsoft.com/office/drawing/2010/main" Requires="a14">
          <xdr:sp macro="[0]!DeleteAllCharts">
            <xdr:nvSpPr>
              <xdr:cNvPr id="2051" name="Button 3" hidden="1">
                <a:extLst>
                  <a:ext uri="{63B3BB69-23CF-44E3-9099-C40C66FF867C}">
                    <a14:compatExt spid="_x0000_s2051"/>
                  </a:ext>
                </a:extLst>
              </xdr:cNvPr>
              <xdr:cNvSpPr/>
            </xdr:nvSpPr>
            <xdr:spPr>
              <a:xfrm>
                <a:off x="8067675" y="1905001"/>
                <a:ext cx="1314450" cy="333374"/>
              </a:xfrm>
              <a:prstGeom prst="rect">
                <a:avLst/>
              </a:prstGeom>
            </xdr:spPr>
            <xdr:txBody>
              <a:bodyPr vertOverflow="clip" wrap="square" lIns="27432" tIns="18288" rIns="27432" bIns="18288" anchor="ctr" upright="1"/>
              <a:lstStyle/>
              <a:p>
                <a:pPr algn="ctr" rtl="0">
                  <a:defRPr sz="1000"/>
                </a:pPr>
                <a:r>
                  <a:rPr lang="zh-CN" altLang="en-US" sz="1100" b="0" i="0" u="none" strike="noStrike" baseline="0">
                    <a:solidFill>
                      <a:srgbClr val="000000"/>
                    </a:solidFill>
                    <a:latin typeface="宋体" panose="02010600030101010101" pitchFamily="7" charset="-122"/>
                    <a:ea typeface="宋体" panose="02010600030101010101" pitchFamily="7" charset="-122"/>
                  </a:rPr>
                  <a:t>删除本页所有图表</a:t>
                </a:r>
                <a:endParaRPr lang="zh-CN" altLang="en-US" sz="1100" b="0" i="0" u="none" strike="noStrike" baseline="0">
                  <a:solidFill>
                    <a:srgbClr val="000000"/>
                  </a:solidFill>
                  <a:latin typeface="宋体" panose="02010600030101010101" pitchFamily="7" charset="-122"/>
                  <a:ea typeface="宋体" panose="02010600030101010101" pitchFamily="7" charset="-122"/>
                </a:endParaRPr>
              </a:p>
            </xdr:txBody>
          </xdr:sp>
        </mc:Choice>
        <mc:Fallback/>
      </mc:AlternateContent>
      <mc:AlternateContent xmlns:mc="http://schemas.openxmlformats.org/markup-compatibility/2006">
        <mc:Choice xmlns:a14="http://schemas.microsoft.com/office/drawing/2010/main" Requires="a14">
          <xdr:sp macro="[0]!AutoStrainGraph">
            <xdr:nvSpPr>
              <xdr:cNvPr id="2052" name="Button 4" hidden="1">
                <a:extLst>
                  <a:ext uri="{63B3BB69-23CF-44E3-9099-C40C66FF867C}">
                    <a14:compatExt spid="_x0000_s2052"/>
                  </a:ext>
                </a:extLst>
              </xdr:cNvPr>
              <xdr:cNvSpPr/>
            </xdr:nvSpPr>
            <xdr:spPr>
              <a:xfrm>
                <a:off x="9486900" y="1390650"/>
                <a:ext cx="1228725" cy="295275"/>
              </a:xfrm>
              <a:prstGeom prst="rect">
                <a:avLst/>
              </a:prstGeom>
            </xdr:spPr>
            <xdr:txBody>
              <a:bodyPr vertOverflow="clip" wrap="square" lIns="27432" tIns="18288" rIns="27432" bIns="18288" anchor="ctr" upright="1"/>
              <a:lstStyle/>
              <a:p>
                <a:pPr algn="ctr" rtl="0">
                  <a:defRPr sz="1000"/>
                </a:pPr>
                <a:r>
                  <a:rPr lang="zh-CN" altLang="en-US" sz="1100" b="0" i="0" u="none" strike="noStrike" baseline="0">
                    <a:solidFill>
                      <a:srgbClr val="000000"/>
                    </a:solidFill>
                    <a:latin typeface="宋体" panose="02010600030101010101" pitchFamily="7" charset="-122"/>
                    <a:ea typeface="宋体" panose="02010600030101010101" pitchFamily="7" charset="-122"/>
                  </a:rPr>
                  <a:t>自动作图</a:t>
                </a:r>
                <a:endParaRPr lang="zh-CN" altLang="en-US" sz="1100" b="0" i="0" u="none" strike="noStrike" baseline="0">
                  <a:solidFill>
                    <a:srgbClr val="000000"/>
                  </a:solidFill>
                  <a:latin typeface="宋体" panose="02010600030101010101" pitchFamily="7" charset="-122"/>
                  <a:ea typeface="宋体" panose="02010600030101010101" pitchFamily="7" charset="-122"/>
                </a:endParaRPr>
              </a:p>
            </xdr:txBody>
          </xdr:sp>
        </mc:Choice>
        <mc:Fallback/>
      </mc:AlternateContent>
      <mc:AlternateContent xmlns:mc="http://schemas.openxmlformats.org/markup-compatibility/2006">
        <mc:Choice xmlns:a14="http://schemas.microsoft.com/office/drawing/2010/main" Requires="a14">
          <xdr:sp macro="[0]!StrainDataClear">
            <xdr:nvSpPr>
              <xdr:cNvPr id="2053" name="Button 5" hidden="1">
                <a:extLst>
                  <a:ext uri="{63B3BB69-23CF-44E3-9099-C40C66FF867C}">
                    <a14:compatExt spid="_x0000_s2053"/>
                  </a:ext>
                </a:extLst>
              </xdr:cNvPr>
              <xdr:cNvSpPr/>
            </xdr:nvSpPr>
            <xdr:spPr>
              <a:xfrm>
                <a:off x="8029575" y="838199"/>
                <a:ext cx="1228725" cy="285750"/>
              </a:xfrm>
              <a:prstGeom prst="rect">
                <a:avLst/>
              </a:prstGeom>
            </xdr:spPr>
            <xdr:txBody>
              <a:bodyPr vertOverflow="clip" wrap="square" lIns="27432" tIns="22860" rIns="27432" bIns="22860" anchor="ctr" upright="1"/>
              <a:lstStyle/>
              <a:p>
                <a:pPr algn="ctr" rtl="0">
                  <a:defRPr sz="1000"/>
                </a:pPr>
                <a:r>
                  <a:rPr lang="zh-CN" altLang="en-US" sz="1100" b="0" i="0" u="none" strike="noStrike" baseline="0">
                    <a:solidFill>
                      <a:srgbClr val="000000"/>
                    </a:solidFill>
                    <a:latin typeface="等线" panose="02010600030101010101" charset="-122"/>
                    <a:ea typeface="等线" panose="02010600030101010101" charset="-122"/>
                  </a:rPr>
                  <a:t>清空输入数据</a:t>
                </a:r>
                <a:endParaRPr lang="zh-CN" altLang="en-US" sz="1100" b="0" i="0" u="none" strike="noStrike" baseline="0">
                  <a:solidFill>
                    <a:srgbClr val="000000"/>
                  </a:solidFill>
                  <a:latin typeface="等线" panose="02010600030101010101" charset="-122"/>
                  <a:ea typeface="等线" panose="02010600030101010101" charset="-122"/>
                </a:endParaRPr>
              </a:p>
            </xdr:txBody>
          </xdr:sp>
        </mc:Choice>
        <mc:Fallback/>
      </mc:AlternateContent>
      <mc:AlternateContent xmlns:mc="http://schemas.openxmlformats.org/markup-compatibility/2006">
        <mc:Choice xmlns:a14="http://schemas.microsoft.com/office/drawing/2010/main" Requires="a14">
          <xdr:sp>
            <xdr:nvSpPr>
              <xdr:cNvPr id="2054" name="Group Box 6" hidden="1">
                <a:extLst>
                  <a:ext uri="{63B3BB69-23CF-44E3-9099-C40C66FF867C}">
                    <a14:compatExt spid="_x0000_s2054"/>
                  </a:ext>
                </a:extLst>
              </xdr:cNvPr>
              <xdr:cNvSpPr/>
            </xdr:nvSpPr>
            <xdr:spPr>
              <a:xfrm>
                <a:off x="7762875" y="619126"/>
                <a:ext cx="3162300" cy="2019301"/>
              </a:xfrm>
              <a:prstGeom prst="rect">
                <a:avLst/>
              </a:prstGeom>
            </xdr:spPr>
            <xdr:txBody>
              <a:bodyPr vertOverflow="clip" wrap="none" lIns="27432" tIns="32004" rIns="0" bIns="0" anchor="t" upright="1"/>
              <a:lstStyle/>
              <a:p>
                <a:pPr algn="l" rtl="0">
                  <a:defRPr sz="1000"/>
                </a:pPr>
                <a:r>
                  <a:rPr lang="zh-CN" altLang="en-US" sz="900" b="0" i="0" u="none" strike="noStrike" baseline="0">
                    <a:solidFill>
                      <a:srgbClr val="000000"/>
                    </a:solidFill>
                    <a:latin typeface="Microsoft YaHei UI" panose="020B0503020204020204" charset="-122"/>
                    <a:ea typeface="Microsoft YaHei UI" panose="020B0503020204020204" charset="-122"/>
                  </a:rPr>
                  <a:t>应变功能区</a:t>
                </a:r>
                <a:endParaRPr lang="zh-CN" altLang="en-US" sz="900" b="0" i="0" u="none" strike="noStrike" baseline="0">
                  <a:solidFill>
                    <a:srgbClr val="000000"/>
                  </a:solidFill>
                  <a:latin typeface="Microsoft YaHei UI" panose="020B0503020204020204" charset="-122"/>
                  <a:ea typeface="Microsoft YaHei UI" panose="020B0503020204020204" charset="-122"/>
                </a:endParaRPr>
              </a:p>
            </xdr:txBody>
          </xdr:sp>
        </mc:Choice>
        <mc:Fallback/>
      </mc:AlternateContent>
    </xdr:grpSp>
    <xdr:clientData/>
  </xdr:twoCellAnchor>
  <xdr:twoCellAnchor>
    <xdr:from>
      <xdr:col>18</xdr:col>
      <xdr:colOff>76200</xdr:colOff>
      <xdr:row>27</xdr:row>
      <xdr:rowOff>9525</xdr:rowOff>
    </xdr:from>
    <xdr:to>
      <xdr:col>23</xdr:col>
      <xdr:colOff>523875</xdr:colOff>
      <xdr:row>33</xdr:row>
      <xdr:rowOff>28575</xdr:rowOff>
    </xdr:to>
    <xdr:sp>
      <xdr:nvSpPr>
        <xdr:cNvPr id="3" name="文本框 2"/>
        <xdr:cNvSpPr txBox="1"/>
      </xdr:nvSpPr>
      <xdr:spPr>
        <a:xfrm>
          <a:off x="13144500" y="5143500"/>
          <a:ext cx="3876675" cy="1228725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>
          <a:defPPr>
            <a:defRPr lang="zh-CN">
              <a:solidFill>
                <a:schemeClr val="dk1"/>
              </a:solidFill>
            </a:defRPr>
          </a:defPPr>
          <a:lvl1pPr marL="0" algn="l" defTabSz="914400" rtl="0" eaLnBrk="1" latinLnBrk="0" hangingPunct="1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1pPr>
          <a:lvl2pPr marL="457200" algn="l" defTabSz="914400" rtl="0" eaLnBrk="1" latinLnBrk="0" hangingPunct="1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2pPr>
          <a:lvl3pPr marL="914400" algn="l" defTabSz="914400" rtl="0" eaLnBrk="1" latinLnBrk="0" hangingPunct="1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3pPr>
          <a:lvl4pPr marL="1371600" algn="l" defTabSz="914400" rtl="0" eaLnBrk="1" latinLnBrk="0" hangingPunct="1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4pPr>
          <a:lvl5pPr marL="1828800" algn="l" defTabSz="914400" rtl="0" eaLnBrk="1" latinLnBrk="0" hangingPunct="1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5pPr>
          <a:lvl6pPr marL="2286000" algn="l" defTabSz="914400" rtl="0" eaLnBrk="1" latinLnBrk="0" hangingPunct="1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6pPr>
          <a:lvl7pPr marL="2743200" algn="l" defTabSz="914400" rtl="0" eaLnBrk="1" latinLnBrk="0" hangingPunct="1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7pPr>
          <a:lvl8pPr marL="3200400" algn="l" defTabSz="914400" rtl="0" eaLnBrk="1" latinLnBrk="0" hangingPunct="1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8pPr>
          <a:lvl9pPr marL="3657600" algn="l" defTabSz="914400" rtl="0" eaLnBrk="1" latinLnBrk="0" hangingPunct="1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9pPr>
        </a:lstStyle>
        <a:p>
          <a:r>
            <a:rPr lang="zh-CN" altLang="en-US" sz="1100"/>
            <a:t>使用说明：</a:t>
          </a:r>
          <a:endParaRPr lang="en-US" altLang="zh-CN" sz="1100"/>
        </a:p>
        <a:p>
          <a:r>
            <a:rPr lang="en-US" altLang="zh-CN" sz="1100"/>
            <a:t>1</a:t>
          </a:r>
          <a:r>
            <a:rPr lang="zh-CN" altLang="en-US" sz="1100"/>
            <a:t>、输入</a:t>
          </a:r>
          <a:r>
            <a:rPr lang="zh-CN" altLang="en-US">
              <a:ea typeface="宋体" panose="02010600030101010101" pitchFamily="7" charset="-122"/>
              <a:sym typeface="+mn-ea"/>
            </a:rPr>
            <a:t>组</a:t>
          </a:r>
          <a:r>
            <a:rPr lang="zh-CN" altLang="en-US" sz="1100"/>
            <a:t>数、各</a:t>
          </a:r>
          <a:r>
            <a:rPr lang="zh-CN" altLang="en-US">
              <a:ea typeface="宋体" panose="02010600030101010101" pitchFamily="7" charset="-122"/>
              <a:sym typeface="+mn-ea"/>
            </a:rPr>
            <a:t>组</a:t>
          </a:r>
          <a:r>
            <a:rPr lang="zh-CN" altLang="en-US" sz="1100"/>
            <a:t>测点数（不超过</a:t>
          </a:r>
          <a:r>
            <a:rPr lang="en-US" altLang="zh-CN" sz="1100"/>
            <a:t>10</a:t>
          </a:r>
          <a:r>
            <a:rPr lang="zh-CN" altLang="en-US" sz="1100">
              <a:ea typeface="宋体" panose="02010600030101010101" pitchFamily="7" charset="-122"/>
            </a:rPr>
            <a:t>组</a:t>
          </a:r>
          <a:r>
            <a:rPr lang="zh-CN" altLang="en-US" sz="1100"/>
            <a:t>）；</a:t>
          </a:r>
          <a:endParaRPr lang="en-US" altLang="zh-CN" sz="1100"/>
        </a:p>
        <a:p>
          <a:r>
            <a:rPr lang="en-US" altLang="zh-CN" sz="1100" b="0" i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2</a:t>
          </a:r>
          <a:r>
            <a:rPr lang="zh-CN" altLang="en-US" sz="1100" b="0" i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、</a:t>
          </a:r>
          <a:r>
            <a:rPr lang="zh-CN" altLang="zh-CN" sz="1100" b="0" i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报告工况指报告中对应的工况号</a:t>
          </a:r>
          <a:r>
            <a:rPr lang="zh-CN" altLang="zh-CN" sz="110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 </a:t>
          </a:r>
          <a:r>
            <a:rPr lang="zh-CN" altLang="en-US" sz="110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；</a:t>
          </a:r>
          <a:endParaRPr lang="en-US" altLang="zh-CN" sz="1100"/>
        </a:p>
        <a:p>
          <a:r>
            <a:rPr lang="en-US" altLang="zh-CN" sz="1100"/>
            <a:t>3</a:t>
          </a:r>
          <a:r>
            <a:rPr lang="zh-CN" altLang="en-US" sz="1100"/>
            <a:t>、测点编号以字母开头；</a:t>
          </a:r>
          <a:endParaRPr lang="en-US" altLang="zh-CN" sz="1100"/>
        </a:p>
        <a:p>
          <a:r>
            <a:rPr lang="en-US" altLang="zh-CN" sz="1100"/>
            <a:t>4</a:t>
          </a:r>
          <a:r>
            <a:rPr lang="zh-CN" altLang="en-US" sz="1100"/>
            <a:t>、</a:t>
          </a:r>
          <a:r>
            <a:rPr lang="zh-CN" altLang="en-US">
              <a:sym typeface="+mn-ea"/>
            </a:rPr>
            <a:t>满载理论值填写整数。</a:t>
          </a:r>
          <a:endParaRPr lang="zh-CN" altLang="en-US">
            <a:sym typeface="+mn-ea"/>
          </a:endParaRPr>
        </a:p>
      </xdr:txBody>
    </xdr:sp>
    <xdr:clientData/>
  </xdr:twoCellAnchor>
  <xdr:twoCellAnchor>
    <xdr:from>
      <xdr:col>11</xdr:col>
      <xdr:colOff>628650</xdr:colOff>
      <xdr:row>28</xdr:row>
      <xdr:rowOff>95250</xdr:rowOff>
    </xdr:from>
    <xdr:to>
      <xdr:col>17</xdr:col>
      <xdr:colOff>390525</xdr:colOff>
      <xdr:row>38</xdr:row>
      <xdr:rowOff>114300</xdr:rowOff>
    </xdr:to>
    <xdr:sp>
      <xdr:nvSpPr>
        <xdr:cNvPr id="4" name="文本框 3"/>
        <xdr:cNvSpPr txBox="1"/>
      </xdr:nvSpPr>
      <xdr:spPr>
        <a:xfrm>
          <a:off x="8896350" y="5438775"/>
          <a:ext cx="3876675" cy="2019300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>
          <a:defPPr>
            <a:defRPr lang="zh-CN">
              <a:solidFill>
                <a:schemeClr val="dk1"/>
              </a:solidFill>
            </a:defRPr>
          </a:defPPr>
          <a:lvl1pPr marL="0" algn="l" defTabSz="914400" rtl="0" eaLnBrk="1" latinLnBrk="0" hangingPunct="1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1pPr>
          <a:lvl2pPr marL="457200" algn="l" defTabSz="914400" rtl="0" eaLnBrk="1" latinLnBrk="0" hangingPunct="1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2pPr>
          <a:lvl3pPr marL="914400" algn="l" defTabSz="914400" rtl="0" eaLnBrk="1" latinLnBrk="0" hangingPunct="1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3pPr>
          <a:lvl4pPr marL="1371600" algn="l" defTabSz="914400" rtl="0" eaLnBrk="1" latinLnBrk="0" hangingPunct="1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4pPr>
          <a:lvl5pPr marL="1828800" algn="l" defTabSz="914400" rtl="0" eaLnBrk="1" latinLnBrk="0" hangingPunct="1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5pPr>
          <a:lvl6pPr marL="2286000" algn="l" defTabSz="914400" rtl="0" eaLnBrk="1" latinLnBrk="0" hangingPunct="1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6pPr>
          <a:lvl7pPr marL="2743200" algn="l" defTabSz="914400" rtl="0" eaLnBrk="1" latinLnBrk="0" hangingPunct="1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7pPr>
          <a:lvl8pPr marL="3200400" algn="l" defTabSz="914400" rtl="0" eaLnBrk="1" latinLnBrk="0" hangingPunct="1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8pPr>
          <a:lvl9pPr marL="3657600" algn="l" defTabSz="914400" rtl="0" eaLnBrk="1" latinLnBrk="0" hangingPunct="1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9pPr>
        </a:lstStyle>
        <a:p>
          <a:r>
            <a:rPr lang="zh-CN" altLang="en-US" sz="1100"/>
            <a:t>操作步骤：</a:t>
          </a:r>
          <a:endParaRPr lang="en-US" altLang="zh-CN" sz="1100"/>
        </a:p>
        <a:p>
          <a:r>
            <a:rPr lang="en-US" altLang="zh-CN" sz="1100"/>
            <a:t>1</a:t>
          </a:r>
          <a:r>
            <a:rPr lang="zh-CN" altLang="en-US" sz="1100"/>
            <a:t>、点击“清空数据数据”；</a:t>
          </a:r>
          <a:endParaRPr lang="en-US" altLang="zh-CN" sz="1100"/>
        </a:p>
        <a:p>
          <a:r>
            <a:rPr lang="en-US" altLang="zh-CN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2</a:t>
          </a:r>
          <a:r>
            <a:rPr lang="zh-CN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、填写应变</a:t>
          </a:r>
          <a:r>
            <a:rPr lang="zh-CN" altLang="en-US">
              <a:ea typeface="宋体" panose="02010600030101010101" pitchFamily="7" charset="-122"/>
              <a:sym typeface="+mn-ea"/>
            </a:rPr>
            <a:t>组</a:t>
          </a:r>
          <a:r>
            <a:rPr lang="zh-CN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数，各个</a:t>
          </a:r>
          <a:r>
            <a:rPr lang="zh-CN" altLang="en-US">
              <a:ea typeface="宋体" panose="02010600030101010101" pitchFamily="7" charset="-122"/>
              <a:sym typeface="+mn-ea"/>
            </a:rPr>
            <a:t>组</a:t>
          </a:r>
          <a:r>
            <a:rPr lang="zh-CN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测点数以及对应报告工况，点击“生成输入行”；</a:t>
          </a:r>
          <a:endParaRPr lang="en-US" altLang="zh-CN" sz="1100" b="0" i="0" u="none" strike="noStrike">
            <a:solidFill>
              <a:schemeClr val="dk1"/>
            </a:solidFill>
            <a:effectLst/>
            <a:latin typeface="+mn-lt"/>
            <a:ea typeface="+mn-ea"/>
            <a:cs typeface="+mn-cs"/>
          </a:endParaRPr>
        </a:p>
        <a:p>
          <a:r>
            <a:rPr lang="en-US" altLang="zh-CN" sz="1100" b="0" i="0" u="none" strike="noStrike">
              <a:solidFill>
                <a:srgbClr val="FF0000"/>
              </a:solidFill>
              <a:effectLst/>
              <a:latin typeface="+mn-lt"/>
              <a:ea typeface="+mn-ea"/>
              <a:cs typeface="+mn-cs"/>
            </a:rPr>
            <a:t>3</a:t>
          </a:r>
          <a:r>
            <a:rPr lang="zh-CN" altLang="en-US" sz="1100" b="0" i="0" u="none" strike="noStrike">
              <a:solidFill>
                <a:srgbClr val="FF0000"/>
              </a:solidFill>
              <a:effectLst/>
              <a:latin typeface="+mn-lt"/>
              <a:ea typeface="+mn-ea"/>
              <a:cs typeface="+mn-cs"/>
            </a:rPr>
            <a:t>、请填写绿色列内容（工况除外）；</a:t>
          </a:r>
          <a:r>
            <a:rPr lang="zh-CN" altLang="en-US">
              <a:solidFill>
                <a:srgbClr val="FF0000"/>
              </a:solidFill>
            </a:rPr>
            <a:t> </a:t>
          </a:r>
          <a:endParaRPr lang="en-US" altLang="zh-CN">
            <a:solidFill>
              <a:srgbClr val="FF0000"/>
            </a:solidFill>
          </a:endParaRPr>
        </a:p>
        <a:p>
          <a:r>
            <a:rPr lang="en-US" altLang="zh-CN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4</a:t>
          </a:r>
          <a:r>
            <a:rPr lang="zh-CN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、点击“自动计算”；</a:t>
          </a:r>
          <a:endParaRPr lang="en-US" altLang="zh-CN" sz="1100" b="0" i="0" u="none" strike="noStrike">
            <a:solidFill>
              <a:schemeClr val="dk1"/>
            </a:solidFill>
            <a:effectLst/>
            <a:latin typeface="+mn-lt"/>
            <a:ea typeface="+mn-ea"/>
            <a:cs typeface="+mn-cs"/>
          </a:endParaRPr>
        </a:p>
        <a:p>
          <a:r>
            <a:rPr lang="en-US" altLang="zh-CN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5</a:t>
          </a:r>
          <a:r>
            <a:rPr lang="zh-CN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、点击“自动作图”。</a:t>
          </a:r>
          <a:endParaRPr lang="zh-CN" altLang="en-US" sz="1100"/>
        </a:p>
      </xdr:txBody>
    </xdr:sp>
    <xdr:clientData/>
  </xdr:twoCellAnchor>
  <xdr:twoCellAnchor>
    <xdr:from>
      <xdr:col>17</xdr:col>
      <xdr:colOff>314325</xdr:colOff>
      <xdr:row>4</xdr:row>
      <xdr:rowOff>19050</xdr:rowOff>
    </xdr:from>
    <xdr:to>
      <xdr:col>20</xdr:col>
      <xdr:colOff>609600</xdr:colOff>
      <xdr:row>7</xdr:row>
      <xdr:rowOff>76200</xdr:rowOff>
    </xdr:to>
    <xdr:sp>
      <xdr:nvSpPr>
        <xdr:cNvPr id="18" name="文本框 17"/>
        <xdr:cNvSpPr txBox="1"/>
      </xdr:nvSpPr>
      <xdr:spPr>
        <a:xfrm>
          <a:off x="12696825" y="742950"/>
          <a:ext cx="2352675" cy="600075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>
          <a:noAutofit/>
        </a:bodyPr>
        <a:lstStyle>
          <a:defPPr>
            <a:defRPr lang="zh-CN">
              <a:solidFill>
                <a:schemeClr val="dk1"/>
              </a:solidFill>
            </a:defRPr>
          </a:defPPr>
          <a:lvl1pPr marL="0" algn="l" defTabSz="914400" rtl="0" eaLnBrk="1" latinLnBrk="0" hangingPunct="1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1pPr>
          <a:lvl2pPr marL="457200" algn="l" defTabSz="914400" rtl="0" eaLnBrk="1" latinLnBrk="0" hangingPunct="1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2pPr>
          <a:lvl3pPr marL="914400" algn="l" defTabSz="914400" rtl="0" eaLnBrk="1" latinLnBrk="0" hangingPunct="1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3pPr>
          <a:lvl4pPr marL="1371600" algn="l" defTabSz="914400" rtl="0" eaLnBrk="1" latinLnBrk="0" hangingPunct="1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4pPr>
          <a:lvl5pPr marL="1828800" algn="l" defTabSz="914400" rtl="0" eaLnBrk="1" latinLnBrk="0" hangingPunct="1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5pPr>
          <a:lvl6pPr marL="2286000" algn="l" defTabSz="914400" rtl="0" eaLnBrk="1" latinLnBrk="0" hangingPunct="1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6pPr>
          <a:lvl7pPr marL="2743200" algn="l" defTabSz="914400" rtl="0" eaLnBrk="1" latinLnBrk="0" hangingPunct="1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7pPr>
          <a:lvl8pPr marL="3200400" algn="l" defTabSz="914400" rtl="0" eaLnBrk="1" latinLnBrk="0" hangingPunct="1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8pPr>
          <a:lvl9pPr marL="3657600" algn="l" defTabSz="914400" rtl="0" eaLnBrk="1" latinLnBrk="0" hangingPunct="1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9pPr>
        </a:lstStyle>
        <a:p>
          <a:pPr algn="l"/>
          <a:r>
            <a:rPr lang="zh-CN" altLang="en-US" sz="1100">
              <a:solidFill>
                <a:srgbClr val="FF0000"/>
              </a:solidFill>
              <a:ea typeface="宋体" panose="02010600030101010101" pitchFamily="7" charset="-122"/>
            </a:rPr>
            <a:t>提示：若作图结果不正确，请尝试再点击一次</a:t>
          </a:r>
          <a:r>
            <a:rPr lang="en-US" altLang="zh-CN" sz="1100">
              <a:solidFill>
                <a:srgbClr val="FF0000"/>
              </a:solidFill>
              <a:ea typeface="宋体" panose="02010600030101010101" pitchFamily="7" charset="-122"/>
            </a:rPr>
            <a:t>“</a:t>
          </a:r>
          <a:r>
            <a:rPr lang="zh-CN" altLang="en-US" sz="1100">
              <a:solidFill>
                <a:srgbClr val="FF0000"/>
              </a:solidFill>
              <a:ea typeface="宋体" panose="02010600030101010101" pitchFamily="7" charset="-122"/>
            </a:rPr>
            <a:t>自动作图</a:t>
          </a:r>
          <a:r>
            <a:rPr lang="en-US" altLang="zh-CN" sz="1100">
              <a:solidFill>
                <a:srgbClr val="FF0000"/>
              </a:solidFill>
              <a:ea typeface="宋体" panose="02010600030101010101" pitchFamily="7" charset="-122"/>
            </a:rPr>
            <a:t>”</a:t>
          </a:r>
          <a:r>
            <a:rPr lang="zh-CN" altLang="en-US" sz="1100">
              <a:solidFill>
                <a:srgbClr val="FF0000"/>
              </a:solidFill>
              <a:ea typeface="宋体" panose="02010600030101010101" pitchFamily="7" charset="-122"/>
            </a:rPr>
            <a:t>（</a:t>
          </a:r>
          <a:r>
            <a:rPr lang="en-US" altLang="zh-CN" sz="1100">
              <a:solidFill>
                <a:srgbClr val="FF0000"/>
              </a:solidFill>
              <a:ea typeface="宋体" panose="02010600030101010101" pitchFamily="7" charset="-122"/>
            </a:rPr>
            <a:t>WPS bug</a:t>
          </a:r>
          <a:r>
            <a:rPr lang="zh-CN" altLang="en-US" sz="1100">
              <a:solidFill>
                <a:srgbClr val="FF0000"/>
              </a:solidFill>
              <a:ea typeface="宋体" panose="02010600030101010101" pitchFamily="7" charset="-122"/>
            </a:rPr>
            <a:t>）</a:t>
          </a:r>
          <a:endParaRPr lang="zh-CN" altLang="en-US" sz="1100">
            <a:solidFill>
              <a:srgbClr val="FF0000"/>
            </a:solidFill>
            <a:ea typeface="宋体" panose="02010600030101010101" pitchFamily="7" charset="-122"/>
          </a:endParaRPr>
        </a:p>
      </xdr:txBody>
    </xdr:sp>
    <xdr:clientData/>
  </xdr:twoCellAnchor>
  <xdr:twoCellAnchor>
    <xdr:from>
      <xdr:col>35</xdr:col>
      <xdr:colOff>228600</xdr:colOff>
      <xdr:row>6</xdr:row>
      <xdr:rowOff>28575</xdr:rowOff>
    </xdr:from>
    <xdr:to>
      <xdr:col>42</xdr:col>
      <xdr:colOff>276225</xdr:colOff>
      <xdr:row>30</xdr:row>
      <xdr:rowOff>136525</xdr:rowOff>
    </xdr:to>
    <xdr:pic>
      <xdr:nvPicPr>
        <xdr:cNvPr id="26" name="图片 25"/>
        <xdr:cNvPicPr>
          <a:picLocks noChangeAspect="1"/>
        </xdr:cNvPicPr>
      </xdr:nvPicPr>
      <xdr:blipFill>
        <a:blip r:embed="rId6"/>
        <a:stretch>
          <a:fillRect/>
        </a:stretch>
      </xdr:blipFill>
      <xdr:spPr>
        <a:xfrm>
          <a:off x="24955500" y="1114425"/>
          <a:ext cx="4848225" cy="4765675"/>
        </a:xfrm>
        <a:prstGeom prst="rect">
          <a:avLst/>
        </a:prstGeom>
        <a:noFill/>
        <a:ln w="9525">
          <a:noFill/>
        </a:ln>
      </xdr:spPr>
    </xdr:pic>
    <xdr:clientData/>
  </xdr:twoCellAnchor>
  <xdr:twoCellAnchor>
    <xdr:from>
      <xdr:col>35</xdr:col>
      <xdr:colOff>267335</xdr:colOff>
      <xdr:row>32</xdr:row>
      <xdr:rowOff>180975</xdr:rowOff>
    </xdr:from>
    <xdr:to>
      <xdr:col>42</xdr:col>
      <xdr:colOff>276860</xdr:colOff>
      <xdr:row>61</xdr:row>
      <xdr:rowOff>38100</xdr:rowOff>
    </xdr:to>
    <xdr:pic>
      <xdr:nvPicPr>
        <xdr:cNvPr id="28" name="图片 27"/>
        <xdr:cNvPicPr>
          <a:picLocks noChangeAspect="1"/>
        </xdr:cNvPicPr>
      </xdr:nvPicPr>
      <xdr:blipFill>
        <a:blip r:embed="rId7"/>
        <a:stretch>
          <a:fillRect/>
        </a:stretch>
      </xdr:blipFill>
      <xdr:spPr>
        <a:xfrm>
          <a:off x="24994235" y="6324600"/>
          <a:ext cx="4810125" cy="5257800"/>
        </a:xfrm>
        <a:prstGeom prst="rect">
          <a:avLst/>
        </a:prstGeom>
        <a:noFill/>
        <a:ln w="9525">
          <a:noFill/>
        </a:ln>
      </xdr:spPr>
    </xdr:pic>
    <xdr:clientData/>
  </xdr:twoCellAnchor>
  <xdr:twoCellAnchor>
    <xdr:from>
      <xdr:col>13</xdr:col>
      <xdr:colOff>520700</xdr:colOff>
      <xdr:row>10</xdr:row>
      <xdr:rowOff>95250</xdr:rowOff>
    </xdr:from>
    <xdr:to>
      <xdr:col>20</xdr:col>
      <xdr:colOff>165100</xdr:colOff>
      <xdr:row>24</xdr:row>
      <xdr:rowOff>165100</xdr:rowOff>
    </xdr:to>
    <xdr:graphicFrame>
      <xdr:nvGraphicFramePr>
        <xdr:cNvPr id="24" name="图表 23"/>
        <xdr:cNvGraphicFramePr/>
      </xdr:nvGraphicFramePr>
      <xdr:xfrm>
        <a:off x="10160000" y="1905000"/>
        <a:ext cx="4445000" cy="279400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13</xdr:col>
      <xdr:colOff>520700</xdr:colOff>
      <xdr:row>27</xdr:row>
      <xdr:rowOff>73025</xdr:rowOff>
    </xdr:from>
    <xdr:to>
      <xdr:col>20</xdr:col>
      <xdr:colOff>165100</xdr:colOff>
      <xdr:row>41</xdr:row>
      <xdr:rowOff>76200</xdr:rowOff>
    </xdr:to>
    <xdr:graphicFrame>
      <xdr:nvGraphicFramePr>
        <xdr:cNvPr id="25" name="图表 24"/>
        <xdr:cNvGraphicFramePr/>
      </xdr:nvGraphicFramePr>
      <xdr:xfrm>
        <a:off x="10160000" y="5207000"/>
        <a:ext cx="4445000" cy="279400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13</xdr:col>
      <xdr:colOff>520700</xdr:colOff>
      <xdr:row>44</xdr:row>
      <xdr:rowOff>41275</xdr:rowOff>
    </xdr:from>
    <xdr:to>
      <xdr:col>20</xdr:col>
      <xdr:colOff>165100</xdr:colOff>
      <xdr:row>59</xdr:row>
      <xdr:rowOff>120650</xdr:rowOff>
    </xdr:to>
    <xdr:graphicFrame>
      <xdr:nvGraphicFramePr>
        <xdr:cNvPr id="27" name="图表 26"/>
        <xdr:cNvGraphicFramePr/>
      </xdr:nvGraphicFramePr>
      <xdr:xfrm>
        <a:off x="10160000" y="8509000"/>
        <a:ext cx="4445000" cy="279400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13</xdr:col>
      <xdr:colOff>520700</xdr:colOff>
      <xdr:row>62</xdr:row>
      <xdr:rowOff>85725</xdr:rowOff>
    </xdr:from>
    <xdr:to>
      <xdr:col>20</xdr:col>
      <xdr:colOff>165100</xdr:colOff>
      <xdr:row>77</xdr:row>
      <xdr:rowOff>165100</xdr:rowOff>
    </xdr:to>
    <xdr:graphicFrame>
      <xdr:nvGraphicFramePr>
        <xdr:cNvPr id="29" name="图表 28"/>
        <xdr:cNvGraphicFramePr/>
      </xdr:nvGraphicFramePr>
      <xdr:xfrm>
        <a:off x="10160000" y="11811000"/>
        <a:ext cx="4445000" cy="279400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13</xdr:col>
      <xdr:colOff>520700</xdr:colOff>
      <xdr:row>80</xdr:row>
      <xdr:rowOff>130175</xdr:rowOff>
    </xdr:from>
    <xdr:to>
      <xdr:col>20</xdr:col>
      <xdr:colOff>165100</xdr:colOff>
      <xdr:row>96</xdr:row>
      <xdr:rowOff>28575</xdr:rowOff>
    </xdr:to>
    <xdr:graphicFrame>
      <xdr:nvGraphicFramePr>
        <xdr:cNvPr id="30" name="图表 29"/>
        <xdr:cNvGraphicFramePr/>
      </xdr:nvGraphicFramePr>
      <xdr:xfrm>
        <a:off x="10160000" y="15113000"/>
        <a:ext cx="4445000" cy="279400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</xdr:wsDr>
</file>

<file path=xl/drawings/drawing5.xml><?xml version="1.0" encoding="utf-8"?>
<xdr:wsDr xmlns:xdr="http://schemas.openxmlformats.org/drawingml/2006/spreadsheetDrawing" xmlns:r="http://schemas.openxmlformats.org/officeDocument/2006/relationships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676275</xdr:colOff>
          <xdr:row>4</xdr:row>
          <xdr:rowOff>161925</xdr:rowOff>
        </xdr:from>
        <xdr:to>
          <xdr:col>8</xdr:col>
          <xdr:colOff>381000</xdr:colOff>
          <xdr:row>6</xdr:row>
          <xdr:rowOff>28575</xdr:rowOff>
        </xdr:to>
        <xdr:sp macro="[0]!ThrustDataClear">
          <xdr:nvSpPr>
            <xdr:cNvPr id="14338" name="Button 2" hidden="1">
              <a:extLst>
                <a:ext uri="{63B3BB69-23CF-44E3-9099-C40C66FF867C}">
                  <a14:compatExt spid="_x0000_s14338"/>
                </a:ext>
              </a:extLst>
            </xdr:cNvPr>
            <xdr:cNvSpPr/>
          </xdr:nvSpPr>
          <xdr:spPr>
            <a:xfrm>
              <a:off x="4791075" y="885825"/>
              <a:ext cx="1076325" cy="22860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等线" panose="02010600030101010101" charset="-122"/>
                  <a:ea typeface="等线" panose="02010600030101010101" charset="-122"/>
                </a:rPr>
                <a:t>清空输入数据</a:t>
              </a:r>
              <a:endParaRPr lang="zh-CN" altLang="en-US" sz="1100" b="0" i="0" u="none" strike="noStrike" baseline="0">
                <a:solidFill>
                  <a:srgbClr val="000000"/>
                </a:solidFill>
                <a:latin typeface="等线" panose="02010600030101010101" charset="-122"/>
                <a:ea typeface="等线" panose="02010600030101010101" charset="-122"/>
              </a:endParaRP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676275</xdr:colOff>
          <xdr:row>6</xdr:row>
          <xdr:rowOff>171450</xdr:rowOff>
        </xdr:from>
        <xdr:to>
          <xdr:col>8</xdr:col>
          <xdr:colOff>371475</xdr:colOff>
          <xdr:row>8</xdr:row>
          <xdr:rowOff>9525</xdr:rowOff>
        </xdr:to>
        <xdr:sp macro="[0]!GenerateThrustRows">
          <xdr:nvSpPr>
            <xdr:cNvPr id="14339" name="Button 3" hidden="1">
              <a:extLst>
                <a:ext uri="{63B3BB69-23CF-44E3-9099-C40C66FF867C}">
                  <a14:compatExt spid="_x0000_s14339"/>
                </a:ext>
              </a:extLst>
            </xdr:cNvPr>
            <xdr:cNvSpPr/>
          </xdr:nvSpPr>
          <xdr:spPr>
            <a:xfrm>
              <a:off x="4791075" y="1257300"/>
              <a:ext cx="1066800" cy="200025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等线" panose="02010600030101010101" charset="-122"/>
                  <a:ea typeface="等线" panose="02010600030101010101" charset="-122"/>
                </a:rPr>
                <a:t>生成输入行</a:t>
              </a:r>
              <a:endParaRPr lang="zh-CN" altLang="en-US" sz="1100" b="0" i="0" u="none" strike="noStrike" baseline="0">
                <a:solidFill>
                  <a:srgbClr val="000000"/>
                </a:solidFill>
                <a:latin typeface="等线" panose="02010600030101010101" charset="-122"/>
                <a:ea typeface="等线" panose="02010600030101010101" charset="-122"/>
              </a:endParaRP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9525</xdr:colOff>
          <xdr:row>8</xdr:row>
          <xdr:rowOff>171450</xdr:rowOff>
        </xdr:from>
        <xdr:to>
          <xdr:col>8</xdr:col>
          <xdr:colOff>371475</xdr:colOff>
          <xdr:row>10</xdr:row>
          <xdr:rowOff>19050</xdr:rowOff>
        </xdr:to>
        <xdr:sp macro="[0]!AutoThrust.AutoThrust">
          <xdr:nvSpPr>
            <xdr:cNvPr id="14340" name="Button 4" hidden="1">
              <a:extLst>
                <a:ext uri="{63B3BB69-23CF-44E3-9099-C40C66FF867C}">
                  <a14:compatExt spid="_x0000_s14340"/>
                </a:ext>
              </a:extLst>
            </xdr:cNvPr>
            <xdr:cNvSpPr/>
          </xdr:nvSpPr>
          <xdr:spPr>
            <a:xfrm>
              <a:off x="4810125" y="1619250"/>
              <a:ext cx="1047750" cy="20955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等线" panose="02010600030101010101" charset="-122"/>
                  <a:ea typeface="等线" panose="02010600030101010101" charset="-122"/>
                </a:rPr>
                <a:t>自动计算</a:t>
              </a:r>
              <a:endParaRPr lang="zh-CN" altLang="en-US" sz="1100" b="0" i="0" u="none" strike="noStrike" baseline="0">
                <a:solidFill>
                  <a:srgbClr val="000000"/>
                </a:solidFill>
                <a:latin typeface="等线" panose="02010600030101010101" charset="-122"/>
                <a:ea typeface="等线" panose="02010600030101010101" charset="-122"/>
              </a:endParaRPr>
            </a:p>
          </xdr:txBody>
        </xdr:sp>
        <xdr:clientData fPrintsWithSheet="0"/>
      </xdr:twoCellAnchor>
    </mc:Choice>
    <mc:Fallback/>
  </mc:AlternateContent>
  <xdr:twoCellAnchor>
    <xdr:from>
      <xdr:col>9</xdr:col>
      <xdr:colOff>419100</xdr:colOff>
      <xdr:row>12</xdr:row>
      <xdr:rowOff>28575</xdr:rowOff>
    </xdr:from>
    <xdr:to>
      <xdr:col>14</xdr:col>
      <xdr:colOff>190500</xdr:colOff>
      <xdr:row>19</xdr:row>
      <xdr:rowOff>104775</xdr:rowOff>
    </xdr:to>
    <xdr:sp>
      <xdr:nvSpPr>
        <xdr:cNvPr id="3" name="文本框 2"/>
        <xdr:cNvSpPr txBox="1"/>
      </xdr:nvSpPr>
      <xdr:spPr>
        <a:xfrm>
          <a:off x="6591300" y="2209800"/>
          <a:ext cx="3200400" cy="1428750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>
          <a:defPPr>
            <a:defRPr lang="zh-CN">
              <a:solidFill>
                <a:schemeClr val="dk1"/>
              </a:solidFill>
            </a:defRPr>
          </a:defPPr>
          <a:lvl1pPr marL="0" algn="l" defTabSz="914400" rtl="0" eaLnBrk="1" latinLnBrk="0" hangingPunct="1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1pPr>
          <a:lvl2pPr marL="457200" algn="l" defTabSz="914400" rtl="0" eaLnBrk="1" latinLnBrk="0" hangingPunct="1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2pPr>
          <a:lvl3pPr marL="914400" algn="l" defTabSz="914400" rtl="0" eaLnBrk="1" latinLnBrk="0" hangingPunct="1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3pPr>
          <a:lvl4pPr marL="1371600" algn="l" defTabSz="914400" rtl="0" eaLnBrk="1" latinLnBrk="0" hangingPunct="1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4pPr>
          <a:lvl5pPr marL="1828800" algn="l" defTabSz="914400" rtl="0" eaLnBrk="1" latinLnBrk="0" hangingPunct="1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5pPr>
          <a:lvl6pPr marL="2286000" algn="l" defTabSz="914400" rtl="0" eaLnBrk="1" latinLnBrk="0" hangingPunct="1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6pPr>
          <a:lvl7pPr marL="2743200" algn="l" defTabSz="914400" rtl="0" eaLnBrk="1" latinLnBrk="0" hangingPunct="1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7pPr>
          <a:lvl8pPr marL="3200400" algn="l" defTabSz="914400" rtl="0" eaLnBrk="1" latinLnBrk="0" hangingPunct="1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8pPr>
          <a:lvl9pPr marL="3657600" algn="l" defTabSz="914400" rtl="0" eaLnBrk="1" latinLnBrk="0" hangingPunct="1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9pPr>
        </a:lstStyle>
        <a:p>
          <a:r>
            <a:rPr lang="zh-CN" altLang="en-US" sz="1100"/>
            <a:t>操作步骤：</a:t>
          </a:r>
          <a:endParaRPr lang="en-US" altLang="zh-CN" sz="1100"/>
        </a:p>
        <a:p>
          <a:r>
            <a:rPr lang="en-US" altLang="zh-CN" sz="1100"/>
            <a:t>1</a:t>
          </a:r>
          <a:r>
            <a:rPr lang="zh-CN" altLang="en-US" sz="1100"/>
            <a:t>、点击“清空数据数据”；</a:t>
          </a:r>
          <a:endParaRPr lang="en-US" altLang="zh-CN" sz="1100"/>
        </a:p>
        <a:p>
          <a:r>
            <a:rPr lang="en-US" altLang="zh-CN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2</a:t>
          </a:r>
          <a:r>
            <a:rPr lang="zh-CN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、填写测点数，加载级数，点击“生成输入行”；</a:t>
          </a:r>
          <a:endParaRPr lang="en-US" altLang="zh-CN" sz="1100" b="0" i="0" u="none" strike="noStrike">
            <a:solidFill>
              <a:schemeClr val="dk1"/>
            </a:solidFill>
            <a:effectLst/>
            <a:latin typeface="+mn-lt"/>
            <a:ea typeface="+mn-ea"/>
            <a:cs typeface="+mn-cs"/>
          </a:endParaRPr>
        </a:p>
        <a:p>
          <a:r>
            <a:rPr lang="en-US" altLang="zh-CN" sz="1100" b="0" i="0" u="none" strike="noStrike">
              <a:solidFill>
                <a:srgbClr val="FF0000"/>
              </a:solidFill>
              <a:effectLst/>
              <a:latin typeface="+mn-lt"/>
              <a:ea typeface="+mn-ea"/>
              <a:cs typeface="+mn-cs"/>
            </a:rPr>
            <a:t>3</a:t>
          </a:r>
          <a:r>
            <a:rPr lang="zh-CN" altLang="en-US" sz="1100" b="0" i="0" u="none" strike="noStrike">
              <a:solidFill>
                <a:srgbClr val="FF0000"/>
              </a:solidFill>
              <a:effectLst/>
              <a:latin typeface="+mn-lt"/>
              <a:ea typeface="+mn-ea"/>
              <a:cs typeface="+mn-cs"/>
            </a:rPr>
            <a:t>、请填写</a:t>
          </a:r>
          <a:r>
            <a:rPr lang="en-US" altLang="zh-CN" sz="1100" b="0" i="0" u="none" strike="noStrike">
              <a:solidFill>
                <a:srgbClr val="FF0000"/>
              </a:solidFill>
              <a:effectLst/>
              <a:latin typeface="+mn-lt"/>
              <a:ea typeface="+mn-ea"/>
              <a:cs typeface="+mn-cs"/>
            </a:rPr>
            <a:t>“</a:t>
          </a:r>
          <a:r>
            <a:rPr lang="zh-CN" altLang="en-US" sz="1100" b="0" i="0" u="none" strike="noStrike">
              <a:solidFill>
                <a:srgbClr val="FF0000"/>
              </a:solidFill>
              <a:effectLst/>
              <a:latin typeface="+mn-lt"/>
              <a:ea typeface="宋体" panose="02010600030101010101" pitchFamily="7" charset="-122"/>
              <a:cs typeface="+mn-cs"/>
            </a:rPr>
            <a:t>总变形</a:t>
          </a:r>
          <a:r>
            <a:rPr lang="en-US" altLang="zh-CN" sz="1100" b="0" i="0" u="none" strike="noStrike">
              <a:solidFill>
                <a:srgbClr val="FF0000"/>
              </a:solidFill>
              <a:effectLst/>
              <a:latin typeface="+mn-lt"/>
              <a:ea typeface="+mn-ea"/>
              <a:cs typeface="+mn-cs"/>
            </a:rPr>
            <a:t>”</a:t>
          </a:r>
          <a:r>
            <a:rPr lang="zh-CN" altLang="en-US" sz="1100" b="0" i="0" u="none" strike="noStrike">
              <a:solidFill>
                <a:srgbClr val="FF0000"/>
              </a:solidFill>
              <a:effectLst/>
              <a:latin typeface="+mn-lt"/>
              <a:ea typeface="+mn-ea"/>
              <a:cs typeface="+mn-cs"/>
            </a:rPr>
            <a:t>；</a:t>
          </a:r>
          <a:r>
            <a:rPr lang="zh-CN" altLang="en-US">
              <a:solidFill>
                <a:srgbClr val="FF0000"/>
              </a:solidFill>
            </a:rPr>
            <a:t> </a:t>
          </a:r>
          <a:endParaRPr lang="en-US" altLang="zh-CN">
            <a:solidFill>
              <a:srgbClr val="FF0000"/>
            </a:solidFill>
          </a:endParaRPr>
        </a:p>
        <a:p>
          <a:r>
            <a:rPr lang="en-US" altLang="zh-CN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4</a:t>
          </a:r>
          <a:r>
            <a:rPr lang="zh-CN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、点击“自动计算”；</a:t>
          </a:r>
          <a:endParaRPr lang="en-US" altLang="zh-CN" sz="1100" b="0" i="0" u="none" strike="noStrike">
            <a:solidFill>
              <a:schemeClr val="dk1"/>
            </a:solidFill>
            <a:effectLst/>
            <a:latin typeface="+mn-lt"/>
            <a:ea typeface="+mn-ea"/>
            <a:cs typeface="+mn-cs"/>
          </a:endParaRPr>
        </a:p>
        <a:p>
          <a:r>
            <a:rPr lang="en-US" altLang="zh-CN" sz="1100"/>
            <a:t>5</a:t>
          </a:r>
          <a:r>
            <a:rPr lang="zh-CN" altLang="en-US" sz="1100">
              <a:ea typeface="宋体" panose="02010600030101010101" pitchFamily="7" charset="-122"/>
            </a:rPr>
            <a:t>、在</a:t>
          </a:r>
          <a:r>
            <a:rPr lang="en-US" altLang="zh-CN" sz="1100">
              <a:ea typeface="宋体" panose="02010600030101010101" pitchFamily="7" charset="-122"/>
            </a:rPr>
            <a:t>“</a:t>
          </a:r>
          <a:r>
            <a:rPr lang="zh-CN" altLang="en-US" sz="1100">
              <a:ea typeface="宋体" panose="02010600030101010101" pitchFamily="7" charset="-122"/>
            </a:rPr>
            <a:t>生成</a:t>
          </a:r>
          <a:r>
            <a:rPr lang="en-US" altLang="zh-CN" sz="1100">
              <a:ea typeface="宋体" panose="02010600030101010101" pitchFamily="7" charset="-122"/>
            </a:rPr>
            <a:t>Word</a:t>
          </a:r>
          <a:r>
            <a:rPr lang="zh-CN" altLang="en-US" sz="1100">
              <a:ea typeface="宋体" panose="02010600030101010101" pitchFamily="7" charset="-122"/>
            </a:rPr>
            <a:t>报告</a:t>
          </a:r>
          <a:r>
            <a:rPr lang="en-US" altLang="zh-CN" sz="1100">
              <a:ea typeface="宋体" panose="02010600030101010101" pitchFamily="7" charset="-122"/>
            </a:rPr>
            <a:t>”</a:t>
          </a:r>
          <a:r>
            <a:rPr lang="zh-CN" altLang="en-US" sz="1100">
              <a:ea typeface="宋体" panose="02010600030101010101" pitchFamily="7" charset="-122"/>
            </a:rPr>
            <a:t>标签中，可导出结果。</a:t>
          </a:r>
          <a:endParaRPr lang="zh-CN" altLang="en-US" sz="1100">
            <a:ea typeface="宋体" panose="02010600030101010101" pitchFamily="7" charset="-122"/>
          </a:endParaRPr>
        </a:p>
      </xdr:txBody>
    </xdr:sp>
    <xdr:clientData/>
  </xdr:twoCellAnchor>
</xdr:wsDr>
</file>

<file path=xl/drawings/drawing6.xml><?xml version="1.0" encoding="utf-8"?>
<xdr:wsDr xmlns:xdr="http://schemas.openxmlformats.org/drawingml/2006/spreadsheetDrawing" xmlns:r="http://schemas.openxmlformats.org/officeDocument/2006/relationships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123825</xdr:colOff>
          <xdr:row>4</xdr:row>
          <xdr:rowOff>47625</xdr:rowOff>
        </xdr:from>
        <xdr:to>
          <xdr:col>8</xdr:col>
          <xdr:colOff>85725</xdr:colOff>
          <xdr:row>6</xdr:row>
          <xdr:rowOff>0</xdr:rowOff>
        </xdr:to>
        <xdr:sp macro="[0]!AutoReport">
          <xdr:nvSpPr>
            <xdr:cNvPr id="4097" name="Button 1" hidden="1">
              <a:extLst>
                <a:ext uri="{63B3BB69-23CF-44E3-9099-C40C66FF867C}">
                  <a14:compatExt spid="_x0000_s4097"/>
                </a:ext>
              </a:extLst>
            </xdr:cNvPr>
            <xdr:cNvSpPr/>
          </xdr:nvSpPr>
          <xdr:spPr>
            <a:xfrm>
              <a:off x="4238625" y="771525"/>
              <a:ext cx="1333500" cy="314325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等线" panose="02010600030101010101" charset="-122"/>
                  <a:ea typeface="等线" panose="02010600030101010101" charset="-122"/>
                </a:rPr>
                <a:t>导出荷载试验报告</a:t>
              </a:r>
              <a:endParaRPr lang="zh-CN" altLang="en-US" sz="1100" b="0" i="0" u="none" strike="noStrike" baseline="0">
                <a:solidFill>
                  <a:srgbClr val="000000"/>
                </a:solidFill>
                <a:latin typeface="等线" panose="02010600030101010101" charset="-122"/>
                <a:ea typeface="等线" panose="02010600030101010101" charset="-122"/>
              </a:endParaRP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133350</xdr:colOff>
          <xdr:row>11</xdr:row>
          <xdr:rowOff>66675</xdr:rowOff>
        </xdr:from>
        <xdr:to>
          <xdr:col>8</xdr:col>
          <xdr:colOff>247650</xdr:colOff>
          <xdr:row>13</xdr:row>
          <xdr:rowOff>19050</xdr:rowOff>
        </xdr:to>
        <xdr:sp macro="[0]!AutoCalcReport">
          <xdr:nvSpPr>
            <xdr:cNvPr id="4099" name="Button 3" hidden="1">
              <a:extLst>
                <a:ext uri="{63B3BB69-23CF-44E3-9099-C40C66FF867C}">
                  <a14:compatExt spid="_x0000_s4099"/>
                </a:ext>
              </a:extLst>
            </xdr:cNvPr>
            <xdr:cNvSpPr/>
          </xdr:nvSpPr>
          <xdr:spPr>
            <a:xfrm>
              <a:off x="4248150" y="2057400"/>
              <a:ext cx="1485900" cy="314325"/>
            </a:xfrm>
            <a:prstGeom prst="rect">
              <a:avLst/>
            </a:prstGeom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宋体" panose="02010600030101010101" pitchFamily="7" charset="-122"/>
                  <a:ea typeface="宋体" panose="02010600030101010101" pitchFamily="7" charset="-122"/>
                </a:rPr>
                <a:t>导出荷载试验计算书</a:t>
              </a:r>
              <a:endParaRPr lang="zh-CN" altLang="en-US" sz="1100" b="0" i="0" u="none" strike="noStrike" baseline="0">
                <a:solidFill>
                  <a:srgbClr val="000000"/>
                </a:solidFill>
                <a:latin typeface="宋体" panose="02010600030101010101" pitchFamily="7" charset="-122"/>
                <a:ea typeface="宋体" panose="02010600030101010101" pitchFamily="7" charset="-122"/>
              </a:endParaRPr>
            </a:p>
          </xdr:txBody>
        </xdr:sp>
        <xdr:clientData fPrintsWithSheet="0"/>
      </xdr:twoCellAnchor>
    </mc:Choice>
    <mc:Fallback/>
  </mc:AlternateContent>
  <xdr:twoCellAnchor>
    <xdr:from>
      <xdr:col>12</xdr:col>
      <xdr:colOff>266700</xdr:colOff>
      <xdr:row>10</xdr:row>
      <xdr:rowOff>94615</xdr:rowOff>
    </xdr:from>
    <xdr:to>
      <xdr:col>18</xdr:col>
      <xdr:colOff>76200</xdr:colOff>
      <xdr:row>32</xdr:row>
      <xdr:rowOff>152400</xdr:rowOff>
    </xdr:to>
    <xdr:sp>
      <xdr:nvSpPr>
        <xdr:cNvPr id="4" name="文本框 3"/>
        <xdr:cNvSpPr txBox="1"/>
      </xdr:nvSpPr>
      <xdr:spPr>
        <a:xfrm>
          <a:off x="8496300" y="1904365"/>
          <a:ext cx="3924300" cy="4039235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zh-CN" altLang="en-US" sz="1100"/>
            <a:t>使用说明：</a:t>
          </a:r>
          <a:endParaRPr lang="en-US" altLang="zh-CN" sz="1100"/>
        </a:p>
        <a:p>
          <a:endParaRPr lang="en-US" altLang="zh-CN" sz="1100"/>
        </a:p>
        <a:p>
          <a:r>
            <a:rPr lang="en-US" altLang="zh-CN" sz="1100"/>
            <a:t>1</a:t>
          </a:r>
          <a:r>
            <a:rPr lang="zh-CN" altLang="en-US" sz="1100"/>
            <a:t>、需要先计算挠度和应变，才能使用导出功能；</a:t>
          </a:r>
          <a:endParaRPr lang="en-US" altLang="zh-CN" sz="1100"/>
        </a:p>
        <a:p>
          <a:r>
            <a:rPr lang="zh-CN" altLang="en-US" sz="1100">
              <a:solidFill>
                <a:srgbClr val="FF0000"/>
              </a:solidFill>
            </a:rPr>
            <a:t>（</a:t>
          </a:r>
          <a:r>
            <a:rPr lang="zh-CN" altLang="zh-CN" sz="1100">
              <a:solidFill>
                <a:srgbClr val="FF0000"/>
              </a:solidFill>
              <a:effectLst/>
              <a:latin typeface="+mn-lt"/>
              <a:ea typeface="+mn-ea"/>
              <a:cs typeface="+mn-cs"/>
            </a:rPr>
            <a:t>计算</a:t>
          </a:r>
          <a:r>
            <a:rPr lang="zh-CN" altLang="en-US" sz="1100">
              <a:solidFill>
                <a:srgbClr val="FF0000"/>
              </a:solidFill>
            </a:rPr>
            <a:t>应变、挠度后，若时间过太久，内存中的数据会被系统回收，此时需重新计算才能使用导出功能）</a:t>
          </a:r>
          <a:endParaRPr lang="en-US" altLang="zh-CN" sz="1100">
            <a:solidFill>
              <a:srgbClr val="FF0000"/>
            </a:solidFill>
          </a:endParaRPr>
        </a:p>
        <a:p>
          <a:endParaRPr lang="en-US" altLang="zh-CN" sz="1100"/>
        </a:p>
        <a:p>
          <a:r>
            <a:rPr lang="en-US" altLang="zh-CN" sz="1100">
              <a:solidFill>
                <a:srgbClr val="FF0000"/>
              </a:solidFill>
            </a:rPr>
            <a:t>2</a:t>
          </a:r>
          <a:r>
            <a:rPr lang="zh-CN" altLang="en-US" sz="1100">
              <a:solidFill>
                <a:srgbClr val="FF0000"/>
              </a:solidFill>
            </a:rPr>
            <a:t>、生成报告的数据是基于所输入的原始测量数据计算得到的结果，修改</a:t>
          </a:r>
          <a:r>
            <a:rPr lang="en-US" altLang="zh-CN" sz="1100">
              <a:solidFill>
                <a:srgbClr val="FF0000"/>
              </a:solidFill>
            </a:rPr>
            <a:t>excel</a:t>
          </a:r>
          <a:r>
            <a:rPr lang="zh-CN" altLang="en-US" sz="1100">
              <a:solidFill>
                <a:srgbClr val="FF0000"/>
              </a:solidFill>
            </a:rPr>
            <a:t>中的计算结果不影响导出报告的数据；</a:t>
          </a:r>
          <a:endParaRPr lang="en-US" altLang="zh-CN" sz="1100">
            <a:solidFill>
              <a:srgbClr val="FF0000"/>
            </a:solidFill>
          </a:endParaRPr>
        </a:p>
        <a:p>
          <a:endParaRPr lang="zh-CN" altLang="en-US" sz="1100"/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defRPr/>
          </a:pPr>
          <a:r>
            <a:rPr lang="en-US" altLang="zh-CN" sz="1100"/>
            <a:t>3</a:t>
          </a:r>
          <a:r>
            <a:rPr lang="zh-CN" altLang="en-US" sz="1100"/>
            <a:t>、若导出失败，请尝试在任务管理器中关闭所有</a:t>
          </a:r>
          <a:r>
            <a:rPr lang="en-US" altLang="zh-CN" sz="1100"/>
            <a:t>word</a:t>
          </a:r>
          <a:r>
            <a:rPr lang="zh-CN" altLang="en-US" sz="1100"/>
            <a:t>进程，再重新进行导出（</a:t>
          </a:r>
          <a:r>
            <a:rPr lang="zh-CN" altLang="zh-CN" sz="110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打开任务管理器方法</a:t>
          </a:r>
          <a:r>
            <a:rPr lang="zh-CN" altLang="en-US" sz="110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：</a:t>
          </a:r>
          <a:r>
            <a:rPr lang="en-US" altLang="zh-CN" sz="110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Ctrl+alt+del</a:t>
          </a:r>
          <a:r>
            <a:rPr lang="zh-CN" altLang="en-US" sz="1100"/>
            <a:t>）；</a:t>
          </a:r>
          <a:endParaRPr lang="en-US" altLang="zh-CN" sz="1100"/>
        </a:p>
        <a:p>
          <a:pPr algn="l"/>
          <a:endParaRPr lang="en-US" altLang="zh-CN" sz="1100"/>
        </a:p>
        <a:p>
          <a:pPr algn="l"/>
          <a:r>
            <a:rPr lang="en-US" altLang="zh-CN" sz="1100"/>
            <a:t>4</a:t>
          </a:r>
          <a:r>
            <a:rPr lang="zh-CN" altLang="en-US" sz="1100"/>
            <a:t>、“导出</a:t>
          </a:r>
          <a:r>
            <a:rPr lang="en-US" altLang="zh-CN" sz="1100"/>
            <a:t>Word</a:t>
          </a:r>
          <a:r>
            <a:rPr lang="zh-CN" altLang="en-US" sz="1100"/>
            <a:t>报告”生成的报告为“自动生成的报告</a:t>
          </a:r>
          <a:r>
            <a:rPr lang="en-US" altLang="zh-CN" sz="1100"/>
            <a:t>.docx</a:t>
          </a:r>
          <a:r>
            <a:rPr lang="zh-CN" altLang="en-US" sz="1100"/>
            <a:t>”，“桥梁静动载试验报告模板</a:t>
          </a:r>
          <a:r>
            <a:rPr lang="en-US" altLang="zh-CN" sz="1100"/>
            <a:t>.docx</a:t>
          </a:r>
          <a:r>
            <a:rPr lang="zh-CN" altLang="en-US" sz="1100"/>
            <a:t>”不要修改；</a:t>
          </a:r>
          <a:endParaRPr lang="en-US" altLang="zh-CN" sz="1100"/>
        </a:p>
        <a:p>
          <a:pPr algn="l"/>
          <a:endParaRPr lang="en-US" altLang="zh-CN" sz="1100"/>
        </a:p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defRPr/>
          </a:pPr>
          <a:r>
            <a:rPr lang="en-US" altLang="zh-CN" sz="110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5</a:t>
          </a:r>
          <a:r>
            <a:rPr lang="zh-CN" altLang="en-US" sz="110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、</a:t>
          </a:r>
          <a:r>
            <a:rPr lang="zh-CN" altLang="zh-CN" sz="110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“导出</a:t>
          </a:r>
          <a:r>
            <a:rPr lang="en-US" altLang="zh-CN" sz="110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Word</a:t>
          </a:r>
          <a:r>
            <a:rPr lang="zh-CN" altLang="en-US" sz="110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计算书</a:t>
          </a:r>
          <a:r>
            <a:rPr lang="zh-CN" altLang="zh-CN" sz="110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”生成</a:t>
          </a:r>
          <a:r>
            <a:rPr lang="zh-CN" altLang="en-US" sz="110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的计算书为</a:t>
          </a:r>
          <a:r>
            <a:rPr lang="zh-CN" altLang="zh-CN" sz="110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“自动生成的</a:t>
          </a:r>
          <a:r>
            <a:rPr lang="zh-CN" altLang="en-US" sz="110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计算书</a:t>
          </a:r>
          <a:r>
            <a:rPr lang="en-US" altLang="zh-CN" sz="110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.docx</a:t>
          </a:r>
          <a:r>
            <a:rPr lang="zh-CN" altLang="zh-CN" sz="110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”，“桥梁静动载试验计算书模板</a:t>
          </a:r>
          <a:r>
            <a:rPr lang="en-US" altLang="zh-CN" sz="110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.docx</a:t>
          </a:r>
          <a:r>
            <a:rPr lang="zh-CN" altLang="zh-CN" sz="110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”不要修改；</a:t>
          </a:r>
          <a:endParaRPr lang="zh-CN" altLang="zh-CN" sz="1100">
            <a:solidFill>
              <a:schemeClr val="dk1"/>
            </a:solidFill>
            <a:effectLst/>
            <a:latin typeface="+mn-lt"/>
            <a:ea typeface="+mn-ea"/>
            <a:cs typeface="+mn-cs"/>
          </a:endParaRPr>
        </a:p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defRPr/>
          </a:pPr>
          <a:endParaRPr lang="zh-CN" altLang="zh-CN" sz="1100">
            <a:solidFill>
              <a:schemeClr val="dk1"/>
            </a:solidFill>
            <a:effectLst/>
            <a:latin typeface="+mn-lt"/>
            <a:ea typeface="+mn-ea"/>
            <a:cs typeface="+mn-cs"/>
          </a:endParaRPr>
        </a:p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defRPr/>
          </a:pPr>
          <a:r>
            <a:rPr lang="en-US" altLang="zh-CN">
              <a:effectLst/>
              <a:sym typeface="+mn-ea"/>
            </a:rPr>
            <a:t>6</a:t>
          </a:r>
          <a:r>
            <a:rPr lang="zh-CN" altLang="en-US">
              <a:effectLst/>
              <a:sym typeface="+mn-ea"/>
            </a:rPr>
            <a:t>、若对自动生成的排版不满意，可将需要部分拷贝到自己的模板中</a:t>
          </a:r>
          <a:r>
            <a:rPr lang="zh-CN" altLang="zh-CN">
              <a:effectLst/>
              <a:sym typeface="+mn-ea"/>
            </a:rPr>
            <a:t>。</a:t>
          </a:r>
          <a:endParaRPr lang="zh-CN" altLang="zh-CN" sz="1100">
            <a:solidFill>
              <a:schemeClr val="dk1"/>
            </a:solidFill>
            <a:effectLst/>
            <a:latin typeface="+mn-lt"/>
            <a:ea typeface="+mn-ea"/>
            <a:cs typeface="+mn-cs"/>
          </a:endParaRPr>
        </a:p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defRPr/>
          </a:pPr>
          <a:endParaRPr lang="zh-CN" altLang="zh-CN">
            <a:effectLst/>
          </a:endParaRPr>
        </a:p>
        <a:p>
          <a:pPr algn="l"/>
          <a:endParaRPr lang="en-US" altLang="zh-CN" sz="1100"/>
        </a:p>
        <a:p>
          <a:pPr algn="l"/>
          <a:endParaRPr lang="zh-CN" altLang="en-US" sz="1100"/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104775</xdr:colOff>
          <xdr:row>18</xdr:row>
          <xdr:rowOff>104775</xdr:rowOff>
        </xdr:from>
        <xdr:to>
          <xdr:col>8</xdr:col>
          <xdr:colOff>9525</xdr:colOff>
          <xdr:row>20</xdr:row>
          <xdr:rowOff>47625</xdr:rowOff>
        </xdr:to>
        <xdr:sp macro="[0]!AutoThrustReport">
          <xdr:nvSpPr>
            <xdr:cNvPr id="4100" name="Button 4" hidden="1">
              <a:extLst>
                <a:ext uri="{63B3BB69-23CF-44E3-9099-C40C66FF867C}">
                  <a14:compatExt spid="_x0000_s4100"/>
                </a:ext>
              </a:extLst>
            </xdr:cNvPr>
            <xdr:cNvSpPr/>
          </xdr:nvSpPr>
          <xdr:spPr>
            <a:xfrm>
              <a:off x="4219575" y="3362325"/>
              <a:ext cx="1276350" cy="304800"/>
            </a:xfrm>
            <a:prstGeom prst="rect">
              <a:avLst/>
            </a:prstGeom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宋体" panose="02010600030101010101" pitchFamily="7" charset="-122"/>
                  <a:ea typeface="宋体" panose="02010600030101010101" pitchFamily="7" charset="-122"/>
                </a:rPr>
                <a:t>导出栏杆推力报告</a:t>
              </a:r>
              <a:endParaRPr lang="zh-CN" altLang="en-US" sz="1100" b="0" i="0" u="none" strike="noStrike" baseline="0">
                <a:solidFill>
                  <a:srgbClr val="000000"/>
                </a:solidFill>
                <a:latin typeface="宋体" panose="02010600030101010101" pitchFamily="7" charset="-122"/>
                <a:ea typeface="宋体" panose="02010600030101010101" pitchFamily="7" charset="-122"/>
              </a:endParaRP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485775</xdr:colOff>
          <xdr:row>4</xdr:row>
          <xdr:rowOff>0</xdr:rowOff>
        </xdr:from>
        <xdr:to>
          <xdr:col>11</xdr:col>
          <xdr:colOff>400050</xdr:colOff>
          <xdr:row>6</xdr:row>
          <xdr:rowOff>9525</xdr:rowOff>
        </xdr:to>
        <xdr:sp>
          <xdr:nvSpPr>
            <xdr:cNvPr id="4101" name="ExportRelationChartCheckBox" hidden="1">
              <a:extLst>
                <a:ext uri="{63B3BB69-23CF-44E3-9099-C40C66FF867C}">
                  <a14:compatExt spid="_x0000_s4101"/>
                </a:ext>
              </a:extLst>
            </xdr:cNvPr>
            <xdr:cNvSpPr/>
          </xdr:nvSpPr>
          <xdr:spPr>
            <a:xfrm>
              <a:off x="5972175" y="723900"/>
              <a:ext cx="1971675" cy="371475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zh-CN" altLang="en-US" sz="900" b="0" i="0" u="none" strike="noStrike" baseline="0">
                  <a:solidFill>
                    <a:srgbClr val="000000"/>
                  </a:solidFill>
                  <a:latin typeface="宋体" panose="02010600030101010101" pitchFamily="7" charset="-122"/>
                  <a:ea typeface="宋体" panose="02010600030101010101" pitchFamily="7" charset="-122"/>
                </a:rPr>
                <a:t>导出实测值与理论计算值关系曲线</a:t>
              </a:r>
              <a:endParaRPr lang="zh-CN" altLang="en-US" sz="900" b="0" i="0" u="none" strike="noStrike" baseline="0">
                <a:solidFill>
                  <a:srgbClr val="000000"/>
                </a:solidFill>
                <a:latin typeface="宋体" panose="02010600030101010101" pitchFamily="7" charset="-122"/>
                <a:ea typeface="宋体" panose="02010600030101010101" pitchFamily="7" charset="-122"/>
              </a:endParaRPr>
            </a:p>
          </xdr:txBody>
        </xdr:sp>
        <xdr:clientData/>
      </xdr:twoCellAnchor>
    </mc:Choice>
    <mc:Fallback/>
  </mc:AlternateContent>
  <xdr:twoCellAnchor>
    <xdr:from>
      <xdr:col>12</xdr:col>
      <xdr:colOff>381000</xdr:colOff>
      <xdr:row>3</xdr:row>
      <xdr:rowOff>133350</xdr:rowOff>
    </xdr:from>
    <xdr:to>
      <xdr:col>17</xdr:col>
      <xdr:colOff>485140</xdr:colOff>
      <xdr:row>6</xdr:row>
      <xdr:rowOff>123825</xdr:rowOff>
    </xdr:to>
    <xdr:sp>
      <xdr:nvSpPr>
        <xdr:cNvPr id="2" name="文本框 1"/>
        <xdr:cNvSpPr txBox="1"/>
      </xdr:nvSpPr>
      <xdr:spPr>
        <a:xfrm>
          <a:off x="8610600" y="676275"/>
          <a:ext cx="3533140" cy="533400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>
          <a:noAutofit/>
        </a:bodyPr>
        <a:lstStyle/>
        <a:p>
          <a:pPr algn="l"/>
          <a:r>
            <a:rPr lang="zh-CN" altLang="en-US" sz="1100">
              <a:ea typeface="宋体" panose="02010600030101010101" pitchFamily="7" charset="-122"/>
            </a:rPr>
            <a:t>注：</a:t>
          </a:r>
          <a:r>
            <a:rPr lang="en-US" altLang="zh-CN" sz="1100"/>
            <a:t>“</a:t>
          </a:r>
          <a:r>
            <a:rPr lang="zh-CN" altLang="en-US" sz="1100">
              <a:ea typeface="宋体" panose="02010600030101010101" pitchFamily="7" charset="-122"/>
            </a:rPr>
            <a:t>导出实测值与理论计算值关系曲线</a:t>
          </a:r>
          <a:r>
            <a:rPr lang="en-US" altLang="zh-CN" sz="1100">
              <a:ea typeface="宋体" panose="02010600030101010101" pitchFamily="7" charset="-122"/>
            </a:rPr>
            <a:t>”</a:t>
          </a:r>
          <a:r>
            <a:rPr lang="zh-CN" altLang="en-US" sz="1100">
              <a:ea typeface="宋体" panose="02010600030101010101" pitchFamily="7" charset="-122"/>
            </a:rPr>
            <a:t>功能使用需要先做出挠度和应变的关系曲线</a:t>
          </a:r>
          <a:endParaRPr lang="zh-CN" altLang="en-US" sz="1100">
            <a:ea typeface="宋体" panose="02010600030101010101" pitchFamily="7" charset="-122"/>
          </a:endParaRP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85725</xdr:colOff>
          <xdr:row>3</xdr:row>
          <xdr:rowOff>85725</xdr:rowOff>
        </xdr:from>
        <xdr:to>
          <xdr:col>11</xdr:col>
          <xdr:colOff>457200</xdr:colOff>
          <xdr:row>8</xdr:row>
          <xdr:rowOff>114300</xdr:rowOff>
        </xdr:to>
        <xdr:sp>
          <xdr:nvSpPr>
            <xdr:cNvPr id="4103" name="Group Box 7" hidden="1">
              <a:extLst>
                <a:ext uri="{63B3BB69-23CF-44E3-9099-C40C66FF867C}">
                  <a14:compatExt spid="_x0000_s4103"/>
                </a:ext>
              </a:extLst>
            </xdr:cNvPr>
            <xdr:cNvSpPr/>
          </xdr:nvSpPr>
          <xdr:spPr>
            <a:xfrm>
              <a:off x="4200525" y="628650"/>
              <a:ext cx="3800475" cy="933450"/>
            </a:xfrm>
            <a:prstGeom prst="rect">
              <a:avLst/>
            </a:prstGeom>
          </xdr:spPr>
          <xdr:txBody>
            <a:bodyPr vertOverflow="clip" wrap="none" lIns="27432" tIns="18288" rIns="0" bIns="0" anchor="t" upright="1"/>
            <a:lstStyle/>
            <a:p>
              <a:pPr algn="l" rtl="0">
                <a:defRPr sz="1000"/>
              </a:pPr>
              <a:r>
                <a:rPr lang="zh-CN" altLang="en-US" sz="900" b="0" i="0" u="none" strike="noStrike" baseline="0">
                  <a:solidFill>
                    <a:srgbClr val="000000"/>
                  </a:solidFill>
                  <a:latin typeface="宋体" panose="02010600030101010101" pitchFamily="7" charset="-122"/>
                  <a:ea typeface="宋体" panose="02010600030101010101" pitchFamily="7" charset="-122"/>
                </a:rPr>
                <a:t>荷载试验报告</a:t>
              </a:r>
              <a:endParaRPr lang="zh-CN" altLang="en-US" sz="900" b="0" i="0" u="none" strike="noStrike" baseline="0">
                <a:solidFill>
                  <a:srgbClr val="000000"/>
                </a:solidFill>
                <a:latin typeface="宋体" panose="02010600030101010101" pitchFamily="7" charset="-122"/>
                <a:ea typeface="宋体" panose="02010600030101010101" pitchFamily="7" charset="-122"/>
              </a:endParaRP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66675</xdr:colOff>
          <xdr:row>10</xdr:row>
          <xdr:rowOff>9525</xdr:rowOff>
        </xdr:from>
        <xdr:to>
          <xdr:col>11</xdr:col>
          <xdr:colOff>485775</xdr:colOff>
          <xdr:row>16</xdr:row>
          <xdr:rowOff>66675</xdr:rowOff>
        </xdr:to>
        <xdr:sp>
          <xdr:nvSpPr>
            <xdr:cNvPr id="4104" name="Group Box 8" hidden="1">
              <a:extLst>
                <a:ext uri="{63B3BB69-23CF-44E3-9099-C40C66FF867C}">
                  <a14:compatExt spid="_x0000_s4104"/>
                </a:ext>
              </a:extLst>
            </xdr:cNvPr>
            <xdr:cNvSpPr/>
          </xdr:nvSpPr>
          <xdr:spPr>
            <a:xfrm>
              <a:off x="4181475" y="1819275"/>
              <a:ext cx="3848100" cy="1143000"/>
            </a:xfrm>
            <a:prstGeom prst="rect">
              <a:avLst/>
            </a:prstGeom>
          </xdr:spPr>
          <xdr:txBody>
            <a:bodyPr vertOverflow="clip" wrap="none" lIns="27432" tIns="18288" rIns="0" bIns="0" anchor="t" upright="1"/>
            <a:lstStyle/>
            <a:p>
              <a:pPr algn="l" rtl="0">
                <a:defRPr sz="1000"/>
              </a:pPr>
              <a:r>
                <a:rPr lang="zh-CN" altLang="en-US" sz="900" b="0" i="0" u="none" strike="noStrike" baseline="0">
                  <a:solidFill>
                    <a:srgbClr val="000000"/>
                  </a:solidFill>
                  <a:latin typeface="宋体" panose="02010600030101010101" pitchFamily="7" charset="-122"/>
                  <a:ea typeface="宋体" panose="02010600030101010101" pitchFamily="7" charset="-122"/>
                </a:rPr>
                <a:t>荷载试验计算书</a:t>
              </a:r>
              <a:endParaRPr lang="zh-CN" altLang="en-US" sz="900" b="0" i="0" u="none" strike="noStrike" baseline="0">
                <a:solidFill>
                  <a:srgbClr val="000000"/>
                </a:solidFill>
                <a:latin typeface="宋体" panose="02010600030101010101" pitchFamily="7" charset="-122"/>
                <a:ea typeface="宋体" panose="02010600030101010101" pitchFamily="7" charset="-122"/>
              </a:endParaRP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133350</xdr:colOff>
          <xdr:row>6</xdr:row>
          <xdr:rowOff>76200</xdr:rowOff>
        </xdr:from>
        <xdr:to>
          <xdr:col>8</xdr:col>
          <xdr:colOff>76200</xdr:colOff>
          <xdr:row>7</xdr:row>
          <xdr:rowOff>161925</xdr:rowOff>
        </xdr:to>
        <xdr:sp macro="[0]!OpenReport">
          <xdr:nvSpPr>
            <xdr:cNvPr id="4106" name="Button 10" hidden="1">
              <a:extLst>
                <a:ext uri="{63B3BB69-23CF-44E3-9099-C40C66FF867C}">
                  <a14:compatExt spid="_x0000_s4106"/>
                </a:ext>
              </a:extLst>
            </xdr:cNvPr>
            <xdr:cNvSpPr/>
          </xdr:nvSpPr>
          <xdr:spPr>
            <a:xfrm>
              <a:off x="4248150" y="1162050"/>
              <a:ext cx="1314450" cy="266700"/>
            </a:xfrm>
            <a:prstGeom prst="rect">
              <a:avLst/>
            </a:prstGeom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宋体" panose="02010600030101010101" pitchFamily="7" charset="-122"/>
                  <a:ea typeface="宋体" panose="02010600030101010101" pitchFamily="7" charset="-122"/>
                </a:rPr>
                <a:t>打开报告</a:t>
              </a:r>
              <a:endParaRPr lang="zh-CN" altLang="en-US" sz="1100" b="0" i="0" u="none" strike="noStrike" baseline="0">
                <a:solidFill>
                  <a:srgbClr val="000000"/>
                </a:solidFill>
                <a:latin typeface="宋体" panose="02010600030101010101" pitchFamily="7" charset="-122"/>
                <a:ea typeface="宋体" panose="02010600030101010101" pitchFamily="7" charset="-122"/>
              </a:endParaRP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161925</xdr:colOff>
          <xdr:row>13</xdr:row>
          <xdr:rowOff>123825</xdr:rowOff>
        </xdr:from>
        <xdr:to>
          <xdr:col>8</xdr:col>
          <xdr:colOff>228600</xdr:colOff>
          <xdr:row>15</xdr:row>
          <xdr:rowOff>47625</xdr:rowOff>
        </xdr:to>
        <xdr:sp macro="[0]!OpenCalcReport">
          <xdr:nvSpPr>
            <xdr:cNvPr id="4107" name="Button 11" hidden="1">
              <a:extLst>
                <a:ext uri="{63B3BB69-23CF-44E3-9099-C40C66FF867C}">
                  <a14:compatExt spid="_x0000_s4107"/>
                </a:ext>
              </a:extLst>
            </xdr:cNvPr>
            <xdr:cNvSpPr/>
          </xdr:nvSpPr>
          <xdr:spPr>
            <a:xfrm>
              <a:off x="4276725" y="2476500"/>
              <a:ext cx="1438275" cy="285750"/>
            </a:xfrm>
            <a:prstGeom prst="rect">
              <a:avLst/>
            </a:prstGeom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宋体" panose="02010600030101010101" pitchFamily="7" charset="-122"/>
                  <a:ea typeface="宋体" panose="02010600030101010101" pitchFamily="7" charset="-122"/>
                </a:rPr>
                <a:t>打开计算书</a:t>
              </a:r>
              <a:endParaRPr lang="zh-CN" altLang="en-US" sz="1100" b="0" i="0" u="none" strike="noStrike" baseline="0">
                <a:solidFill>
                  <a:srgbClr val="000000"/>
                </a:solidFill>
                <a:latin typeface="宋体" panose="02010600030101010101" pitchFamily="7" charset="-122"/>
                <a:ea typeface="宋体" panose="02010600030101010101" pitchFamily="7" charset="-122"/>
              </a:endParaRP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419100</xdr:colOff>
          <xdr:row>11</xdr:row>
          <xdr:rowOff>57150</xdr:rowOff>
        </xdr:from>
        <xdr:to>
          <xdr:col>11</xdr:col>
          <xdr:colOff>333375</xdr:colOff>
          <xdr:row>13</xdr:row>
          <xdr:rowOff>66675</xdr:rowOff>
        </xdr:to>
        <xdr:sp>
          <xdr:nvSpPr>
            <xdr:cNvPr id="4108" name="ExportRelationChartCheckBox_Calc" hidden="1">
              <a:extLst>
                <a:ext uri="{63B3BB69-23CF-44E3-9099-C40C66FF867C}">
                  <a14:compatExt spid="_x0000_s4108"/>
                </a:ext>
              </a:extLst>
            </xdr:cNvPr>
            <xdr:cNvSpPr/>
          </xdr:nvSpPr>
          <xdr:spPr>
            <a:xfrm>
              <a:off x="5905500" y="2047875"/>
              <a:ext cx="1971675" cy="371475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zh-CN" altLang="en-US" sz="900" b="0" i="0" u="none" strike="noStrike" baseline="0">
                  <a:solidFill>
                    <a:srgbClr val="000000"/>
                  </a:solidFill>
                  <a:latin typeface="宋体" panose="02010600030101010101" pitchFamily="7" charset="-122"/>
                  <a:ea typeface="宋体" panose="02010600030101010101" pitchFamily="7" charset="-122"/>
                </a:rPr>
                <a:t>导出实测值与理论计算值关系曲线</a:t>
              </a:r>
              <a:endParaRPr lang="zh-CN" altLang="en-US" sz="900" b="0" i="0" u="none" strike="noStrike" baseline="0">
                <a:solidFill>
                  <a:srgbClr val="000000"/>
                </a:solidFill>
                <a:latin typeface="宋体" panose="02010600030101010101" pitchFamily="7" charset="-122"/>
                <a:ea typeface="宋体" panose="02010600030101010101" pitchFamily="7" charset="-122"/>
              </a:endParaRPr>
            </a:p>
          </xdr:txBody>
        </xdr:sp>
        <xdr:clientData/>
      </xdr:twoCellAnchor>
    </mc:Choice>
    <mc:Fallback/>
  </mc:AlternateContent>
</xdr:wsDr>
</file>

<file path=xl/drawings/drawing7.xml><?xml version="1.0" encoding="utf-8"?>
<xdr:wsDr xmlns:xdr="http://schemas.openxmlformats.org/drawingml/2006/spreadsheetDrawing" xmlns:r="http://schemas.openxmlformats.org/officeDocument/2006/relationships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161925</xdr:colOff>
          <xdr:row>6</xdr:row>
          <xdr:rowOff>95250</xdr:rowOff>
        </xdr:from>
        <xdr:to>
          <xdr:col>9</xdr:col>
          <xdr:colOff>313055</xdr:colOff>
          <xdr:row>7</xdr:row>
          <xdr:rowOff>152400</xdr:rowOff>
        </xdr:to>
        <xdr:sp macro="[0]!AutoCover">
          <xdr:nvSpPr>
            <xdr:cNvPr id="19458" name="Button 2" hidden="1">
              <a:extLst>
                <a:ext uri="{63B3BB69-23CF-44E3-9099-C40C66FF867C}">
                  <a14:compatExt spid="_x0000_s19458"/>
                </a:ext>
              </a:extLst>
            </xdr:cNvPr>
            <xdr:cNvSpPr/>
          </xdr:nvSpPr>
          <xdr:spPr>
            <a:xfrm>
              <a:off x="4962525" y="1181100"/>
              <a:ext cx="1522730" cy="238125"/>
            </a:xfrm>
            <a:prstGeom prst="rect">
              <a:avLst/>
            </a:prstGeom>
          </xdr:spPr>
          <xdr:txBody>
            <a:bodyPr wrap="square" anchor="ctr" upright="1">
              <a:noAutofit/>
            </a:bodyPr>
            <a:p>
              <a:pPr algn="ctr" rtl="0"/>
              <a:r>
                <a:rPr lang="zh-CN" altLang="en-US">
                  <a:solidFill>
                    <a:srgbClr val="000000"/>
                  </a:solidFill>
                  <a:latin typeface="宋体" panose="02010600030101010101" pitchFamily="7" charset="-122"/>
                  <a:ea typeface="宋体" panose="02010600030101010101" pitchFamily="7" charset="-122"/>
                  <a:cs typeface="宋体" panose="02010600030101010101" pitchFamily="7" charset="-122"/>
                  <a:sym typeface="宋体" panose="02010600030101010101" pitchFamily="7" charset="-122"/>
                </a:rPr>
                <a:t>生成原始记录封面</a:t>
              </a:r>
              <a:endParaRPr lang="zh-CN" altLang="en-US">
                <a:solidFill>
                  <a:srgbClr val="000000"/>
                </a:solidFill>
                <a:latin typeface="宋体" panose="02010600030101010101" pitchFamily="7" charset="-122"/>
                <a:ea typeface="宋体" panose="02010600030101010101" pitchFamily="7" charset="-122"/>
                <a:cs typeface="宋体" panose="02010600030101010101" pitchFamily="7" charset="-122"/>
                <a:sym typeface="宋体" panose="02010600030101010101" pitchFamily="7" charset="-122"/>
              </a:endParaRP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114300</xdr:colOff>
          <xdr:row>8</xdr:row>
          <xdr:rowOff>142875</xdr:rowOff>
        </xdr:from>
        <xdr:to>
          <xdr:col>9</xdr:col>
          <xdr:colOff>514350</xdr:colOff>
          <xdr:row>10</xdr:row>
          <xdr:rowOff>75565</xdr:rowOff>
        </xdr:to>
        <xdr:sp macro="[0]!AutoContractReview">
          <xdr:nvSpPr>
            <xdr:cNvPr id="19459" name="Button 3" hidden="1">
              <a:extLst>
                <a:ext uri="{63B3BB69-23CF-44E3-9099-C40C66FF867C}">
                  <a14:compatExt spid="_x0000_s19459"/>
                </a:ext>
              </a:extLst>
            </xdr:cNvPr>
            <xdr:cNvSpPr/>
          </xdr:nvSpPr>
          <xdr:spPr>
            <a:xfrm>
              <a:off x="4914900" y="1590675"/>
              <a:ext cx="1771650" cy="294640"/>
            </a:xfrm>
            <a:prstGeom prst="rect">
              <a:avLst/>
            </a:prstGeom>
          </xdr:spPr>
          <xdr:txBody>
            <a:bodyPr wrap="square" anchor="ctr" upright="1">
              <a:noAutofit/>
            </a:bodyPr>
            <a:p>
              <a:pPr algn="ctr" rtl="0"/>
              <a:r>
                <a:rPr lang="zh-CN" altLang="en-US">
                  <a:solidFill>
                    <a:srgbClr val="000000"/>
                  </a:solidFill>
                  <a:latin typeface="宋体" panose="02010600030101010101" pitchFamily="7" charset="-122"/>
                  <a:ea typeface="宋体" panose="02010600030101010101" pitchFamily="7" charset="-122"/>
                  <a:cs typeface="宋体" panose="02010600030101010101" pitchFamily="7" charset="-122"/>
                  <a:sym typeface="宋体" panose="02010600030101010101" pitchFamily="7" charset="-122"/>
                </a:rPr>
                <a:t>生成合同定期评审记录表</a:t>
              </a:r>
              <a:endParaRPr lang="zh-CN" altLang="en-US">
                <a:solidFill>
                  <a:srgbClr val="000000"/>
                </a:solidFill>
                <a:latin typeface="宋体" panose="02010600030101010101" pitchFamily="7" charset="-122"/>
                <a:ea typeface="宋体" panose="02010600030101010101" pitchFamily="7" charset="-122"/>
                <a:cs typeface="宋体" panose="02010600030101010101" pitchFamily="7" charset="-122"/>
                <a:sym typeface="宋体" panose="02010600030101010101" pitchFamily="7" charset="-122"/>
              </a:endParaRP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104775</xdr:colOff>
          <xdr:row>11</xdr:row>
          <xdr:rowOff>38100</xdr:rowOff>
        </xdr:from>
        <xdr:to>
          <xdr:col>9</xdr:col>
          <xdr:colOff>581025</xdr:colOff>
          <xdr:row>12</xdr:row>
          <xdr:rowOff>105410</xdr:rowOff>
        </xdr:to>
        <xdr:sp macro="[0]!AutoInspectionBasicInfo">
          <xdr:nvSpPr>
            <xdr:cNvPr id="19460" name="Button 4" hidden="1">
              <a:extLst>
                <a:ext uri="{63B3BB69-23CF-44E3-9099-C40C66FF867C}">
                  <a14:compatExt spid="_x0000_s19460"/>
                </a:ext>
              </a:extLst>
            </xdr:cNvPr>
            <xdr:cNvSpPr/>
          </xdr:nvSpPr>
          <xdr:spPr>
            <a:xfrm>
              <a:off x="4905375" y="2028825"/>
              <a:ext cx="1847850" cy="248285"/>
            </a:xfrm>
            <a:prstGeom prst="rect">
              <a:avLst/>
            </a:prstGeom>
          </xdr:spPr>
          <xdr:txBody>
            <a:bodyPr wrap="square" anchor="ctr" upright="1">
              <a:noAutofit/>
            </a:bodyPr>
            <a:p>
              <a:pPr algn="ctr" rtl="0"/>
              <a:r>
                <a:rPr lang="zh-CN" altLang="en-US">
                  <a:solidFill>
                    <a:srgbClr val="000000"/>
                  </a:solidFill>
                  <a:latin typeface="宋体" panose="02010600030101010101" pitchFamily="7" charset="-122"/>
                  <a:ea typeface="宋体" panose="02010600030101010101" pitchFamily="7" charset="-122"/>
                  <a:cs typeface="宋体" panose="02010600030101010101" pitchFamily="7" charset="-122"/>
                  <a:sym typeface="宋体" panose="02010600030101010101" pitchFamily="7" charset="-122"/>
                </a:rPr>
                <a:t>生成现场检测基本信息</a:t>
              </a:r>
              <a:endParaRPr lang="zh-CN" altLang="en-US">
                <a:solidFill>
                  <a:srgbClr val="000000"/>
                </a:solidFill>
                <a:latin typeface="宋体" panose="02010600030101010101" pitchFamily="7" charset="-122"/>
                <a:ea typeface="宋体" panose="02010600030101010101" pitchFamily="7" charset="-122"/>
                <a:cs typeface="宋体" panose="02010600030101010101" pitchFamily="7" charset="-122"/>
                <a:sym typeface="宋体" panose="02010600030101010101" pitchFamily="7" charset="-122"/>
              </a:endParaRP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133350</xdr:colOff>
          <xdr:row>3</xdr:row>
          <xdr:rowOff>47625</xdr:rowOff>
        </xdr:from>
        <xdr:to>
          <xdr:col>10</xdr:col>
          <xdr:colOff>218440</xdr:colOff>
          <xdr:row>5</xdr:row>
          <xdr:rowOff>114300</xdr:rowOff>
        </xdr:to>
        <xdr:sp macro="[0]!AutoAllOriginalRecord">
          <xdr:nvSpPr>
            <xdr:cNvPr id="19462" name="Button 6" hidden="1">
              <a:extLst>
                <a:ext uri="{63B3BB69-23CF-44E3-9099-C40C66FF867C}">
                  <a14:compatExt spid="_x0000_s19462"/>
                </a:ext>
              </a:extLst>
            </xdr:cNvPr>
            <xdr:cNvSpPr/>
          </xdr:nvSpPr>
          <xdr:spPr>
            <a:xfrm>
              <a:off x="4933950" y="590550"/>
              <a:ext cx="2142490" cy="428625"/>
            </a:xfrm>
            <a:prstGeom prst="rect">
              <a:avLst/>
            </a:prstGeom>
          </xdr:spPr>
          <xdr:txBody>
            <a:bodyPr wrap="square" anchor="ctr" upright="1">
              <a:noAutofit/>
            </a:bodyPr>
            <a:p>
              <a:pPr algn="ctr" rtl="0"/>
              <a:r>
                <a:rPr lang="zh-CN" altLang="en-US">
                  <a:solidFill>
                    <a:srgbClr val="000000"/>
                  </a:solidFill>
                  <a:latin typeface="宋体" panose="02010600030101010101" pitchFamily="7" charset="-122"/>
                  <a:ea typeface="宋体" panose="02010600030101010101" pitchFamily="7" charset="-122"/>
                  <a:cs typeface="宋体" panose="02010600030101010101" pitchFamily="7" charset="-122"/>
                  <a:sym typeface="宋体" panose="02010600030101010101" pitchFamily="7" charset="-122"/>
                </a:rPr>
                <a:t>生成原始记录封面、合同定期评审记录表和现场检测基本信息</a:t>
              </a:r>
              <a:endParaRPr lang="zh-CN" altLang="en-US">
                <a:solidFill>
                  <a:srgbClr val="000000"/>
                </a:solidFill>
                <a:latin typeface="宋体" panose="02010600030101010101" pitchFamily="7" charset="-122"/>
                <a:ea typeface="宋体" panose="02010600030101010101" pitchFamily="7" charset="-122"/>
                <a:cs typeface="宋体" panose="02010600030101010101" pitchFamily="7" charset="-122"/>
                <a:sym typeface="宋体" panose="02010600030101010101" pitchFamily="7" charset="-122"/>
              </a:endParaRPr>
            </a:p>
          </xdr:txBody>
        </xdr:sp>
        <xdr:clientData fPrintsWithSheet="0"/>
      </xdr:twoCellAnchor>
    </mc:Choice>
    <mc:Fallback/>
  </mc:AlternateContent>
  <xdr:twoCellAnchor>
    <xdr:from>
      <xdr:col>11</xdr:col>
      <xdr:colOff>238125</xdr:colOff>
      <xdr:row>16</xdr:row>
      <xdr:rowOff>19050</xdr:rowOff>
    </xdr:from>
    <xdr:to>
      <xdr:col>16</xdr:col>
      <xdr:colOff>180975</xdr:colOff>
      <xdr:row>23</xdr:row>
      <xdr:rowOff>132715</xdr:rowOff>
    </xdr:to>
    <xdr:sp>
      <xdr:nvSpPr>
        <xdr:cNvPr id="2" name="文本框 1"/>
        <xdr:cNvSpPr txBox="1"/>
      </xdr:nvSpPr>
      <xdr:spPr>
        <a:xfrm>
          <a:off x="7781925" y="2914650"/>
          <a:ext cx="3371850" cy="1380490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p>
          <a:pPr algn="l"/>
          <a:r>
            <a:rPr lang="zh-CN" altLang="en-US" sz="1100"/>
            <a:t>注意事项：</a:t>
          </a:r>
          <a:endParaRPr lang="zh-CN" altLang="en-US" sz="1100"/>
        </a:p>
        <a:p>
          <a:pPr algn="l"/>
          <a:r>
            <a:rPr lang="en-US" altLang="zh-CN" sz="1100"/>
            <a:t>1</a:t>
          </a:r>
          <a:r>
            <a:rPr lang="zh-CN" altLang="en-US" sz="1100"/>
            <a:t>、生成记录后请打开文档</a:t>
          </a:r>
          <a:r>
            <a:rPr lang="zh-CN" altLang="en-US" sz="1100">
              <a:solidFill>
                <a:srgbClr val="FF0000"/>
              </a:solidFill>
            </a:rPr>
            <a:t>检查生成结果是否正确</a:t>
          </a:r>
          <a:r>
            <a:rPr lang="zh-CN" altLang="en-US" sz="1100"/>
            <a:t>；</a:t>
          </a:r>
          <a:endParaRPr lang="zh-CN" altLang="en-US" sz="1100"/>
        </a:p>
        <a:p>
          <a:pPr algn="l"/>
          <a:r>
            <a:rPr lang="en-US" altLang="zh-CN" sz="1100"/>
            <a:t>2</a:t>
          </a:r>
          <a:r>
            <a:rPr lang="zh-CN" altLang="en-US" sz="1100"/>
            <a:t>、自动生成的现场检测基本信息不包括校准有效期，请自行填写；</a:t>
          </a:r>
          <a:endParaRPr lang="zh-CN" altLang="en-US" sz="1100"/>
        </a:p>
        <a:p>
          <a:pPr algn="l"/>
          <a:r>
            <a:rPr lang="en-US" altLang="zh-CN" sz="1100"/>
            <a:t>3</a:t>
          </a:r>
          <a:r>
            <a:rPr lang="zh-CN" altLang="en-US" sz="1100">
              <a:ea typeface="宋体" panose="02010600030101010101" pitchFamily="7" charset="-122"/>
            </a:rPr>
            <a:t>、请自行校核现场仪器是否存在使用时间、空间上的冲突；</a:t>
          </a:r>
          <a:endParaRPr lang="zh-CN" altLang="en-US" sz="1100">
            <a:ea typeface="宋体" panose="02010600030101010101" pitchFamily="7" charset="-122"/>
          </a:endParaRPr>
        </a:p>
      </xdr:txBody>
    </xdr:sp>
    <xdr:clientData/>
  </xdr:twoCellAnchor>
  <xdr:twoCellAnchor>
    <xdr:from>
      <xdr:col>12</xdr:col>
      <xdr:colOff>66675</xdr:colOff>
      <xdr:row>4</xdr:row>
      <xdr:rowOff>104775</xdr:rowOff>
    </xdr:from>
    <xdr:to>
      <xdr:col>17</xdr:col>
      <xdr:colOff>47625</xdr:colOff>
      <xdr:row>11</xdr:row>
      <xdr:rowOff>161925</xdr:rowOff>
    </xdr:to>
    <xdr:sp>
      <xdr:nvSpPr>
        <xdr:cNvPr id="3" name="文本框 2"/>
        <xdr:cNvSpPr txBox="1"/>
      </xdr:nvSpPr>
      <xdr:spPr>
        <a:xfrm>
          <a:off x="8296275" y="828675"/>
          <a:ext cx="3409950" cy="1323975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>
          <a:noAutofit/>
        </a:bodyPr>
        <a:p>
          <a:pPr algn="l"/>
          <a:r>
            <a:rPr lang="zh-CN" altLang="en-US" sz="1100"/>
            <a:t>使用说明：</a:t>
          </a:r>
          <a:endParaRPr lang="zh-CN" altLang="en-US" sz="1100"/>
        </a:p>
        <a:p>
          <a:pPr algn="l"/>
          <a:r>
            <a:rPr lang="en-US" altLang="zh-CN" sz="1100"/>
            <a:t>1</a:t>
          </a:r>
          <a:r>
            <a:rPr lang="zh-CN" altLang="en-US" sz="1100"/>
            <a:t>、将写完的报告复制到</a:t>
          </a:r>
          <a:r>
            <a:rPr lang="en-US" altLang="zh-CN" sz="1100"/>
            <a:t>”报告”</a:t>
          </a:r>
          <a:r>
            <a:rPr lang="zh-CN" altLang="en-US" sz="1100"/>
            <a:t>文件夹下；</a:t>
          </a:r>
          <a:endParaRPr lang="zh-CN" altLang="en-US" sz="1100"/>
        </a:p>
        <a:p>
          <a:pPr algn="l"/>
          <a:r>
            <a:rPr lang="en-US" altLang="zh-CN" sz="1100"/>
            <a:t>2</a:t>
          </a:r>
          <a:r>
            <a:rPr lang="zh-CN" altLang="en-US" sz="1100"/>
            <a:t>、根据需要点击左边的按钮，等待结果的生成；</a:t>
          </a:r>
          <a:endParaRPr lang="zh-CN" altLang="en-US" sz="1100"/>
        </a:p>
        <a:p>
          <a:pPr algn="l"/>
          <a:r>
            <a:rPr lang="en-US" altLang="zh-CN" sz="1100"/>
            <a:t>3</a:t>
          </a:r>
          <a:r>
            <a:rPr lang="zh-CN" altLang="en-US" sz="1100"/>
            <a:t>、生成结果在</a:t>
          </a:r>
          <a:r>
            <a:rPr lang="en-US" altLang="zh-CN" sz="1100"/>
            <a:t>“自动生成的原始记录”</a:t>
          </a:r>
          <a:r>
            <a:rPr lang="zh-CN" altLang="en-US" sz="1100"/>
            <a:t>文件夹下；</a:t>
          </a:r>
          <a:endParaRPr lang="zh-CN" altLang="en-US" sz="1100"/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619125</xdr:colOff>
          <xdr:row>6</xdr:row>
          <xdr:rowOff>104775</xdr:rowOff>
        </xdr:from>
        <xdr:to>
          <xdr:col>11</xdr:col>
          <xdr:colOff>104775</xdr:colOff>
          <xdr:row>7</xdr:row>
          <xdr:rowOff>142875</xdr:rowOff>
        </xdr:to>
        <xdr:sp macro="[0]!OpenCover">
          <xdr:nvSpPr>
            <xdr:cNvPr id="19463" name="Button 7" hidden="1">
              <a:extLst>
                <a:ext uri="{63B3BB69-23CF-44E3-9099-C40C66FF867C}">
                  <a14:compatExt spid="_x0000_s19463"/>
                </a:ext>
              </a:extLst>
            </xdr:cNvPr>
            <xdr:cNvSpPr/>
          </xdr:nvSpPr>
          <xdr:spPr>
            <a:xfrm>
              <a:off x="6791325" y="1190625"/>
              <a:ext cx="857250" cy="219075"/>
            </a:xfrm>
            <a:prstGeom prst="rect">
              <a:avLst/>
            </a:prstGeom>
          </xdr:spPr>
          <xdr:txBody>
            <a:bodyPr wrap="square" anchor="ctr" upright="1">
              <a:noAutofit/>
            </a:bodyPr>
            <a:p>
              <a:pPr algn="ctr" rtl="0"/>
              <a:r>
                <a:rPr lang="zh-CN" altLang="en-US">
                  <a:solidFill>
                    <a:srgbClr val="000000"/>
                  </a:solidFill>
                  <a:latin typeface="宋体" panose="02010600030101010101" pitchFamily="7" charset="-122"/>
                  <a:ea typeface="宋体" panose="02010600030101010101" pitchFamily="7" charset="-122"/>
                  <a:cs typeface="宋体" panose="02010600030101010101" pitchFamily="7" charset="-122"/>
                  <a:sym typeface="宋体" panose="02010600030101010101" pitchFamily="7" charset="-122"/>
                </a:rPr>
                <a:t>打开</a:t>
              </a:r>
              <a:endParaRPr lang="zh-CN" altLang="en-US">
                <a:solidFill>
                  <a:srgbClr val="000000"/>
                </a:solidFill>
                <a:latin typeface="宋体" panose="02010600030101010101" pitchFamily="7" charset="-122"/>
                <a:ea typeface="宋体" panose="02010600030101010101" pitchFamily="7" charset="-122"/>
                <a:cs typeface="宋体" panose="02010600030101010101" pitchFamily="7" charset="-122"/>
                <a:sym typeface="宋体" panose="02010600030101010101" pitchFamily="7" charset="-122"/>
              </a:endParaRP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666750</xdr:colOff>
          <xdr:row>8</xdr:row>
          <xdr:rowOff>152400</xdr:rowOff>
        </xdr:from>
        <xdr:to>
          <xdr:col>11</xdr:col>
          <xdr:colOff>152400</xdr:colOff>
          <xdr:row>10</xdr:row>
          <xdr:rowOff>28575</xdr:rowOff>
        </xdr:to>
        <xdr:sp macro="[0]!OpenContractReview">
          <xdr:nvSpPr>
            <xdr:cNvPr id="19464" name="Button 8" hidden="1">
              <a:extLst>
                <a:ext uri="{63B3BB69-23CF-44E3-9099-C40C66FF867C}">
                  <a14:compatExt spid="_x0000_s19464"/>
                </a:ext>
              </a:extLst>
            </xdr:cNvPr>
            <xdr:cNvSpPr/>
          </xdr:nvSpPr>
          <xdr:spPr>
            <a:xfrm>
              <a:off x="6838950" y="1600200"/>
              <a:ext cx="857250" cy="238125"/>
            </a:xfrm>
            <a:prstGeom prst="rect">
              <a:avLst/>
            </a:prstGeom>
          </xdr:spPr>
          <xdr:txBody>
            <a:bodyPr wrap="square" anchor="ctr" upright="1">
              <a:noAutofit/>
            </a:bodyPr>
            <a:p>
              <a:pPr algn="ctr" rtl="0"/>
              <a:r>
                <a:rPr lang="zh-CN" altLang="en-US">
                  <a:solidFill>
                    <a:srgbClr val="000000"/>
                  </a:solidFill>
                  <a:latin typeface="宋体" panose="02010600030101010101" pitchFamily="7" charset="-122"/>
                  <a:ea typeface="宋体" panose="02010600030101010101" pitchFamily="7" charset="-122"/>
                  <a:cs typeface="宋体" panose="02010600030101010101" pitchFamily="7" charset="-122"/>
                  <a:sym typeface="宋体" panose="02010600030101010101" pitchFamily="7" charset="-122"/>
                </a:rPr>
                <a:t>打开</a:t>
              </a:r>
              <a:endParaRPr lang="zh-CN" altLang="en-US">
                <a:solidFill>
                  <a:srgbClr val="000000"/>
                </a:solidFill>
                <a:latin typeface="宋体" panose="02010600030101010101" pitchFamily="7" charset="-122"/>
                <a:ea typeface="宋体" panose="02010600030101010101" pitchFamily="7" charset="-122"/>
                <a:cs typeface="宋体" panose="02010600030101010101" pitchFamily="7" charset="-122"/>
                <a:sym typeface="宋体" panose="02010600030101010101" pitchFamily="7" charset="-122"/>
              </a:endParaRP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76200</xdr:colOff>
          <xdr:row>11</xdr:row>
          <xdr:rowOff>47625</xdr:rowOff>
        </xdr:from>
        <xdr:to>
          <xdr:col>11</xdr:col>
          <xdr:colOff>247650</xdr:colOff>
          <xdr:row>12</xdr:row>
          <xdr:rowOff>76200</xdr:rowOff>
        </xdr:to>
        <xdr:sp macro="[0]!OpenInspectionBasicInfo">
          <xdr:nvSpPr>
            <xdr:cNvPr id="19465" name="Button 9" hidden="1">
              <a:extLst>
                <a:ext uri="{63B3BB69-23CF-44E3-9099-C40C66FF867C}">
                  <a14:compatExt spid="_x0000_s19465"/>
                </a:ext>
              </a:extLst>
            </xdr:cNvPr>
            <xdr:cNvSpPr/>
          </xdr:nvSpPr>
          <xdr:spPr>
            <a:xfrm>
              <a:off x="6934200" y="2038350"/>
              <a:ext cx="857250" cy="209550"/>
            </a:xfrm>
            <a:prstGeom prst="rect">
              <a:avLst/>
            </a:prstGeom>
          </xdr:spPr>
          <xdr:txBody>
            <a:bodyPr wrap="square" anchor="ctr" upright="1">
              <a:noAutofit/>
            </a:bodyPr>
            <a:p>
              <a:pPr algn="ctr" rtl="0"/>
              <a:r>
                <a:rPr lang="zh-CN" altLang="en-US">
                  <a:solidFill>
                    <a:srgbClr val="000000"/>
                  </a:solidFill>
                  <a:latin typeface="宋体" panose="02010600030101010101" pitchFamily="7" charset="-122"/>
                  <a:ea typeface="宋体" panose="02010600030101010101" pitchFamily="7" charset="-122"/>
                  <a:cs typeface="宋体" panose="02010600030101010101" pitchFamily="7" charset="-122"/>
                  <a:sym typeface="宋体" panose="02010600030101010101" pitchFamily="7" charset="-122"/>
                </a:rPr>
                <a:t>打开</a:t>
              </a:r>
              <a:endParaRPr lang="zh-CN" altLang="en-US">
                <a:solidFill>
                  <a:srgbClr val="000000"/>
                </a:solidFill>
                <a:latin typeface="宋体" panose="02010600030101010101" pitchFamily="7" charset="-122"/>
                <a:ea typeface="宋体" panose="02010600030101010101" pitchFamily="7" charset="-122"/>
                <a:cs typeface="宋体" panose="02010600030101010101" pitchFamily="7" charset="-122"/>
                <a:sym typeface="宋体" panose="02010600030101010101" pitchFamily="7" charset="-122"/>
              </a:endParaRPr>
            </a:p>
          </xdr:txBody>
        </xdr:sp>
        <xdr:clientData fPrintsWithSheet="0"/>
      </xdr:twoCellAnchor>
    </mc:Choice>
    <mc:Fallback/>
  </mc:AlternateContent>
</xdr:wsDr>
</file>

<file path=xl/drawings/drawing8.xml><?xml version="1.0" encoding="utf-8"?>
<xdr:wsDr xmlns:xdr="http://schemas.openxmlformats.org/drawingml/2006/spreadsheetDrawing" xmlns:r="http://schemas.openxmlformats.org/officeDocument/2006/relationships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619125</xdr:colOff>
          <xdr:row>6</xdr:row>
          <xdr:rowOff>171450</xdr:rowOff>
        </xdr:from>
        <xdr:to>
          <xdr:col>8</xdr:col>
          <xdr:colOff>257175</xdr:colOff>
          <xdr:row>8</xdr:row>
          <xdr:rowOff>47625</xdr:rowOff>
        </xdr:to>
        <xdr:sp macro="[0]!AutoLevelingSurveyTransform">
          <xdr:nvSpPr>
            <xdr:cNvPr id="8193" name="Button 1" hidden="1">
              <a:extLst>
                <a:ext uri="{63B3BB69-23CF-44E3-9099-C40C66FF867C}">
                  <a14:compatExt spid="_x0000_s8193"/>
                </a:ext>
              </a:extLst>
            </xdr:cNvPr>
            <xdr:cNvSpPr/>
          </xdr:nvSpPr>
          <xdr:spPr>
            <a:xfrm>
              <a:off x="6419850" y="1257300"/>
              <a:ext cx="1009650" cy="238125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等线" panose="02010600030101010101" charset="-122"/>
                  <a:ea typeface="等线" panose="02010600030101010101" charset="-122"/>
                </a:rPr>
                <a:t>自动计算</a:t>
              </a:r>
              <a:endParaRPr lang="zh-CN" altLang="en-US" sz="1100" b="0" i="0" u="none" strike="noStrike" baseline="0">
                <a:solidFill>
                  <a:srgbClr val="000000"/>
                </a:solidFill>
                <a:latin typeface="等线" panose="02010600030101010101" charset="-122"/>
                <a:ea typeface="等线" panose="02010600030101010101" charset="-122"/>
              </a:endParaRP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647700</xdr:colOff>
          <xdr:row>4</xdr:row>
          <xdr:rowOff>85725</xdr:rowOff>
        </xdr:from>
        <xdr:to>
          <xdr:col>8</xdr:col>
          <xdr:colOff>609600</xdr:colOff>
          <xdr:row>5</xdr:row>
          <xdr:rowOff>152400</xdr:rowOff>
        </xdr:to>
        <xdr:sp macro="[0]!LevelingSurveyDataClear">
          <xdr:nvSpPr>
            <xdr:cNvPr id="8194" name="Button 2" hidden="1">
              <a:extLst>
                <a:ext uri="{63B3BB69-23CF-44E3-9099-C40C66FF867C}">
                  <a14:compatExt spid="_x0000_s8194"/>
                </a:ext>
              </a:extLst>
            </xdr:cNvPr>
            <xdr:cNvSpPr/>
          </xdr:nvSpPr>
          <xdr:spPr>
            <a:xfrm>
              <a:off x="6448425" y="809625"/>
              <a:ext cx="1333500" cy="24765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等线" panose="02010600030101010101" charset="-122"/>
                  <a:ea typeface="等线" panose="02010600030101010101" charset="-122"/>
                </a:rPr>
                <a:t>重填水准测量数据</a:t>
              </a:r>
              <a:endParaRPr lang="zh-CN" altLang="en-US" sz="1100" b="0" i="0" u="none" strike="noStrike" baseline="0">
                <a:solidFill>
                  <a:srgbClr val="000000"/>
                </a:solidFill>
                <a:latin typeface="等线" panose="02010600030101010101" charset="-122"/>
                <a:ea typeface="等线" panose="02010600030101010101" charset="-122"/>
              </a:endParaRPr>
            </a:p>
          </xdr:txBody>
        </xdr:sp>
        <xdr:clientData fPrintsWithSheet="0"/>
      </xdr:twoCellAnchor>
    </mc:Choice>
    <mc:Fallback/>
  </mc:AlternateContent>
  <xdr:twoCellAnchor>
    <xdr:from>
      <xdr:col>4</xdr:col>
      <xdr:colOff>323850</xdr:colOff>
      <xdr:row>21</xdr:row>
      <xdr:rowOff>123825</xdr:rowOff>
    </xdr:from>
    <xdr:to>
      <xdr:col>7</xdr:col>
      <xdr:colOff>409575</xdr:colOff>
      <xdr:row>33</xdr:row>
      <xdr:rowOff>38100</xdr:rowOff>
    </xdr:to>
    <xdr:sp>
      <xdr:nvSpPr>
        <xdr:cNvPr id="4" name="文本框 3"/>
        <xdr:cNvSpPr txBox="1"/>
      </xdr:nvSpPr>
      <xdr:spPr>
        <a:xfrm>
          <a:off x="3695700" y="3924300"/>
          <a:ext cx="3200400" cy="2085975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zh-CN" altLang="en-US" sz="1100"/>
            <a:t>使用说明：</a:t>
          </a:r>
          <a:endParaRPr lang="en-US" altLang="zh-CN" sz="1100"/>
        </a:p>
        <a:p>
          <a:r>
            <a:rPr lang="en-US" altLang="zh-CN" sz="1100">
              <a:solidFill>
                <a:srgbClr val="FF0000"/>
              </a:solidFill>
            </a:rPr>
            <a:t>1</a:t>
          </a:r>
          <a:r>
            <a:rPr lang="zh-CN" altLang="en-US" sz="1100">
              <a:solidFill>
                <a:srgbClr val="FF0000"/>
              </a:solidFill>
            </a:rPr>
            <a:t>、本标签可实现水准测量数据自动转换功能；</a:t>
          </a:r>
          <a:endParaRPr lang="en-US" altLang="zh-CN" sz="1100">
            <a:solidFill>
              <a:srgbClr val="FF0000"/>
            </a:solidFill>
          </a:endParaRPr>
        </a:p>
        <a:p>
          <a:r>
            <a:rPr lang="en-US" altLang="zh-CN" sz="1100"/>
            <a:t>2</a:t>
          </a:r>
          <a:r>
            <a:rPr lang="zh-CN" altLang="en-US" sz="1100"/>
            <a:t>、参考输入示例填写水准测量数据；</a:t>
          </a:r>
          <a:endParaRPr lang="en-US" altLang="zh-CN" sz="1100"/>
        </a:p>
        <a:p>
          <a:r>
            <a:rPr lang="en-US" altLang="zh-CN" sz="1100"/>
            <a:t>3</a:t>
          </a:r>
          <a:r>
            <a:rPr lang="zh-CN" altLang="en-US" sz="1100"/>
            <a:t>、基点高程可填写</a:t>
          </a:r>
          <a:r>
            <a:rPr lang="en-US" altLang="zh-CN" sz="1100"/>
            <a:t>0</a:t>
          </a:r>
          <a:r>
            <a:rPr lang="zh-CN" altLang="en-US" sz="1100"/>
            <a:t>；</a:t>
          </a:r>
          <a:endParaRPr lang="en-US" altLang="zh-CN" sz="1100"/>
        </a:p>
        <a:p>
          <a:r>
            <a:rPr lang="en-US" altLang="zh-CN" sz="1100"/>
            <a:t>4</a:t>
          </a:r>
          <a:r>
            <a:rPr lang="zh-CN" altLang="en-US" sz="1100"/>
            <a:t>、点击“自动计算”进行计算；</a:t>
          </a:r>
          <a:endParaRPr lang="en-US" altLang="zh-CN" sz="1100"/>
        </a:p>
        <a:p>
          <a:r>
            <a:rPr lang="en-US" altLang="zh-CN" sz="1100"/>
            <a:t>5</a:t>
          </a:r>
          <a:r>
            <a:rPr lang="zh-CN" altLang="en-US" sz="1100"/>
            <a:t>、换算百分表读数是高程的相反数（高程读数换算后才能用百分表的计算公式计算挠度的有关结果）；</a:t>
          </a:r>
          <a:endParaRPr lang="en-US" altLang="zh-CN" sz="1100"/>
        </a:p>
        <a:p>
          <a:r>
            <a:rPr lang="en-US" altLang="zh-CN" sz="1100"/>
            <a:t>6</a:t>
          </a:r>
          <a:r>
            <a:rPr lang="zh-CN" altLang="en-US" sz="1100"/>
            <a:t>、“重填水准测量数据”可以快速清空已填写数据。</a:t>
          </a:r>
          <a:endParaRPr lang="zh-CN" altLang="en-US" sz="1100"/>
        </a:p>
      </xdr:txBody>
    </xdr:sp>
    <xdr:clientData/>
  </xdr:twoCellAnchor>
</xdr:wsDr>
</file>

<file path=xl/drawings/drawing9.xml><?xml version="1.0" encoding="utf-8"?>
<xdr:wsDr xmlns:xdr="http://schemas.openxmlformats.org/drawingml/2006/spreadsheetDrawing" xmlns:r="http://schemas.openxmlformats.org/officeDocument/2006/relationships" xmlns:a="http://schemas.openxmlformats.org/drawingml/2006/main">
  <xdr:twoCellAnchor>
    <xdr:from>
      <xdr:col>1</xdr:col>
      <xdr:colOff>339725</xdr:colOff>
      <xdr:row>17</xdr:row>
      <xdr:rowOff>19050</xdr:rowOff>
    </xdr:from>
    <xdr:to>
      <xdr:col>8</xdr:col>
      <xdr:colOff>111125</xdr:colOff>
      <xdr:row>33</xdr:row>
      <xdr:rowOff>19050</xdr:rowOff>
    </xdr:to>
    <xdr:graphicFrame>
      <xdr:nvGraphicFramePr>
        <xdr:cNvPr id="8" name="图表 7"/>
        <xdr:cNvGraphicFramePr/>
      </xdr:nvGraphicFramePr>
      <xdr:xfrm>
        <a:off x="1025525" y="3095625"/>
        <a:ext cx="4572000" cy="289560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13</xdr:col>
      <xdr:colOff>452120</xdr:colOff>
      <xdr:row>13</xdr:row>
      <xdr:rowOff>28575</xdr:rowOff>
    </xdr:from>
    <xdr:to>
      <xdr:col>20</xdr:col>
      <xdr:colOff>223520</xdr:colOff>
      <xdr:row>28</xdr:row>
      <xdr:rowOff>57150</xdr:rowOff>
    </xdr:to>
    <xdr:graphicFrame>
      <xdr:nvGraphicFramePr>
        <xdr:cNvPr id="2" name="图表 1"/>
        <xdr:cNvGraphicFramePr/>
      </xdr:nvGraphicFramePr>
      <xdr:xfrm>
        <a:off x="9367520" y="2381250"/>
        <a:ext cx="4572000" cy="274320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7</xdr:col>
      <xdr:colOff>320675</xdr:colOff>
      <xdr:row>14</xdr:row>
      <xdr:rowOff>155575</xdr:rowOff>
    </xdr:from>
    <xdr:to>
      <xdr:col>14</xdr:col>
      <xdr:colOff>92075</xdr:colOff>
      <xdr:row>30</xdr:row>
      <xdr:rowOff>155575</xdr:rowOff>
    </xdr:to>
    <xdr:graphicFrame>
      <xdr:nvGraphicFramePr>
        <xdr:cNvPr id="3" name="图表 2"/>
        <xdr:cNvGraphicFramePr/>
      </xdr:nvGraphicFramePr>
      <xdr:xfrm>
        <a:off x="5121275" y="2689225"/>
        <a:ext cx="4572000" cy="289560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10</xdr:col>
      <xdr:colOff>228600</xdr:colOff>
      <xdr:row>5</xdr:row>
      <xdr:rowOff>105410</xdr:rowOff>
    </xdr:from>
    <xdr:to>
      <xdr:col>17</xdr:col>
      <xdr:colOff>243840</xdr:colOff>
      <xdr:row>26</xdr:row>
      <xdr:rowOff>34925</xdr:rowOff>
    </xdr:to>
    <xdr:graphicFrame>
      <xdr:nvGraphicFramePr>
        <xdr:cNvPr id="4" name="图表 3"/>
        <xdr:cNvGraphicFramePr/>
      </xdr:nvGraphicFramePr>
      <xdr:xfrm>
        <a:off x="7086600" y="1010285"/>
        <a:ext cx="4815840" cy="372999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 editAs="oneCell">
    <xdr:from>
      <xdr:col>10</xdr:col>
      <xdr:colOff>257175</xdr:colOff>
      <xdr:row>27</xdr:row>
      <xdr:rowOff>104775</xdr:rowOff>
    </xdr:from>
    <xdr:to>
      <xdr:col>16</xdr:col>
      <xdr:colOff>599440</xdr:colOff>
      <xdr:row>42</xdr:row>
      <xdr:rowOff>85090</xdr:rowOff>
    </xdr:to>
    <xdr:pic>
      <xdr:nvPicPr>
        <xdr:cNvPr id="5" name="图片 4"/>
        <xdr:cNvPicPr>
          <a:picLocks noChangeAspect="1"/>
        </xdr:cNvPicPr>
      </xdr:nvPicPr>
      <xdr:blipFill>
        <a:blip r:embed="rId5"/>
        <a:stretch>
          <a:fillRect/>
        </a:stretch>
      </xdr:blipFill>
      <xdr:spPr>
        <a:xfrm>
          <a:off x="7115175" y="4991100"/>
          <a:ext cx="4457065" cy="2694940"/>
        </a:xfrm>
        <a:prstGeom prst="rect">
          <a:avLst/>
        </a:prstGeom>
        <a:noFill/>
        <a:ln w="9525">
          <a:noFill/>
        </a:ln>
      </xdr:spPr>
    </xdr:pic>
    <xdr:clientData/>
  </xdr:twoCellAnchor>
</xdr:wsDr>
</file>

<file path=xl/drawings/drawing10.xml><?xml version="1.0" encoding="utf-8"?>
<xdr:wsDr xmlns:xdr="http://schemas.openxmlformats.org/drawingml/2006/spreadsheetDrawing" xmlns:r="http://schemas.openxmlformats.org/officeDocument/2006/relationships" xmlns:a="http://schemas.openxmlformats.org/drawingml/2006/main">
  <xdr:twoCellAnchor editAs="oneCell">
    <xdr:from>
      <xdr:col>22</xdr:col>
      <xdr:colOff>47625</xdr:colOff>
      <xdr:row>0</xdr:row>
      <xdr:rowOff>95250</xdr:rowOff>
    </xdr:from>
    <xdr:to>
      <xdr:col>30</xdr:col>
      <xdr:colOff>146685</xdr:colOff>
      <xdr:row>4</xdr:row>
      <xdr:rowOff>60960</xdr:rowOff>
    </xdr:to>
    <xdr:pic>
      <xdr:nvPicPr>
        <xdr:cNvPr id="2" name="Picture 1"/>
        <xdr:cNvPicPr>
          <a:picLocks noChangeAspect="1" noChangeArrowheads="1"/>
        </xdr:cNvPicPr>
      </xdr:nvPicPr>
      <xdr:blipFill>
        <a:blip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 r="18143" b="9091"/>
        <a:stretch>
          <a:fillRect/>
        </a:stretch>
      </xdr:blipFill>
      <xdr:spPr>
        <a:xfrm>
          <a:off x="15135225" y="95250"/>
          <a:ext cx="5585460" cy="689610"/>
        </a:xfrm>
        <a:prstGeom prst="rect">
          <a:avLst/>
        </a:prstGeom>
        <a:noFill/>
        <a:ln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xmlns:a14="http://schemas.microsoft.com/office/drawing/2010/main" val="000000" mc:Ignorable="a14" a14:legacySpreadsheetColorIndex="64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xdr:spPr>
    </xdr:pic>
    <xdr:clientData/>
  </xdr:twoCellAnchor>
  <xdr:twoCellAnchor editAs="oneCell">
    <xdr:from>
      <xdr:col>22</xdr:col>
      <xdr:colOff>47625</xdr:colOff>
      <xdr:row>0</xdr:row>
      <xdr:rowOff>95250</xdr:rowOff>
    </xdr:from>
    <xdr:to>
      <xdr:col>30</xdr:col>
      <xdr:colOff>146685</xdr:colOff>
      <xdr:row>4</xdr:row>
      <xdr:rowOff>60960</xdr:rowOff>
    </xdr:to>
    <xdr:pic>
      <xdr:nvPicPr>
        <xdr:cNvPr id="3" name="Picture 1"/>
        <xdr:cNvPicPr>
          <a:picLocks noChangeAspect="1" noChangeArrowheads="1"/>
        </xdr:cNvPicPr>
      </xdr:nvPicPr>
      <xdr:blipFill>
        <a:blip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 r="18143" b="9091"/>
        <a:stretch>
          <a:fillRect/>
        </a:stretch>
      </xdr:blipFill>
      <xdr:spPr>
        <a:xfrm>
          <a:off x="15135225" y="95250"/>
          <a:ext cx="5585460" cy="689610"/>
        </a:xfrm>
        <a:prstGeom prst="rect">
          <a:avLst/>
        </a:prstGeom>
        <a:noFill/>
        <a:ln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xmlns:a14="http://schemas.microsoft.com/office/drawing/2010/main" val="000000" mc:Ignorable="a14" a14:legacySpreadsheetColorIndex="64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xdr:spPr>
    </xdr:pic>
    <xdr:clientData/>
  </xdr:twoCellAnchor>
  <xdr:twoCellAnchor editAs="oneCell">
    <xdr:from>
      <xdr:col>22</xdr:col>
      <xdr:colOff>47625</xdr:colOff>
      <xdr:row>0</xdr:row>
      <xdr:rowOff>95250</xdr:rowOff>
    </xdr:from>
    <xdr:to>
      <xdr:col>30</xdr:col>
      <xdr:colOff>146685</xdr:colOff>
      <xdr:row>4</xdr:row>
      <xdr:rowOff>60960</xdr:rowOff>
    </xdr:to>
    <xdr:pic>
      <xdr:nvPicPr>
        <xdr:cNvPr id="4" name="Picture 1"/>
        <xdr:cNvPicPr>
          <a:picLocks noChangeAspect="1" noChangeArrowheads="1"/>
        </xdr:cNvPicPr>
      </xdr:nvPicPr>
      <xdr:blipFill>
        <a:blip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 r="18143" b="9091"/>
        <a:stretch>
          <a:fillRect/>
        </a:stretch>
      </xdr:blipFill>
      <xdr:spPr>
        <a:xfrm>
          <a:off x="15135225" y="95250"/>
          <a:ext cx="5585460" cy="689610"/>
        </a:xfrm>
        <a:prstGeom prst="rect">
          <a:avLst/>
        </a:prstGeom>
        <a:noFill/>
        <a:ln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xmlns:a14="http://schemas.microsoft.com/office/drawing/2010/main" val="000000" mc:Ignorable="a14" a14:legacySpreadsheetColorIndex="64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xdr:spPr>
    </xdr:pic>
    <xdr:clientData/>
  </xdr:twoCellAnchor>
  <xdr:twoCellAnchor editAs="oneCell">
    <xdr:from>
      <xdr:col>22</xdr:col>
      <xdr:colOff>47625</xdr:colOff>
      <xdr:row>0</xdr:row>
      <xdr:rowOff>95250</xdr:rowOff>
    </xdr:from>
    <xdr:to>
      <xdr:col>30</xdr:col>
      <xdr:colOff>146685</xdr:colOff>
      <xdr:row>4</xdr:row>
      <xdr:rowOff>60960</xdr:rowOff>
    </xdr:to>
    <xdr:pic>
      <xdr:nvPicPr>
        <xdr:cNvPr id="12" name="Picture 1"/>
        <xdr:cNvPicPr>
          <a:picLocks noChangeAspect="1" noChangeArrowheads="1"/>
        </xdr:cNvPicPr>
      </xdr:nvPicPr>
      <xdr:blipFill>
        <a:blip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 r="18143" b="9091"/>
        <a:stretch>
          <a:fillRect/>
        </a:stretch>
      </xdr:blipFill>
      <xdr:spPr>
        <a:xfrm>
          <a:off x="15135225" y="95250"/>
          <a:ext cx="5585460" cy="689610"/>
        </a:xfrm>
        <a:prstGeom prst="rect">
          <a:avLst/>
        </a:prstGeom>
        <a:noFill/>
        <a:ln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xmlns:a14="http://schemas.microsoft.com/office/drawing/2010/main" val="000000" mc:Ignorable="a14" a14:legacySpreadsheetColorIndex="64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419100</xdr:colOff>
          <xdr:row>7</xdr:row>
          <xdr:rowOff>161925</xdr:rowOff>
        </xdr:from>
        <xdr:to>
          <xdr:col>10</xdr:col>
          <xdr:colOff>95250</xdr:colOff>
          <xdr:row>9</xdr:row>
          <xdr:rowOff>133350</xdr:rowOff>
        </xdr:to>
        <xdr:sp macro="[0]!AutoStrain_Click">
          <xdr:nvSpPr>
            <xdr:cNvPr id="6151" name="Button 7" hidden="1">
              <a:extLst>
                <a:ext uri="{63B3BB69-23CF-44E3-9099-C40C66FF867C}">
                  <a14:compatExt spid="_x0000_s6151"/>
                </a:ext>
              </a:extLst>
            </xdr:cNvPr>
            <xdr:cNvSpPr/>
          </xdr:nvSpPr>
          <xdr:spPr>
            <a:xfrm>
              <a:off x="5905500" y="1428750"/>
              <a:ext cx="1047750" cy="333375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等线" panose="02010600030101010101" charset="-122"/>
                  <a:ea typeface="等线" panose="02010600030101010101" charset="-122"/>
                </a:rPr>
                <a:t>自动计算应变</a:t>
              </a:r>
              <a:endParaRPr lang="zh-CN" altLang="en-US" sz="1100" b="0" i="0" u="none" strike="noStrike" baseline="0">
                <a:solidFill>
                  <a:srgbClr val="000000"/>
                </a:solidFill>
                <a:latin typeface="等线" panose="02010600030101010101" charset="-122"/>
                <a:ea typeface="等线" panose="02010600030101010101" charset="-122"/>
              </a:endParaRP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419100</xdr:colOff>
          <xdr:row>5</xdr:row>
          <xdr:rowOff>133350</xdr:rowOff>
        </xdr:from>
        <xdr:to>
          <xdr:col>10</xdr:col>
          <xdr:colOff>9525</xdr:colOff>
          <xdr:row>7</xdr:row>
          <xdr:rowOff>66675</xdr:rowOff>
        </xdr:to>
        <xdr:sp macro="[0]!GenerateStrainRows_Click">
          <xdr:nvSpPr>
            <xdr:cNvPr id="6152" name="Button 8" hidden="1">
              <a:extLst>
                <a:ext uri="{63B3BB69-23CF-44E3-9099-C40C66FF867C}">
                  <a14:compatExt spid="_x0000_s6152"/>
                </a:ext>
              </a:extLst>
            </xdr:cNvPr>
            <xdr:cNvSpPr/>
          </xdr:nvSpPr>
          <xdr:spPr>
            <a:xfrm>
              <a:off x="5905500" y="1038225"/>
              <a:ext cx="962025" cy="295275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等线" panose="02010600030101010101" charset="-122"/>
                  <a:ea typeface="等线" panose="02010600030101010101" charset="-122"/>
                </a:rPr>
                <a:t>生成输入行</a:t>
              </a:r>
              <a:endParaRPr lang="zh-CN" altLang="en-US" sz="1100" b="0" i="0" u="none" strike="noStrike" baseline="0">
                <a:solidFill>
                  <a:srgbClr val="000000"/>
                </a:solidFill>
                <a:latin typeface="等线" panose="02010600030101010101" charset="-122"/>
                <a:ea typeface="等线" panose="02010600030101010101" charset="-122"/>
              </a:endParaRP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/>
        <a:ea typeface=""/>
        <a:cs typeface=""/>
        <a:font script="Jpan" typeface="Yu Gothic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Yu Gothic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</a:theme>
</file>

<file path=xl/worksheets/_rels/sheet1.xml.rels><?xml version="1.0" encoding="UTF-8" standalone="yes"?>
<Relationships xmlns="http://schemas.openxmlformats.org/package/2006/relationships"><Relationship Id="rId9" Type="http://schemas.openxmlformats.org/officeDocument/2006/relationships/ctrlProp" Target="../ctrlProps/ctrlProp7.xml"/><Relationship Id="rId8" Type="http://schemas.openxmlformats.org/officeDocument/2006/relationships/ctrlProp" Target="../ctrlProps/ctrlProp6.xml"/><Relationship Id="rId7" Type="http://schemas.openxmlformats.org/officeDocument/2006/relationships/ctrlProp" Target="../ctrlProps/ctrlProp5.xml"/><Relationship Id="rId6" Type="http://schemas.openxmlformats.org/officeDocument/2006/relationships/ctrlProp" Target="../ctrlProps/ctrlProp4.xml"/><Relationship Id="rId5" Type="http://schemas.openxmlformats.org/officeDocument/2006/relationships/ctrlProp" Target="../ctrlProps/ctrlProp3.xml"/><Relationship Id="rId4" Type="http://schemas.openxmlformats.org/officeDocument/2006/relationships/ctrlProp" Target="../ctrlProps/ctrlProp2.xml"/><Relationship Id="rId3" Type="http://schemas.openxmlformats.org/officeDocument/2006/relationships/ctrlProp" Target="../ctrlProps/ctrlProp1.xml"/><Relationship Id="rId2" Type="http://schemas.openxmlformats.org/officeDocument/2006/relationships/vmlDrawing" Target="../drawings/vmlDrawing1.vml"/><Relationship Id="rId10" Type="http://schemas.openxmlformats.org/officeDocument/2006/relationships/ctrlProp" Target="../ctrlProps/ctrlProp8.xml"/><Relationship Id="rId1" Type="http://schemas.openxmlformats.org/officeDocument/2006/relationships/drawing" Target="../drawings/drawing1.xml"/></Relationships>
</file>

<file path=xl/worksheets/_rels/sheet2.xml.rels><?xml version="1.0" encoding="UTF-8" standalone="yes"?>
<Relationships xmlns="http://schemas.openxmlformats.org/package/2006/relationships"><Relationship Id="rId9" Type="http://schemas.openxmlformats.org/officeDocument/2006/relationships/ctrlProp" Target="../ctrlProps/ctrlProp15.xml"/><Relationship Id="rId8" Type="http://schemas.openxmlformats.org/officeDocument/2006/relationships/ctrlProp" Target="../ctrlProps/ctrlProp14.xml"/><Relationship Id="rId7" Type="http://schemas.openxmlformats.org/officeDocument/2006/relationships/ctrlProp" Target="../ctrlProps/ctrlProp13.xml"/><Relationship Id="rId6" Type="http://schemas.openxmlformats.org/officeDocument/2006/relationships/ctrlProp" Target="../ctrlProps/ctrlProp12.xml"/><Relationship Id="rId5" Type="http://schemas.openxmlformats.org/officeDocument/2006/relationships/ctrlProp" Target="../ctrlProps/ctrlProp11.xml"/><Relationship Id="rId4" Type="http://schemas.openxmlformats.org/officeDocument/2006/relationships/ctrlProp" Target="../ctrlProps/ctrlProp10.xml"/><Relationship Id="rId32" Type="http://schemas.openxmlformats.org/officeDocument/2006/relationships/ctrlProp" Target="../ctrlProps/ctrlProp38.xml"/><Relationship Id="rId31" Type="http://schemas.openxmlformats.org/officeDocument/2006/relationships/ctrlProp" Target="../ctrlProps/ctrlProp37.xml"/><Relationship Id="rId30" Type="http://schemas.openxmlformats.org/officeDocument/2006/relationships/ctrlProp" Target="../ctrlProps/ctrlProp36.xml"/><Relationship Id="rId3" Type="http://schemas.openxmlformats.org/officeDocument/2006/relationships/ctrlProp" Target="../ctrlProps/ctrlProp9.xml"/><Relationship Id="rId29" Type="http://schemas.openxmlformats.org/officeDocument/2006/relationships/ctrlProp" Target="../ctrlProps/ctrlProp35.xml"/><Relationship Id="rId28" Type="http://schemas.openxmlformats.org/officeDocument/2006/relationships/ctrlProp" Target="../ctrlProps/ctrlProp34.xml"/><Relationship Id="rId27" Type="http://schemas.openxmlformats.org/officeDocument/2006/relationships/ctrlProp" Target="../ctrlProps/ctrlProp33.xml"/><Relationship Id="rId26" Type="http://schemas.openxmlformats.org/officeDocument/2006/relationships/ctrlProp" Target="../ctrlProps/ctrlProp32.xml"/><Relationship Id="rId25" Type="http://schemas.openxmlformats.org/officeDocument/2006/relationships/ctrlProp" Target="../ctrlProps/ctrlProp31.xml"/><Relationship Id="rId24" Type="http://schemas.openxmlformats.org/officeDocument/2006/relationships/ctrlProp" Target="../ctrlProps/ctrlProp30.xml"/><Relationship Id="rId23" Type="http://schemas.openxmlformats.org/officeDocument/2006/relationships/ctrlProp" Target="../ctrlProps/ctrlProp29.xml"/><Relationship Id="rId22" Type="http://schemas.openxmlformats.org/officeDocument/2006/relationships/ctrlProp" Target="../ctrlProps/ctrlProp28.xml"/><Relationship Id="rId21" Type="http://schemas.openxmlformats.org/officeDocument/2006/relationships/ctrlProp" Target="../ctrlProps/ctrlProp27.xml"/><Relationship Id="rId20" Type="http://schemas.openxmlformats.org/officeDocument/2006/relationships/ctrlProp" Target="../ctrlProps/ctrlProp26.xml"/><Relationship Id="rId2" Type="http://schemas.openxmlformats.org/officeDocument/2006/relationships/vmlDrawing" Target="../drawings/vmlDrawing2.vml"/><Relationship Id="rId19" Type="http://schemas.openxmlformats.org/officeDocument/2006/relationships/ctrlProp" Target="../ctrlProps/ctrlProp25.xml"/><Relationship Id="rId18" Type="http://schemas.openxmlformats.org/officeDocument/2006/relationships/ctrlProp" Target="../ctrlProps/ctrlProp24.xml"/><Relationship Id="rId17" Type="http://schemas.openxmlformats.org/officeDocument/2006/relationships/ctrlProp" Target="../ctrlProps/ctrlProp23.xml"/><Relationship Id="rId16" Type="http://schemas.openxmlformats.org/officeDocument/2006/relationships/ctrlProp" Target="../ctrlProps/ctrlProp22.xml"/><Relationship Id="rId15" Type="http://schemas.openxmlformats.org/officeDocument/2006/relationships/ctrlProp" Target="../ctrlProps/ctrlProp21.xml"/><Relationship Id="rId14" Type="http://schemas.openxmlformats.org/officeDocument/2006/relationships/ctrlProp" Target="../ctrlProps/ctrlProp20.xml"/><Relationship Id="rId13" Type="http://schemas.openxmlformats.org/officeDocument/2006/relationships/ctrlProp" Target="../ctrlProps/ctrlProp19.xml"/><Relationship Id="rId12" Type="http://schemas.openxmlformats.org/officeDocument/2006/relationships/ctrlProp" Target="../ctrlProps/ctrlProp18.xml"/><Relationship Id="rId11" Type="http://schemas.openxmlformats.org/officeDocument/2006/relationships/ctrlProp" Target="../ctrlProps/ctrlProp17.xml"/><Relationship Id="rId10" Type="http://schemas.openxmlformats.org/officeDocument/2006/relationships/ctrlProp" Target="../ctrlProps/ctrlProp16.xml"/><Relationship Id="rId1" Type="http://schemas.openxmlformats.org/officeDocument/2006/relationships/drawing" Target="../drawings/drawing2.xml"/></Relationships>
</file>

<file path=xl/worksheets/_rels/sheet3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44.xml"/><Relationship Id="rId7" Type="http://schemas.openxmlformats.org/officeDocument/2006/relationships/ctrlProp" Target="../ctrlProps/ctrlProp43.xml"/><Relationship Id="rId6" Type="http://schemas.openxmlformats.org/officeDocument/2006/relationships/ctrlProp" Target="../ctrlProps/ctrlProp42.xml"/><Relationship Id="rId5" Type="http://schemas.openxmlformats.org/officeDocument/2006/relationships/ctrlProp" Target="../ctrlProps/ctrlProp41.xml"/><Relationship Id="rId4" Type="http://schemas.openxmlformats.org/officeDocument/2006/relationships/ctrlProp" Target="../ctrlProps/ctrlProp40.xml"/><Relationship Id="rId3" Type="http://schemas.openxmlformats.org/officeDocument/2006/relationships/ctrlProp" Target="../ctrlProps/ctrlProp39.xml"/><Relationship Id="rId2" Type="http://schemas.openxmlformats.org/officeDocument/2006/relationships/vmlDrawing" Target="../drawings/vmlDrawing3.vml"/><Relationship Id="rId1" Type="http://schemas.openxmlformats.org/officeDocument/2006/relationships/drawing" Target="../drawings/drawing3.xml"/></Relationships>
</file>

<file path=xl/worksheets/_rels/sheet4.xml.rels><?xml version="1.0" encoding="UTF-8" standalone="yes"?>
<Relationships xmlns="http://schemas.openxmlformats.org/package/2006/relationships"><Relationship Id="rId9" Type="http://schemas.openxmlformats.org/officeDocument/2006/relationships/ctrlProp" Target="../ctrlProps/ctrlProp50.xml"/><Relationship Id="rId8" Type="http://schemas.openxmlformats.org/officeDocument/2006/relationships/ctrlProp" Target="../ctrlProps/ctrlProp49.xml"/><Relationship Id="rId7" Type="http://schemas.openxmlformats.org/officeDocument/2006/relationships/ctrlProp" Target="../ctrlProps/ctrlProp48.xml"/><Relationship Id="rId6" Type="http://schemas.openxmlformats.org/officeDocument/2006/relationships/ctrlProp" Target="../ctrlProps/ctrlProp47.xml"/><Relationship Id="rId5" Type="http://schemas.openxmlformats.org/officeDocument/2006/relationships/ctrlProp" Target="../ctrlProps/ctrlProp46.xml"/><Relationship Id="rId4" Type="http://schemas.openxmlformats.org/officeDocument/2006/relationships/ctrlProp" Target="../ctrlProps/ctrlProp45.xml"/><Relationship Id="rId3" Type="http://schemas.openxmlformats.org/officeDocument/2006/relationships/vmlDrawing" Target="../drawings/vmlDrawing4.vml"/><Relationship Id="rId2" Type="http://schemas.openxmlformats.org/officeDocument/2006/relationships/drawing" Target="../drawings/drawing4.xml"/><Relationship Id="rId1" Type="http://schemas.openxmlformats.org/officeDocument/2006/relationships/comments" Target="../comments1.xml"/></Relationships>
</file>

<file path=xl/worksheets/_rels/sheet5.xml.rels><?xml version="1.0" encoding="UTF-8" standalone="yes"?>
<Relationships xmlns="http://schemas.openxmlformats.org/package/2006/relationships"><Relationship Id="rId5" Type="http://schemas.openxmlformats.org/officeDocument/2006/relationships/ctrlProp" Target="../ctrlProps/ctrlProp53.xml"/><Relationship Id="rId4" Type="http://schemas.openxmlformats.org/officeDocument/2006/relationships/ctrlProp" Target="../ctrlProps/ctrlProp52.xml"/><Relationship Id="rId3" Type="http://schemas.openxmlformats.org/officeDocument/2006/relationships/ctrlProp" Target="../ctrlProps/ctrlProp51.xml"/><Relationship Id="rId2" Type="http://schemas.openxmlformats.org/officeDocument/2006/relationships/vmlDrawing" Target="../drawings/vmlDrawing5.vml"/><Relationship Id="rId1" Type="http://schemas.openxmlformats.org/officeDocument/2006/relationships/drawing" Target="../drawings/drawing5.xml"/></Relationships>
</file>

<file path=xl/worksheets/_rels/sheet6.xml.rels><?xml version="1.0" encoding="UTF-8" standalone="yes"?>
<Relationships xmlns="http://schemas.openxmlformats.org/package/2006/relationships"><Relationship Id="rId9" Type="http://schemas.openxmlformats.org/officeDocument/2006/relationships/ctrlProp" Target="../ctrlProps/ctrlProp60.xml"/><Relationship Id="rId8" Type="http://schemas.openxmlformats.org/officeDocument/2006/relationships/ctrlProp" Target="../ctrlProps/ctrlProp59.xml"/><Relationship Id="rId7" Type="http://schemas.openxmlformats.org/officeDocument/2006/relationships/ctrlProp" Target="../ctrlProps/ctrlProp58.xml"/><Relationship Id="rId6" Type="http://schemas.openxmlformats.org/officeDocument/2006/relationships/ctrlProp" Target="../ctrlProps/ctrlProp57.xml"/><Relationship Id="rId5" Type="http://schemas.openxmlformats.org/officeDocument/2006/relationships/ctrlProp" Target="../ctrlProps/ctrlProp56.xml"/><Relationship Id="rId4" Type="http://schemas.openxmlformats.org/officeDocument/2006/relationships/ctrlProp" Target="../ctrlProps/ctrlProp55.xml"/><Relationship Id="rId3" Type="http://schemas.openxmlformats.org/officeDocument/2006/relationships/ctrlProp" Target="../ctrlProps/ctrlProp54.xml"/><Relationship Id="rId2" Type="http://schemas.openxmlformats.org/officeDocument/2006/relationships/vmlDrawing" Target="../drawings/vmlDrawing6.vml"/><Relationship Id="rId11" Type="http://schemas.openxmlformats.org/officeDocument/2006/relationships/ctrlProp" Target="../ctrlProps/ctrlProp62.xml"/><Relationship Id="rId10" Type="http://schemas.openxmlformats.org/officeDocument/2006/relationships/ctrlProp" Target="../ctrlProps/ctrlProp61.xml"/><Relationship Id="rId1" Type="http://schemas.openxmlformats.org/officeDocument/2006/relationships/drawing" Target="../drawings/drawing6.xml"/></Relationships>
</file>

<file path=xl/worksheets/_rels/sheet7.xml.rels><?xml version="1.0" encoding="UTF-8" standalone="yes"?>
<Relationships xmlns="http://schemas.openxmlformats.org/package/2006/relationships"><Relationship Id="rId9" Type="http://schemas.openxmlformats.org/officeDocument/2006/relationships/ctrlProp" Target="../ctrlProps/ctrlProp69.xml"/><Relationship Id="rId8" Type="http://schemas.openxmlformats.org/officeDocument/2006/relationships/ctrlProp" Target="../ctrlProps/ctrlProp68.xml"/><Relationship Id="rId7" Type="http://schemas.openxmlformats.org/officeDocument/2006/relationships/ctrlProp" Target="../ctrlProps/ctrlProp67.xml"/><Relationship Id="rId6" Type="http://schemas.openxmlformats.org/officeDocument/2006/relationships/ctrlProp" Target="../ctrlProps/ctrlProp66.xml"/><Relationship Id="rId5" Type="http://schemas.openxmlformats.org/officeDocument/2006/relationships/ctrlProp" Target="../ctrlProps/ctrlProp65.xml"/><Relationship Id="rId4" Type="http://schemas.openxmlformats.org/officeDocument/2006/relationships/ctrlProp" Target="../ctrlProps/ctrlProp64.xml"/><Relationship Id="rId3" Type="http://schemas.openxmlformats.org/officeDocument/2006/relationships/ctrlProp" Target="../ctrlProps/ctrlProp63.xml"/><Relationship Id="rId2" Type="http://schemas.openxmlformats.org/officeDocument/2006/relationships/vmlDrawing" Target="../drawings/vmlDrawing7.vml"/><Relationship Id="rId1" Type="http://schemas.openxmlformats.org/officeDocument/2006/relationships/drawing" Target="../drawings/drawing7.xml"/></Relationships>
</file>

<file path=xl/worksheets/_rels/sheet8.xml.rels><?xml version="1.0" encoding="UTF-8" standalone="yes"?>
<Relationships xmlns="http://schemas.openxmlformats.org/package/2006/relationships"><Relationship Id="rId4" Type="http://schemas.openxmlformats.org/officeDocument/2006/relationships/ctrlProp" Target="../ctrlProps/ctrlProp71.xml"/><Relationship Id="rId3" Type="http://schemas.openxmlformats.org/officeDocument/2006/relationships/ctrlProp" Target="../ctrlProps/ctrlProp70.xml"/><Relationship Id="rId2" Type="http://schemas.openxmlformats.org/officeDocument/2006/relationships/vmlDrawing" Target="../drawings/vmlDrawing8.vml"/><Relationship Id="rId1" Type="http://schemas.openxmlformats.org/officeDocument/2006/relationships/drawing" Target="../drawings/drawing8.xml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9.xml"/></Relationships>
</file>

<file path=xl/worksheets/_rels/sheet11.xml.rels><?xml version="1.0" encoding="UTF-8" standalone="yes"?>
<Relationships xmlns="http://schemas.openxmlformats.org/package/2006/relationships"><Relationship Id="rId4" Type="http://schemas.openxmlformats.org/officeDocument/2006/relationships/ctrlProp" Target="../ctrlProps/ctrlProp73.xml"/><Relationship Id="rId3" Type="http://schemas.openxmlformats.org/officeDocument/2006/relationships/ctrlProp" Target="../ctrlProps/ctrlProp72.xml"/><Relationship Id="rId2" Type="http://schemas.openxmlformats.org/officeDocument/2006/relationships/vmlDrawing" Target="../drawings/vmlDrawing9.vml"/><Relationship Id="rId1" Type="http://schemas.openxmlformats.org/officeDocument/2006/relationships/drawing" Target="../drawings/drawing10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>
  <sheetPr codeName="Sheet8"/>
  <dimension ref="D14"/>
  <sheetViews>
    <sheetView topLeftCell="B1" workbookViewId="0">
      <selection activeCell="H7" sqref="H7"/>
    </sheetView>
  </sheetViews>
  <sheetFormatPr defaultColWidth="9" defaultRowHeight="14.25" outlineLevelCol="3"/>
  <sheetData>
    <row r="14" spans="4:4">
      <c r="D14" s="1"/>
    </row>
  </sheetData>
  <pageMargins left="0.699305555555556" right="0.699305555555556" top="0.75" bottom="0.75" header="0.3" footer="0.3"/>
  <pageSetup paperSize="9" orientation="portrait"/>
  <headerFooter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7175" name="Button 7" r:id="rId3">
              <controlPr print="0" defaultSize="0">
                <anchor moveWithCells="1" sizeWithCells="1">
                  <from>
                    <xdr:col>7</xdr:col>
                    <xdr:colOff>28575</xdr:colOff>
                    <xdr:row>10</xdr:row>
                    <xdr:rowOff>123825</xdr:rowOff>
                  </from>
                  <to>
                    <xdr:col>8</xdr:col>
                    <xdr:colOff>276225</xdr:colOff>
                    <xdr:row>12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7" name="Button 9" r:id="rId4">
              <controlPr defaultSize="0">
                <anchor moveWithCells="1" sizeWithCells="1">
                  <from>
                    <xdr:col>3</xdr:col>
                    <xdr:colOff>238125</xdr:colOff>
                    <xdr:row>10</xdr:row>
                    <xdr:rowOff>37465</xdr:rowOff>
                  </from>
                  <to>
                    <xdr:col>4</xdr:col>
                    <xdr:colOff>447675</xdr:colOff>
                    <xdr:row>11</xdr:row>
                    <xdr:rowOff>66040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8" name="op1" r:id="rId5">
              <controlPr defaultSize="0">
                <anchor moveWithCells="1">
                  <from>
                    <xdr:col>3</xdr:col>
                    <xdr:colOff>200025</xdr:colOff>
                    <xdr:row>8</xdr:row>
                    <xdr:rowOff>85090</xdr:rowOff>
                  </from>
                  <to>
                    <xdr:col>4</xdr:col>
                    <xdr:colOff>209550</xdr:colOff>
                    <xdr:row>9</xdr:row>
                    <xdr:rowOff>180340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0" name="Group Box 12" r:id="rId6">
              <controlPr defaultSize="0">
                <anchor moveWithCells="1">
                  <from>
                    <xdr:col>3</xdr:col>
                    <xdr:colOff>38100</xdr:colOff>
                    <xdr:row>7</xdr:row>
                    <xdr:rowOff>104775</xdr:rowOff>
                  </from>
                  <to>
                    <xdr:col>6</xdr:col>
                    <xdr:colOff>76200</xdr:colOff>
                    <xdr:row>11</xdr:row>
                    <xdr:rowOff>123825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1" name="op2" r:id="rId7">
              <controlPr defaultSize="0">
                <anchor moveWithCells="1">
                  <from>
                    <xdr:col>4</xdr:col>
                    <xdr:colOff>381000</xdr:colOff>
                    <xdr:row>8</xdr:row>
                    <xdr:rowOff>75565</xdr:rowOff>
                  </from>
                  <to>
                    <xdr:col>5</xdr:col>
                    <xdr:colOff>619125</xdr:colOff>
                    <xdr:row>9</xdr:row>
                    <xdr:rowOff>170815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2" name="label1" r:id="rId8">
              <controlPr defaultSize="0">
                <anchor moveWithCells="1" sizeWithCells="1">
                  <from>
                    <xdr:col>3</xdr:col>
                    <xdr:colOff>9525</xdr:colOff>
                    <xdr:row>13</xdr:row>
                    <xdr:rowOff>9525</xdr:rowOff>
                  </from>
                  <to>
                    <xdr:col>9</xdr:col>
                    <xdr:colOff>466725</xdr:colOff>
                    <xdr:row>14</xdr:row>
                    <xdr:rowOff>152400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3" name="VersionPrompt" r:id="rId9">
              <controlPr defaultSize="0">
                <anchor moveWithCells="1" sizeWithCells="1">
                  <from>
                    <xdr:col>3</xdr:col>
                    <xdr:colOff>38100</xdr:colOff>
                    <xdr:row>14</xdr:row>
                    <xdr:rowOff>114300</xdr:rowOff>
                  </from>
                  <to>
                    <xdr:col>4</xdr:col>
                    <xdr:colOff>228600</xdr:colOff>
                    <xdr:row>16</xdr:row>
                    <xdr:rowOff>76200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4" name="Version" r:id="rId10">
              <controlPr defaultSize="0">
                <anchor moveWithCells="1" sizeWithCells="1">
                  <from>
                    <xdr:col>4</xdr:col>
                    <xdr:colOff>9525</xdr:colOff>
                    <xdr:row>14</xdr:row>
                    <xdr:rowOff>114300</xdr:rowOff>
                  </from>
                  <to>
                    <xdr:col>5</xdr:col>
                    <xdr:colOff>276225</xdr:colOff>
                    <xdr:row>16</xdr:row>
                    <xdr:rowOff>76200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>
  <sheetPr codeName="Sheet11"/>
  <dimension ref="A1:AC175"/>
  <sheetViews>
    <sheetView workbookViewId="0">
      <selection activeCell="Z1" sqref="Z1:AB1"/>
    </sheetView>
  </sheetViews>
  <sheetFormatPr defaultColWidth="9" defaultRowHeight="14.25"/>
  <cols>
    <col min="1" max="1" width="12.875" customWidth="1"/>
    <col min="2" max="2" width="10.375" customWidth="1"/>
    <col min="8" max="8" width="15" customWidth="1"/>
    <col min="9" max="9" width="9.375" customWidth="1"/>
    <col min="12" max="12" width="16.375" customWidth="1"/>
    <col min="13" max="13" width="14.875" customWidth="1"/>
    <col min="14" max="14" width="29.625" customWidth="1"/>
    <col min="15" max="15" width="17.875" customWidth="1"/>
    <col min="16" max="16" width="10.375"/>
    <col min="17" max="17" width="17.875" customWidth="1"/>
    <col min="18" max="18" width="12.125" customWidth="1"/>
    <col min="19" max="19" width="11.5"/>
    <col min="23" max="24" width="15" customWidth="1"/>
    <col min="25" max="26" width="14.875" customWidth="1"/>
    <col min="27" max="27" width="12.125" customWidth="1"/>
    <col min="28" max="28" width="17.875" customWidth="1"/>
  </cols>
  <sheetData>
    <row r="1" spans="1:29">
      <c r="A1" t="s">
        <v>0</v>
      </c>
      <c r="B1" s="149">
        <v>43466</v>
      </c>
      <c r="G1" s="150" t="s">
        <v>1</v>
      </c>
      <c r="H1" s="151" t="s">
        <v>2</v>
      </c>
      <c r="I1" s="151" t="s">
        <v>3</v>
      </c>
      <c r="J1" s="151" t="s">
        <v>4</v>
      </c>
      <c r="L1" s="153" t="s">
        <v>5</v>
      </c>
      <c r="M1" s="153" t="s">
        <v>6</v>
      </c>
      <c r="N1" s="154" t="s">
        <v>7</v>
      </c>
      <c r="O1" s="154" t="s">
        <v>8</v>
      </c>
      <c r="P1" s="154" t="s">
        <v>9</v>
      </c>
      <c r="Q1" s="154" t="s">
        <v>10</v>
      </c>
      <c r="R1" s="154" t="s">
        <v>11</v>
      </c>
      <c r="S1" s="154" t="s">
        <v>12</v>
      </c>
      <c r="T1" s="153" t="s">
        <v>13</v>
      </c>
      <c r="U1" s="153" t="s">
        <v>14</v>
      </c>
      <c r="W1" s="153" t="s">
        <v>5</v>
      </c>
      <c r="X1" s="154" t="s">
        <v>15</v>
      </c>
      <c r="Y1" s="153" t="s">
        <v>16</v>
      </c>
      <c r="Z1" s="153" t="s">
        <v>17</v>
      </c>
      <c r="AA1" s="154" t="s">
        <v>11</v>
      </c>
      <c r="AB1" s="154" t="s">
        <v>10</v>
      </c>
      <c r="AC1" s="154" t="s">
        <v>12</v>
      </c>
    </row>
    <row r="2" spans="1:27">
      <c r="A2" t="s">
        <v>18</v>
      </c>
      <c r="B2" t="s">
        <v>19</v>
      </c>
      <c r="G2">
        <v>1</v>
      </c>
      <c r="H2" t="s">
        <v>20</v>
      </c>
      <c r="J2" t="s">
        <v>20</v>
      </c>
      <c r="N2" s="149"/>
      <c r="O2" s="149"/>
      <c r="P2" s="149"/>
      <c r="R2" s="149"/>
      <c r="S2" s="156"/>
      <c r="AA2" s="149"/>
    </row>
    <row r="3" spans="14:27">
      <c r="N3" s="149"/>
      <c r="O3" s="149"/>
      <c r="P3" s="149"/>
      <c r="R3" s="149"/>
      <c r="S3" s="156"/>
      <c r="AA3" s="149"/>
    </row>
    <row r="4" spans="7:27">
      <c r="G4">
        <v>2</v>
      </c>
      <c r="H4" t="s">
        <v>21</v>
      </c>
      <c r="I4" t="s">
        <v>22</v>
      </c>
      <c r="J4" t="s">
        <v>21</v>
      </c>
      <c r="N4" s="149"/>
      <c r="O4" s="149"/>
      <c r="P4" s="149"/>
      <c r="R4" s="149"/>
      <c r="S4" s="156"/>
      <c r="AA4" s="149"/>
    </row>
    <row r="5" spans="14:27">
      <c r="N5" s="149"/>
      <c r="O5" s="149"/>
      <c r="P5" s="149"/>
      <c r="R5" s="149"/>
      <c r="S5" s="156"/>
      <c r="AA5" s="149"/>
    </row>
    <row r="6" spans="2:27">
      <c r="B6" t="s">
        <v>23</v>
      </c>
      <c r="G6">
        <v>3</v>
      </c>
      <c r="H6" t="s">
        <v>21</v>
      </c>
      <c r="I6" t="s">
        <v>24</v>
      </c>
      <c r="J6" t="s">
        <v>21</v>
      </c>
      <c r="N6" s="149"/>
      <c r="O6" s="149"/>
      <c r="P6" s="149"/>
      <c r="R6" s="149"/>
      <c r="S6" s="156"/>
      <c r="AA6" s="149"/>
    </row>
    <row r="7" spans="14:27">
      <c r="N7" s="149"/>
      <c r="O7" s="149"/>
      <c r="P7" s="149"/>
      <c r="R7" s="149"/>
      <c r="S7" s="156"/>
      <c r="AA7" s="149"/>
    </row>
    <row r="8" spans="7:19">
      <c r="G8">
        <v>4</v>
      </c>
      <c r="H8" t="s">
        <v>25</v>
      </c>
      <c r="J8" t="s">
        <v>25</v>
      </c>
      <c r="N8" s="149"/>
      <c r="O8" s="149"/>
      <c r="P8" s="149"/>
      <c r="R8" s="149"/>
      <c r="S8" s="156"/>
    </row>
    <row r="9" spans="14:19">
      <c r="N9" s="149"/>
      <c r="O9" s="149"/>
      <c r="P9" s="149"/>
      <c r="R9" s="149"/>
      <c r="S9" s="156"/>
    </row>
    <row r="10" spans="7:19">
      <c r="G10">
        <v>5</v>
      </c>
      <c r="H10" t="s">
        <v>26</v>
      </c>
      <c r="I10" t="s">
        <v>27</v>
      </c>
      <c r="J10" t="s">
        <v>26</v>
      </c>
      <c r="N10" s="149"/>
      <c r="O10" s="149"/>
      <c r="P10" s="149"/>
      <c r="R10" s="149"/>
      <c r="S10" s="156"/>
    </row>
    <row r="11" spans="14:19">
      <c r="N11" s="149"/>
      <c r="O11" s="149"/>
      <c r="P11" s="149"/>
      <c r="R11" s="149"/>
      <c r="S11" s="156"/>
    </row>
    <row r="12" spans="7:19">
      <c r="G12">
        <v>6</v>
      </c>
      <c r="H12" t="s">
        <v>26</v>
      </c>
      <c r="I12" t="s">
        <v>28</v>
      </c>
      <c r="J12" t="s">
        <v>26</v>
      </c>
      <c r="N12" s="149"/>
      <c r="R12" s="149"/>
      <c r="S12" s="156"/>
    </row>
    <row r="13" spans="14:19">
      <c r="N13" s="149"/>
      <c r="O13" s="149"/>
      <c r="P13" s="149"/>
      <c r="R13" s="149"/>
      <c r="S13" s="156"/>
    </row>
    <row r="14" spans="2:19">
      <c r="B14" t="s">
        <v>29</v>
      </c>
      <c r="G14">
        <v>7</v>
      </c>
      <c r="H14" t="s">
        <v>30</v>
      </c>
      <c r="J14" t="s">
        <v>30</v>
      </c>
      <c r="N14" s="149"/>
      <c r="O14" s="149"/>
      <c r="P14" s="149"/>
      <c r="R14" s="149"/>
      <c r="S14" s="156"/>
    </row>
    <row r="15" spans="14:19">
      <c r="N15" s="149"/>
      <c r="O15" s="149"/>
      <c r="P15" s="149"/>
      <c r="R15" s="149"/>
      <c r="S15" s="156"/>
    </row>
    <row r="16" spans="7:19">
      <c r="G16">
        <v>8</v>
      </c>
      <c r="H16" t="s">
        <v>31</v>
      </c>
      <c r="I16" s="155" t="s">
        <v>32</v>
      </c>
      <c r="J16" t="s">
        <v>31</v>
      </c>
      <c r="N16" s="149"/>
      <c r="O16" s="149"/>
      <c r="P16" s="149"/>
      <c r="R16" s="149"/>
      <c r="S16" s="156"/>
    </row>
    <row r="17" spans="14:19">
      <c r="N17" s="149"/>
      <c r="O17" s="149"/>
      <c r="P17" s="149"/>
      <c r="R17" s="149"/>
      <c r="S17" s="156"/>
    </row>
    <row r="18" spans="2:19">
      <c r="B18" t="s">
        <v>33</v>
      </c>
      <c r="G18">
        <v>9</v>
      </c>
      <c r="H18" t="s">
        <v>34</v>
      </c>
      <c r="I18" s="155" t="s">
        <v>35</v>
      </c>
      <c r="J18" t="s">
        <v>34</v>
      </c>
      <c r="N18" s="149"/>
      <c r="O18" s="149"/>
      <c r="P18" s="149"/>
      <c r="R18" s="149"/>
      <c r="S18" s="156"/>
    </row>
    <row r="19" spans="14:19">
      <c r="N19" s="149"/>
      <c r="O19" s="149"/>
      <c r="P19" s="149"/>
      <c r="R19" s="149"/>
      <c r="S19" s="156"/>
    </row>
    <row r="20" spans="7:19">
      <c r="G20">
        <v>10</v>
      </c>
      <c r="H20" t="s">
        <v>36</v>
      </c>
      <c r="I20" s="155" t="s">
        <v>37</v>
      </c>
      <c r="J20" t="s">
        <v>36</v>
      </c>
      <c r="N20" s="149"/>
      <c r="O20" s="149"/>
      <c r="P20" s="149"/>
      <c r="R20" s="149"/>
      <c r="S20" s="156"/>
    </row>
    <row r="21" spans="14:19">
      <c r="N21" s="149"/>
      <c r="O21" s="149"/>
      <c r="P21" s="149"/>
      <c r="R21" s="149"/>
      <c r="S21" s="156"/>
    </row>
    <row r="22" spans="7:19">
      <c r="G22">
        <v>11</v>
      </c>
      <c r="H22" t="s">
        <v>38</v>
      </c>
      <c r="I22" s="155" t="s">
        <v>39</v>
      </c>
      <c r="J22" t="s">
        <v>38</v>
      </c>
      <c r="N22" s="149"/>
      <c r="O22" s="149"/>
      <c r="P22" s="149"/>
      <c r="R22" s="149"/>
      <c r="S22" s="156"/>
    </row>
    <row r="23" spans="14:19">
      <c r="N23" s="149"/>
      <c r="O23" s="149"/>
      <c r="P23" s="149"/>
      <c r="R23" s="149"/>
      <c r="S23" s="157"/>
    </row>
    <row r="24" spans="7:19">
      <c r="G24">
        <v>12</v>
      </c>
      <c r="H24" t="s">
        <v>40</v>
      </c>
      <c r="J24" t="s">
        <v>41</v>
      </c>
      <c r="N24" s="149"/>
      <c r="O24" s="149"/>
      <c r="P24" s="149"/>
      <c r="R24" s="149"/>
      <c r="S24" s="157"/>
    </row>
    <row r="25" spans="14:19">
      <c r="N25" s="149"/>
      <c r="O25" s="149"/>
      <c r="P25" s="149"/>
      <c r="R25" s="149"/>
      <c r="S25" s="157"/>
    </row>
    <row r="26" spans="7:19">
      <c r="G26">
        <v>13</v>
      </c>
      <c r="H26" t="s">
        <v>42</v>
      </c>
      <c r="I26" t="s">
        <v>43</v>
      </c>
      <c r="J26" t="s">
        <v>42</v>
      </c>
      <c r="N26" s="149"/>
      <c r="R26" s="149"/>
      <c r="S26" s="156"/>
    </row>
    <row r="27" spans="14:19">
      <c r="N27" s="149"/>
      <c r="O27" s="149"/>
      <c r="P27" s="149"/>
      <c r="R27" s="149"/>
      <c r="S27" s="156"/>
    </row>
    <row r="28" spans="2:19">
      <c r="B28" t="s">
        <v>44</v>
      </c>
      <c r="G28">
        <v>14</v>
      </c>
      <c r="H28" t="s">
        <v>45</v>
      </c>
      <c r="J28" t="s">
        <v>45</v>
      </c>
      <c r="N28" s="149"/>
      <c r="O28" s="149"/>
      <c r="P28" s="149"/>
      <c r="R28" s="149"/>
      <c r="S28" s="156"/>
    </row>
    <row r="29" spans="14:19">
      <c r="N29" s="149"/>
      <c r="O29" s="149"/>
      <c r="P29" s="149"/>
      <c r="R29" s="149"/>
      <c r="S29" s="156"/>
    </row>
    <row r="30" spans="7:19">
      <c r="G30">
        <v>15</v>
      </c>
      <c r="H30" t="s">
        <v>46</v>
      </c>
      <c r="I30" s="155"/>
      <c r="J30" t="s">
        <v>47</v>
      </c>
      <c r="N30" s="149"/>
      <c r="O30" s="149"/>
      <c r="P30" s="149"/>
      <c r="R30" s="149"/>
      <c r="S30" s="156"/>
    </row>
    <row r="31" spans="14:19">
      <c r="N31" s="149"/>
      <c r="R31" s="149"/>
      <c r="S31" s="157"/>
    </row>
    <row r="32" spans="7:19">
      <c r="G32">
        <v>16</v>
      </c>
      <c r="H32" t="s">
        <v>48</v>
      </c>
      <c r="J32" t="s">
        <v>49</v>
      </c>
      <c r="N32" s="149"/>
      <c r="O32" s="149"/>
      <c r="P32" s="149"/>
      <c r="R32" s="149"/>
      <c r="S32" s="157"/>
    </row>
    <row r="33" spans="14:19">
      <c r="N33" s="149"/>
      <c r="O33" s="149"/>
      <c r="P33" s="149"/>
      <c r="R33" s="149"/>
      <c r="S33" s="157"/>
    </row>
    <row r="34" spans="7:19">
      <c r="G34">
        <v>17</v>
      </c>
      <c r="H34" t="s">
        <v>50</v>
      </c>
      <c r="J34" t="s">
        <v>50</v>
      </c>
      <c r="N34" s="149"/>
      <c r="O34" s="149"/>
      <c r="P34" s="149"/>
      <c r="R34" s="149"/>
      <c r="S34" s="156"/>
    </row>
    <row r="35" spans="2:19">
      <c r="B35" t="s">
        <v>51</v>
      </c>
      <c r="N35" s="149"/>
      <c r="O35" s="149"/>
      <c r="P35" s="149"/>
      <c r="R35" s="149"/>
      <c r="S35" s="156"/>
    </row>
    <row r="36" spans="7:19">
      <c r="G36">
        <v>18</v>
      </c>
      <c r="H36" t="s">
        <v>52</v>
      </c>
      <c r="J36" t="s">
        <v>53</v>
      </c>
      <c r="N36" s="149"/>
      <c r="O36" s="149"/>
      <c r="P36" s="149"/>
      <c r="R36" s="149"/>
      <c r="S36" s="156"/>
    </row>
    <row r="37" spans="14:19">
      <c r="N37" s="149"/>
      <c r="O37" s="149"/>
      <c r="P37" s="149"/>
      <c r="R37" s="149"/>
      <c r="S37" s="156"/>
    </row>
    <row r="38" spans="7:19">
      <c r="G38">
        <v>19</v>
      </c>
      <c r="H38" s="152" t="s">
        <v>54</v>
      </c>
      <c r="J38" t="s">
        <v>54</v>
      </c>
      <c r="N38" s="149"/>
      <c r="O38" s="149"/>
      <c r="P38" s="149"/>
      <c r="R38" s="149"/>
      <c r="S38" s="156"/>
    </row>
    <row r="39" spans="14:19">
      <c r="N39" s="149"/>
      <c r="O39" s="149"/>
      <c r="P39" s="149"/>
      <c r="R39" s="149"/>
      <c r="S39" s="156"/>
    </row>
    <row r="40" spans="2:19">
      <c r="B40" t="s">
        <v>55</v>
      </c>
      <c r="G40">
        <v>20</v>
      </c>
      <c r="H40" t="s">
        <v>56</v>
      </c>
      <c r="J40" t="s">
        <v>56</v>
      </c>
      <c r="N40" s="149"/>
      <c r="O40" s="149"/>
      <c r="P40" s="149"/>
      <c r="R40" s="149"/>
      <c r="S40" s="156"/>
    </row>
    <row r="41" spans="14:19">
      <c r="N41" s="149"/>
      <c r="O41" s="149"/>
      <c r="P41" s="149"/>
      <c r="R41" s="149"/>
      <c r="S41" s="156"/>
    </row>
    <row r="42" spans="7:19">
      <c r="G42">
        <v>21</v>
      </c>
      <c r="H42" t="s">
        <v>57</v>
      </c>
      <c r="J42" t="s">
        <v>57</v>
      </c>
      <c r="N42" s="149"/>
      <c r="O42" s="149"/>
      <c r="P42" s="149"/>
      <c r="R42" s="149"/>
      <c r="S42" s="156"/>
    </row>
    <row r="43" spans="14:19">
      <c r="N43" s="149"/>
      <c r="O43" s="149"/>
      <c r="P43" s="149"/>
      <c r="R43" s="149"/>
      <c r="S43" s="156"/>
    </row>
    <row r="44" spans="7:19">
      <c r="G44">
        <v>22</v>
      </c>
      <c r="H44" t="s">
        <v>58</v>
      </c>
      <c r="J44" t="s">
        <v>58</v>
      </c>
      <c r="N44" s="149"/>
      <c r="O44" s="149"/>
      <c r="P44" s="149"/>
      <c r="R44" s="149"/>
      <c r="S44" s="156"/>
    </row>
    <row r="45" spans="14:19">
      <c r="N45" s="149"/>
      <c r="O45" s="149"/>
      <c r="P45" s="149"/>
      <c r="R45" s="149"/>
      <c r="S45" s="156"/>
    </row>
    <row r="46" spans="2:19">
      <c r="B46" t="s">
        <v>59</v>
      </c>
      <c r="G46">
        <v>23</v>
      </c>
      <c r="H46" t="s">
        <v>60</v>
      </c>
      <c r="J46" t="s">
        <v>60</v>
      </c>
      <c r="N46" s="149"/>
      <c r="R46" s="149"/>
      <c r="S46" s="156"/>
    </row>
    <row r="47" spans="14:19">
      <c r="N47" s="149"/>
      <c r="O47" s="149"/>
      <c r="P47" s="149"/>
      <c r="R47" s="149"/>
      <c r="S47" s="156"/>
    </row>
    <row r="48" spans="7:19">
      <c r="G48">
        <v>24</v>
      </c>
      <c r="H48" t="s">
        <v>61</v>
      </c>
      <c r="J48" t="s">
        <v>61</v>
      </c>
      <c r="N48" s="149"/>
      <c r="O48" s="149"/>
      <c r="P48" s="149"/>
      <c r="R48" s="149"/>
      <c r="S48" s="156"/>
    </row>
    <row r="49" spans="14:19">
      <c r="N49" s="149"/>
      <c r="O49" s="149"/>
      <c r="P49" s="149"/>
      <c r="R49" s="149"/>
      <c r="S49" s="156"/>
    </row>
    <row r="50" spans="7:19">
      <c r="G50">
        <v>25</v>
      </c>
      <c r="H50" t="s">
        <v>62</v>
      </c>
      <c r="J50" t="s">
        <v>62</v>
      </c>
      <c r="N50" s="149"/>
      <c r="O50" s="149"/>
      <c r="P50" s="149"/>
      <c r="R50" s="149"/>
      <c r="S50" s="156"/>
    </row>
    <row r="51" spans="14:19">
      <c r="N51" s="149"/>
      <c r="R51" s="149"/>
      <c r="S51" s="156"/>
    </row>
    <row r="52" spans="14:19">
      <c r="N52" s="149"/>
      <c r="O52" s="149"/>
      <c r="P52" s="149"/>
      <c r="R52" s="149"/>
      <c r="S52" s="156"/>
    </row>
    <row r="53" spans="14:19">
      <c r="N53" s="149"/>
      <c r="O53" s="149"/>
      <c r="P53" s="149"/>
      <c r="R53" s="149"/>
      <c r="S53" s="156"/>
    </row>
    <row r="54" spans="14:19">
      <c r="N54" s="149"/>
      <c r="R54" s="149"/>
      <c r="S54" s="156"/>
    </row>
    <row r="55" spans="14:19">
      <c r="N55" s="149"/>
      <c r="O55" s="149"/>
      <c r="P55" s="149"/>
      <c r="R55" s="149"/>
      <c r="S55" s="156"/>
    </row>
    <row r="56" spans="14:19">
      <c r="N56" s="149"/>
      <c r="R56" s="149"/>
      <c r="S56" s="156"/>
    </row>
    <row r="57" spans="14:19">
      <c r="N57" s="149"/>
      <c r="R57" s="149"/>
      <c r="S57" s="156"/>
    </row>
    <row r="58" spans="14:19">
      <c r="N58" s="149"/>
      <c r="R58" s="149"/>
      <c r="S58" s="156"/>
    </row>
    <row r="59" spans="14:19">
      <c r="N59" s="149"/>
      <c r="R59" s="149"/>
      <c r="S59" s="156"/>
    </row>
    <row r="60" spans="14:19">
      <c r="N60" s="149"/>
      <c r="R60" s="149"/>
      <c r="S60" s="156"/>
    </row>
    <row r="61" spans="14:19">
      <c r="N61" s="149"/>
      <c r="R61" s="149"/>
      <c r="S61" s="156"/>
    </row>
    <row r="62" spans="14:19">
      <c r="N62" s="149"/>
      <c r="R62" s="149"/>
      <c r="S62" s="156"/>
    </row>
    <row r="63" spans="14:19">
      <c r="N63" s="149"/>
      <c r="R63" s="149"/>
      <c r="S63" s="156"/>
    </row>
    <row r="64" spans="14:19">
      <c r="N64" s="149"/>
      <c r="R64" s="149"/>
      <c r="S64" s="156"/>
    </row>
    <row r="65" spans="14:19">
      <c r="N65" s="149"/>
      <c r="R65" s="149"/>
      <c r="S65" s="156"/>
    </row>
    <row r="66" spans="14:19">
      <c r="N66" s="149"/>
      <c r="R66" s="149"/>
      <c r="S66" s="156"/>
    </row>
    <row r="67" spans="14:19">
      <c r="N67" s="149"/>
      <c r="R67" s="149"/>
      <c r="S67" s="156"/>
    </row>
    <row r="68" spans="18:19">
      <c r="R68" s="149"/>
      <c r="S68" s="156"/>
    </row>
    <row r="69" spans="18:19">
      <c r="R69" s="149"/>
      <c r="S69" s="156"/>
    </row>
    <row r="70" spans="18:19">
      <c r="R70" s="149"/>
      <c r="S70" s="156"/>
    </row>
    <row r="71" spans="18:19">
      <c r="R71" s="149"/>
      <c r="S71" s="156"/>
    </row>
    <row r="72" spans="18:19">
      <c r="R72" s="149"/>
      <c r="S72" s="156"/>
    </row>
    <row r="73" spans="18:19">
      <c r="R73" s="149"/>
      <c r="S73" s="156"/>
    </row>
    <row r="74" spans="18:19">
      <c r="R74" s="149"/>
      <c r="S74" s="156"/>
    </row>
    <row r="75" spans="18:19">
      <c r="R75" s="149"/>
      <c r="S75" s="156"/>
    </row>
    <row r="76" spans="18:19">
      <c r="R76" s="149"/>
      <c r="S76" s="156"/>
    </row>
    <row r="77" spans="18:19">
      <c r="R77" s="149"/>
      <c r="S77" s="156"/>
    </row>
    <row r="78" spans="18:19">
      <c r="R78" s="149"/>
      <c r="S78" s="156"/>
    </row>
    <row r="79" spans="18:19">
      <c r="R79" s="149"/>
      <c r="S79" s="156"/>
    </row>
    <row r="80" spans="18:19">
      <c r="R80" s="149"/>
      <c r="S80" s="156"/>
    </row>
    <row r="81" spans="18:19">
      <c r="R81" s="149"/>
      <c r="S81" s="156"/>
    </row>
    <row r="82" spans="18:19">
      <c r="R82" s="149"/>
      <c r="S82" s="156"/>
    </row>
    <row r="83" spans="18:19">
      <c r="R83" s="149"/>
      <c r="S83" s="156"/>
    </row>
    <row r="84" spans="18:19">
      <c r="R84" s="149"/>
      <c r="S84" s="156"/>
    </row>
    <row r="85" spans="18:19">
      <c r="R85" s="149"/>
      <c r="S85" s="156"/>
    </row>
    <row r="86" spans="18:19">
      <c r="R86" s="149"/>
      <c r="S86" s="156"/>
    </row>
    <row r="87" spans="18:19">
      <c r="R87" s="149"/>
      <c r="S87" s="156"/>
    </row>
    <row r="88" spans="18:19">
      <c r="R88" s="149"/>
      <c r="S88" s="156"/>
    </row>
    <row r="89" spans="18:19">
      <c r="R89" s="149"/>
      <c r="S89" s="156"/>
    </row>
    <row r="90" spans="18:18">
      <c r="R90" s="149"/>
    </row>
    <row r="91" spans="18:18">
      <c r="R91" s="149"/>
    </row>
    <row r="92" spans="18:18">
      <c r="R92" s="149"/>
    </row>
    <row r="93" spans="18:18">
      <c r="R93" s="149"/>
    </row>
    <row r="94" spans="18:18">
      <c r="R94" s="149"/>
    </row>
    <row r="95" spans="18:18">
      <c r="R95" s="149"/>
    </row>
    <row r="96" spans="18:18">
      <c r="R96" s="149"/>
    </row>
    <row r="97" spans="18:18">
      <c r="R97" s="149"/>
    </row>
    <row r="98" spans="18:18">
      <c r="R98" s="149"/>
    </row>
    <row r="99" spans="18:18">
      <c r="R99" s="149"/>
    </row>
    <row r="100" spans="18:18">
      <c r="R100" s="149"/>
    </row>
    <row r="101" spans="18:18">
      <c r="R101" s="149"/>
    </row>
    <row r="102" spans="18:18">
      <c r="R102" s="149"/>
    </row>
    <row r="103" spans="18:18">
      <c r="R103" s="149"/>
    </row>
    <row r="104" spans="18:18">
      <c r="R104" s="149"/>
    </row>
    <row r="105" spans="18:18">
      <c r="R105" s="149"/>
    </row>
    <row r="106" spans="18:18">
      <c r="R106" s="149"/>
    </row>
    <row r="107" spans="18:18">
      <c r="R107" s="149"/>
    </row>
    <row r="108" spans="18:18">
      <c r="R108" s="149"/>
    </row>
    <row r="109" spans="18:18">
      <c r="R109" s="149"/>
    </row>
    <row r="110" spans="18:18">
      <c r="R110" s="149"/>
    </row>
    <row r="111" spans="18:18">
      <c r="R111" s="149"/>
    </row>
    <row r="112" spans="18:18">
      <c r="R112" s="149"/>
    </row>
    <row r="113" spans="18:18">
      <c r="R113" s="149"/>
    </row>
    <row r="114" spans="18:18">
      <c r="R114" s="149"/>
    </row>
    <row r="115" spans="18:18">
      <c r="R115" s="149"/>
    </row>
    <row r="116" spans="18:18">
      <c r="R116" s="149"/>
    </row>
    <row r="117" spans="18:18">
      <c r="R117" s="149"/>
    </row>
    <row r="118" spans="18:18">
      <c r="R118" s="149"/>
    </row>
    <row r="119" spans="18:18">
      <c r="R119" s="149"/>
    </row>
    <row r="120" spans="18:18">
      <c r="R120" s="149"/>
    </row>
    <row r="121" spans="18:18">
      <c r="R121" s="149"/>
    </row>
    <row r="122" spans="18:18">
      <c r="R122" s="149"/>
    </row>
    <row r="123" spans="18:18">
      <c r="R123" s="149"/>
    </row>
    <row r="124" spans="18:18">
      <c r="R124" s="149"/>
    </row>
    <row r="125" spans="18:18">
      <c r="R125" s="149"/>
    </row>
    <row r="126" spans="18:18">
      <c r="R126" s="149"/>
    </row>
    <row r="127" spans="18:18">
      <c r="R127" s="149"/>
    </row>
    <row r="128" spans="18:18">
      <c r="R128" s="149"/>
    </row>
    <row r="129" spans="18:18">
      <c r="R129" s="149"/>
    </row>
    <row r="130" spans="18:18">
      <c r="R130" s="149"/>
    </row>
    <row r="131" spans="18:18">
      <c r="R131" s="149"/>
    </row>
    <row r="132" spans="18:18">
      <c r="R132" s="149"/>
    </row>
    <row r="133" spans="18:18">
      <c r="R133" s="149"/>
    </row>
    <row r="134" spans="18:18">
      <c r="R134" s="149"/>
    </row>
    <row r="135" spans="18:18">
      <c r="R135" s="149"/>
    </row>
    <row r="136" spans="18:18">
      <c r="R136" s="149"/>
    </row>
    <row r="137" spans="18:18">
      <c r="R137" s="149"/>
    </row>
    <row r="138" spans="18:18">
      <c r="R138" s="149"/>
    </row>
    <row r="139" spans="18:18">
      <c r="R139" s="149"/>
    </row>
    <row r="140" spans="18:18">
      <c r="R140" s="149"/>
    </row>
    <row r="141" spans="18:18">
      <c r="R141" s="149"/>
    </row>
    <row r="142" spans="18:18">
      <c r="R142" s="149"/>
    </row>
    <row r="143" spans="18:18">
      <c r="R143" s="149"/>
    </row>
    <row r="144" spans="18:18">
      <c r="R144" s="149"/>
    </row>
    <row r="145" spans="18:18">
      <c r="R145" s="149"/>
    </row>
    <row r="146" spans="18:18">
      <c r="R146" s="149"/>
    </row>
    <row r="147" spans="18:18">
      <c r="R147" s="149"/>
    </row>
    <row r="148" spans="18:18">
      <c r="R148" s="149"/>
    </row>
    <row r="149" spans="18:18">
      <c r="R149" s="149"/>
    </row>
    <row r="150" spans="18:18">
      <c r="R150" s="149"/>
    </row>
    <row r="151" spans="18:18">
      <c r="R151" s="149"/>
    </row>
    <row r="152" spans="18:18">
      <c r="R152" s="149"/>
    </row>
    <row r="153" spans="18:18">
      <c r="R153" s="149"/>
    </row>
    <row r="154" spans="18:18">
      <c r="R154" s="149"/>
    </row>
    <row r="155" spans="18:18">
      <c r="R155" s="149"/>
    </row>
    <row r="156" spans="18:18">
      <c r="R156" s="149"/>
    </row>
    <row r="157" spans="18:18">
      <c r="R157" s="149"/>
    </row>
    <row r="158" spans="18:18">
      <c r="R158" s="149"/>
    </row>
    <row r="159" spans="18:18">
      <c r="R159" s="149"/>
    </row>
    <row r="160" spans="18:18">
      <c r="R160" s="149"/>
    </row>
    <row r="161" spans="18:18">
      <c r="R161" s="149"/>
    </row>
    <row r="162" spans="18:18">
      <c r="R162" s="149"/>
    </row>
    <row r="163" spans="18:18">
      <c r="R163" s="149"/>
    </row>
    <row r="164" spans="18:18">
      <c r="R164" s="149"/>
    </row>
    <row r="165" spans="18:18">
      <c r="R165" s="149"/>
    </row>
    <row r="166" spans="18:18">
      <c r="R166" s="149"/>
    </row>
    <row r="167" spans="18:18">
      <c r="R167" s="149"/>
    </row>
    <row r="168" spans="18:18">
      <c r="R168" s="149"/>
    </row>
    <row r="169" spans="18:18">
      <c r="R169" s="149"/>
    </row>
    <row r="170" spans="18:18">
      <c r="R170" s="149"/>
    </row>
    <row r="171" spans="18:18">
      <c r="R171" s="149"/>
    </row>
    <row r="172" spans="18:18">
      <c r="R172" s="149"/>
    </row>
    <row r="173" spans="18:18">
      <c r="R173" s="149"/>
    </row>
    <row r="174" spans="18:18">
      <c r="R174" s="149"/>
    </row>
    <row r="175" spans="18:18">
      <c r="R175" s="149"/>
    </row>
  </sheetData>
  <sortState ref="M26:R30">
    <sortCondition ref="Q26:Q30"/>
  </sortState>
  <pageMargins left="0.75" right="0.75" top="1" bottom="1" header="0.5" footer="0.5"/>
  <headerFooter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3563" name="Button 11" r:id="rId3">
              <controlPr print="0" defaultSize="0">
                <anchor moveWithCells="1">
                  <from>
                    <xdr:col>4</xdr:col>
                    <xdr:colOff>257175</xdr:colOff>
                    <xdr:row>33</xdr:row>
                    <xdr:rowOff>114300</xdr:rowOff>
                  </from>
                  <to>
                    <xdr:col>6</xdr:col>
                    <xdr:colOff>323850</xdr:colOff>
                    <xdr:row>35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3564" name="Button 12" r:id="rId4">
              <controlPr print="0" defaultSize="0">
                <anchor moveWithCells="1">
                  <from>
                    <xdr:col>4</xdr:col>
                    <xdr:colOff>257810</xdr:colOff>
                    <xdr:row>36</xdr:row>
                    <xdr:rowOff>9525</xdr:rowOff>
                  </from>
                  <to>
                    <xdr:col>6</xdr:col>
                    <xdr:colOff>286385</xdr:colOff>
                    <xdr:row>37</xdr:row>
                    <xdr:rowOff>104775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3694" name="Button 142" r:id="rId5">
              <controlPr print="0" defaultSize="0">
                <anchor moveWithCells="1">
                  <from>
                    <xdr:col>20</xdr:col>
                    <xdr:colOff>104775</xdr:colOff>
                    <xdr:row>3</xdr:row>
                    <xdr:rowOff>85725</xdr:rowOff>
                  </from>
                  <to>
                    <xdr:col>21</xdr:col>
                    <xdr:colOff>618490</xdr:colOff>
                    <xdr:row>5</xdr:row>
                    <xdr:rowOff>27940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099" name="Check Box 20" r:id="rId6">
              <controlPr defaultSize="0">
                <anchor moveWithCells="1">
                  <from>
                    <xdr:col>2</xdr:col>
                    <xdr:colOff>189865</xdr:colOff>
                    <xdr:row>39</xdr:row>
                    <xdr:rowOff>64135</xdr:rowOff>
                  </from>
                  <to>
                    <xdr:col>3</xdr:col>
                    <xdr:colOff>542925</xdr:colOff>
                    <xdr:row>40</xdr:row>
                    <xdr:rowOff>116205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111" name="Check Box 19" r:id="rId7">
              <controlPr defaultSize="0">
                <anchor moveWithCells="1">
                  <from>
                    <xdr:col>2</xdr:col>
                    <xdr:colOff>189865</xdr:colOff>
                    <xdr:row>37</xdr:row>
                    <xdr:rowOff>92710</xdr:rowOff>
                  </from>
                  <to>
                    <xdr:col>4</xdr:col>
                    <xdr:colOff>645160</xdr:colOff>
                    <xdr:row>38</xdr:row>
                    <xdr:rowOff>144780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110" name="Check Box 18" r:id="rId8">
              <controlPr defaultSize="0">
                <anchor moveWithCells="1">
                  <from>
                    <xdr:col>2</xdr:col>
                    <xdr:colOff>189865</xdr:colOff>
                    <xdr:row>35</xdr:row>
                    <xdr:rowOff>92710</xdr:rowOff>
                  </from>
                  <to>
                    <xdr:col>4</xdr:col>
                    <xdr:colOff>645160</xdr:colOff>
                    <xdr:row>36</xdr:row>
                    <xdr:rowOff>144780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109" name="Check Box 17" r:id="rId9">
              <controlPr defaultSize="0">
                <anchor moveWithCells="1">
                  <from>
                    <xdr:col>2</xdr:col>
                    <xdr:colOff>189865</xdr:colOff>
                    <xdr:row>33</xdr:row>
                    <xdr:rowOff>92710</xdr:rowOff>
                  </from>
                  <to>
                    <xdr:col>4</xdr:col>
                    <xdr:colOff>645160</xdr:colOff>
                    <xdr:row>34</xdr:row>
                    <xdr:rowOff>144780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3557" name="Check Box 16" r:id="rId10">
              <controlPr defaultSize="0">
                <anchor moveWithCells="1">
                  <from>
                    <xdr:col>2</xdr:col>
                    <xdr:colOff>206375</xdr:colOff>
                    <xdr:row>31</xdr:row>
                    <xdr:rowOff>73025</xdr:rowOff>
                  </from>
                  <to>
                    <xdr:col>3</xdr:col>
                    <xdr:colOff>520700</xdr:colOff>
                    <xdr:row>32</xdr:row>
                    <xdr:rowOff>115570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108" name="Check Box 15" r:id="rId11">
              <controlPr defaultSize="0">
                <anchor moveWithCells="1">
                  <from>
                    <xdr:col>2</xdr:col>
                    <xdr:colOff>189865</xdr:colOff>
                    <xdr:row>29</xdr:row>
                    <xdr:rowOff>41910</xdr:rowOff>
                  </from>
                  <to>
                    <xdr:col>4</xdr:col>
                    <xdr:colOff>645160</xdr:colOff>
                    <xdr:row>30</xdr:row>
                    <xdr:rowOff>93980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107" name="Check Box 14" r:id="rId12">
              <controlPr defaultSize="0">
                <anchor moveWithCells="1">
                  <from>
                    <xdr:col>2</xdr:col>
                    <xdr:colOff>189865</xdr:colOff>
                    <xdr:row>27</xdr:row>
                    <xdr:rowOff>41910</xdr:rowOff>
                  </from>
                  <to>
                    <xdr:col>3</xdr:col>
                    <xdr:colOff>92710</xdr:colOff>
                    <xdr:row>28</xdr:row>
                    <xdr:rowOff>93980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104" name="Check Box 13" r:id="rId13">
              <controlPr defaultSize="0">
                <anchor moveWithCells="1">
                  <from>
                    <xdr:col>2</xdr:col>
                    <xdr:colOff>177165</xdr:colOff>
                    <xdr:row>25</xdr:row>
                    <xdr:rowOff>41910</xdr:rowOff>
                  </from>
                  <to>
                    <xdr:col>4</xdr:col>
                    <xdr:colOff>233680</xdr:colOff>
                    <xdr:row>26</xdr:row>
                    <xdr:rowOff>93980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112" name="Check Box 12" r:id="rId14">
              <controlPr defaultSize="0">
                <anchor moveWithCells="1">
                  <from>
                    <xdr:col>2</xdr:col>
                    <xdr:colOff>180340</xdr:colOff>
                    <xdr:row>23</xdr:row>
                    <xdr:rowOff>60960</xdr:rowOff>
                  </from>
                  <to>
                    <xdr:col>4</xdr:col>
                    <xdr:colOff>427990</xdr:colOff>
                    <xdr:row>24</xdr:row>
                    <xdr:rowOff>113030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103" name="Check Box 11" r:id="rId15">
              <controlPr defaultSize="0">
                <anchor moveWithCells="1">
                  <from>
                    <xdr:col>2</xdr:col>
                    <xdr:colOff>164465</xdr:colOff>
                    <xdr:row>21</xdr:row>
                    <xdr:rowOff>54610</xdr:rowOff>
                  </from>
                  <to>
                    <xdr:col>4</xdr:col>
                    <xdr:colOff>640080</xdr:colOff>
                    <xdr:row>22</xdr:row>
                    <xdr:rowOff>106680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3558" name="Check Box 10" r:id="rId16">
              <controlPr defaultSize="0">
                <anchor moveWithCells="1">
                  <from>
                    <xdr:col>2</xdr:col>
                    <xdr:colOff>165100</xdr:colOff>
                    <xdr:row>19</xdr:row>
                    <xdr:rowOff>57150</xdr:rowOff>
                  </from>
                  <to>
                    <xdr:col>5</xdr:col>
                    <xdr:colOff>640715</xdr:colOff>
                    <xdr:row>20</xdr:row>
                    <xdr:rowOff>99695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102" name="Check Box 9" r:id="rId17">
              <controlPr defaultSize="0">
                <anchor moveWithCells="1">
                  <from>
                    <xdr:col>2</xdr:col>
                    <xdr:colOff>164465</xdr:colOff>
                    <xdr:row>17</xdr:row>
                    <xdr:rowOff>67310</xdr:rowOff>
                  </from>
                  <to>
                    <xdr:col>4</xdr:col>
                    <xdr:colOff>147320</xdr:colOff>
                    <xdr:row>18</xdr:row>
                    <xdr:rowOff>119380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105" name="Check Box 8" r:id="rId18">
              <controlPr defaultSize="0">
                <anchor moveWithCells="1">
                  <from>
                    <xdr:col>2</xdr:col>
                    <xdr:colOff>164465</xdr:colOff>
                    <xdr:row>15</xdr:row>
                    <xdr:rowOff>67310</xdr:rowOff>
                  </from>
                  <to>
                    <xdr:col>5</xdr:col>
                    <xdr:colOff>106045</xdr:colOff>
                    <xdr:row>16</xdr:row>
                    <xdr:rowOff>119380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101" name="Check Box 7" r:id="rId19">
              <controlPr defaultSize="0">
                <anchor moveWithCells="1">
                  <from>
                    <xdr:col>2</xdr:col>
                    <xdr:colOff>151765</xdr:colOff>
                    <xdr:row>13</xdr:row>
                    <xdr:rowOff>54610</xdr:rowOff>
                  </from>
                  <to>
                    <xdr:col>3</xdr:col>
                    <xdr:colOff>504825</xdr:colOff>
                    <xdr:row>14</xdr:row>
                    <xdr:rowOff>106680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3560" name="Check Box 6" r:id="rId20">
              <controlPr defaultSize="0">
                <anchor moveWithCells="1">
                  <from>
                    <xdr:col>2</xdr:col>
                    <xdr:colOff>151765</xdr:colOff>
                    <xdr:row>11</xdr:row>
                    <xdr:rowOff>67310</xdr:rowOff>
                  </from>
                  <to>
                    <xdr:col>3</xdr:col>
                    <xdr:colOff>504825</xdr:colOff>
                    <xdr:row>12</xdr:row>
                    <xdr:rowOff>119380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3559" name="Check Box 5" r:id="rId21">
              <controlPr defaultSize="0">
                <anchor moveWithCells="1">
                  <from>
                    <xdr:col>2</xdr:col>
                    <xdr:colOff>161925</xdr:colOff>
                    <xdr:row>9</xdr:row>
                    <xdr:rowOff>79375</xdr:rowOff>
                  </from>
                  <to>
                    <xdr:col>3</xdr:col>
                    <xdr:colOff>552450</xdr:colOff>
                    <xdr:row>10</xdr:row>
                    <xdr:rowOff>121920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098" name="Check Box 4" r:id="rId22">
              <controlPr defaultSize="0">
                <anchor moveWithCells="1">
                  <from>
                    <xdr:col>2</xdr:col>
                    <xdr:colOff>151765</xdr:colOff>
                    <xdr:row>7</xdr:row>
                    <xdr:rowOff>45085</xdr:rowOff>
                  </from>
                  <to>
                    <xdr:col>3</xdr:col>
                    <xdr:colOff>504825</xdr:colOff>
                    <xdr:row>8</xdr:row>
                    <xdr:rowOff>97155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3562" name="Check Box 3" r:id="rId23">
              <controlPr defaultSize="0">
                <anchor moveWithCells="1">
                  <from>
                    <xdr:col>2</xdr:col>
                    <xdr:colOff>142875</xdr:colOff>
                    <xdr:row>5</xdr:row>
                    <xdr:rowOff>63500</xdr:rowOff>
                  </from>
                  <to>
                    <xdr:col>4</xdr:col>
                    <xdr:colOff>552450</xdr:colOff>
                    <xdr:row>6</xdr:row>
                    <xdr:rowOff>106045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3561" name="Check Box 2" r:id="rId24">
              <controlPr defaultSize="0">
                <anchor moveWithCells="1">
                  <from>
                    <xdr:col>2</xdr:col>
                    <xdr:colOff>149225</xdr:colOff>
                    <xdr:row>3</xdr:row>
                    <xdr:rowOff>60325</xdr:rowOff>
                  </from>
                  <to>
                    <xdr:col>4</xdr:col>
                    <xdr:colOff>558800</xdr:colOff>
                    <xdr:row>4</xdr:row>
                    <xdr:rowOff>102870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100" name="Check Box 1" r:id="rId25">
              <controlPr defaultSize="0">
                <anchor moveWithCells="1">
                  <from>
                    <xdr:col>2</xdr:col>
                    <xdr:colOff>164465</xdr:colOff>
                    <xdr:row>1</xdr:row>
                    <xdr:rowOff>67310</xdr:rowOff>
                  </from>
                  <to>
                    <xdr:col>3</xdr:col>
                    <xdr:colOff>517525</xdr:colOff>
                    <xdr:row>2</xdr:row>
                    <xdr:rowOff>119380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121" name="Button 569" r:id="rId26">
              <controlPr print="0" defaultSize="0">
                <anchor moveWithCells="1">
                  <from>
                    <xdr:col>20</xdr:col>
                    <xdr:colOff>114300</xdr:colOff>
                    <xdr:row>6</xdr:row>
                    <xdr:rowOff>9525</xdr:rowOff>
                  </from>
                  <to>
                    <xdr:col>22</xdr:col>
                    <xdr:colOff>18415</xdr:colOff>
                    <xdr:row>7</xdr:row>
                    <xdr:rowOff>113665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122" name="Check Box 21" r:id="rId27">
              <controlPr defaultSize="0">
                <anchor moveWithCells="1">
                  <from>
                    <xdr:col>2</xdr:col>
                    <xdr:colOff>202565</xdr:colOff>
                    <xdr:row>41</xdr:row>
                    <xdr:rowOff>38100</xdr:rowOff>
                  </from>
                  <to>
                    <xdr:col>3</xdr:col>
                    <xdr:colOff>555625</xdr:colOff>
                    <xdr:row>42</xdr:row>
                    <xdr:rowOff>90805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123" name="Check Box 22" r:id="rId28">
              <controlPr defaultSize="0">
                <anchor moveWithCells="1">
                  <from>
                    <xdr:col>2</xdr:col>
                    <xdr:colOff>202565</xdr:colOff>
                    <xdr:row>43</xdr:row>
                    <xdr:rowOff>50800</xdr:rowOff>
                  </from>
                  <to>
                    <xdr:col>3</xdr:col>
                    <xdr:colOff>555625</xdr:colOff>
                    <xdr:row>44</xdr:row>
                    <xdr:rowOff>103505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124" name="Check Box 23" r:id="rId29">
              <controlPr defaultSize="0">
                <anchor moveWithCells="1">
                  <from>
                    <xdr:col>2</xdr:col>
                    <xdr:colOff>202565</xdr:colOff>
                    <xdr:row>45</xdr:row>
                    <xdr:rowOff>50800</xdr:rowOff>
                  </from>
                  <to>
                    <xdr:col>3</xdr:col>
                    <xdr:colOff>555625</xdr:colOff>
                    <xdr:row>46</xdr:row>
                    <xdr:rowOff>103505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125" name="Check Box 24" r:id="rId30">
              <controlPr defaultSize="0">
                <anchor moveWithCells="1">
                  <from>
                    <xdr:col>2</xdr:col>
                    <xdr:colOff>215265</xdr:colOff>
                    <xdr:row>47</xdr:row>
                    <xdr:rowOff>50800</xdr:rowOff>
                  </from>
                  <to>
                    <xdr:col>3</xdr:col>
                    <xdr:colOff>568325</xdr:colOff>
                    <xdr:row>48</xdr:row>
                    <xdr:rowOff>103505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126" name="Check Box 25" r:id="rId31">
              <controlPr defaultSize="0">
                <anchor moveWithCells="1">
                  <from>
                    <xdr:col>2</xdr:col>
                    <xdr:colOff>227965</xdr:colOff>
                    <xdr:row>49</xdr:row>
                    <xdr:rowOff>50800</xdr:rowOff>
                  </from>
                  <to>
                    <xdr:col>3</xdr:col>
                    <xdr:colOff>581025</xdr:colOff>
                    <xdr:row>50</xdr:row>
                    <xdr:rowOff>103505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433" name="Button 881" r:id="rId32">
              <controlPr print="0" defaultSize="0">
                <anchor moveWithCells="1">
                  <from>
                    <xdr:col>4</xdr:col>
                    <xdr:colOff>266700</xdr:colOff>
                    <xdr:row>38</xdr:row>
                    <xdr:rowOff>57150</xdr:rowOff>
                  </from>
                  <to>
                    <xdr:col>6</xdr:col>
                    <xdr:colOff>294640</xdr:colOff>
                    <xdr:row>40</xdr:row>
                    <xdr:rowOff>18415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>
  <sheetPr codeName="Sheet1"/>
  <dimension ref="A1:AB73"/>
  <sheetViews>
    <sheetView topLeftCell="A4" workbookViewId="0">
      <selection activeCell="C17" sqref="C17"/>
    </sheetView>
  </sheetViews>
  <sheetFormatPr defaultColWidth="9" defaultRowHeight="14.25"/>
  <cols>
    <col min="1" max="1" width="11.875" customWidth="1"/>
    <col min="17" max="17" width="9.375"/>
    <col min="23" max="23" width="9" customWidth="1"/>
    <col min="27" max="27" width="9.375"/>
  </cols>
  <sheetData>
    <row r="1" spans="1:2">
      <c r="A1" t="s">
        <v>63</v>
      </c>
      <c r="B1">
        <v>2</v>
      </c>
    </row>
    <row r="2" spans="1:28">
      <c r="A2" s="1" t="s">
        <v>64</v>
      </c>
      <c r="B2">
        <v>2</v>
      </c>
      <c r="C2" s="1" t="s">
        <v>65</v>
      </c>
      <c r="D2">
        <v>2</v>
      </c>
      <c r="E2" s="1" t="s">
        <v>66</v>
      </c>
      <c r="G2" s="1" t="s">
        <v>67</v>
      </c>
      <c r="I2" s="1" t="s">
        <v>68</v>
      </c>
      <c r="K2" s="1" t="s">
        <v>69</v>
      </c>
      <c r="M2" s="1" t="s">
        <v>70</v>
      </c>
      <c r="O2" s="1" t="s">
        <v>71</v>
      </c>
      <c r="Q2" s="1" t="s">
        <v>72</v>
      </c>
      <c r="S2" s="1" t="s">
        <v>73</v>
      </c>
      <c r="X2" s="77"/>
      <c r="Y2" s="77"/>
      <c r="Z2" s="77" t="s">
        <v>74</v>
      </c>
      <c r="AA2" s="77"/>
      <c r="AB2" s="77"/>
    </row>
    <row r="3" spans="1:28">
      <c r="A3" t="s">
        <v>75</v>
      </c>
      <c r="B3">
        <v>1</v>
      </c>
      <c r="C3" t="s">
        <v>75</v>
      </c>
      <c r="D3">
        <v>2</v>
      </c>
      <c r="E3" t="s">
        <v>75</v>
      </c>
      <c r="G3" t="s">
        <v>75</v>
      </c>
      <c r="I3" t="s">
        <v>75</v>
      </c>
      <c r="K3" t="s">
        <v>75</v>
      </c>
      <c r="M3" t="s">
        <v>75</v>
      </c>
      <c r="O3" t="s">
        <v>75</v>
      </c>
      <c r="Q3" t="s">
        <v>75</v>
      </c>
      <c r="S3" t="s">
        <v>75</v>
      </c>
      <c r="X3" s="77" t="s">
        <v>76</v>
      </c>
      <c r="Y3" s="77"/>
      <c r="Z3" s="77"/>
      <c r="AA3" s="77"/>
      <c r="AB3" s="77"/>
    </row>
    <row r="4" spans="1:28">
      <c r="A4" s="1" t="s">
        <v>77</v>
      </c>
      <c r="B4" s="1" t="s">
        <v>78</v>
      </c>
      <c r="D4" s="86" t="s">
        <v>79</v>
      </c>
      <c r="AB4" s="124"/>
    </row>
    <row r="5" spans="1:4">
      <c r="A5" s="1" t="s">
        <v>80</v>
      </c>
      <c r="B5">
        <v>13.61</v>
      </c>
      <c r="D5">
        <v>11.51</v>
      </c>
    </row>
    <row r="6" spans="1:4">
      <c r="A6" t="s">
        <v>81</v>
      </c>
      <c r="B6">
        <v>0.74</v>
      </c>
      <c r="D6">
        <v>0.83</v>
      </c>
    </row>
    <row r="7" spans="1:4">
      <c r="A7" t="s">
        <v>82</v>
      </c>
      <c r="B7">
        <v>0.97</v>
      </c>
      <c r="D7">
        <v>0.96</v>
      </c>
    </row>
    <row r="8" spans="1:6">
      <c r="A8" s="1" t="s">
        <v>83</v>
      </c>
      <c r="B8" s="2">
        <v>0.0217</v>
      </c>
      <c r="D8" s="2">
        <v>0.0009</v>
      </c>
      <c r="F8" s="2"/>
    </row>
    <row r="9" spans="1:6">
      <c r="A9" t="s">
        <v>84</v>
      </c>
      <c r="B9" s="2">
        <v>0.0334</v>
      </c>
      <c r="D9" s="2">
        <v>0.009</v>
      </c>
      <c r="F9" s="2"/>
    </row>
    <row r="10" spans="14:21">
      <c r="N10" s="132" t="s">
        <v>85</v>
      </c>
      <c r="O10" s="132"/>
      <c r="P10" s="132"/>
      <c r="Q10" s="132"/>
      <c r="R10" s="132"/>
      <c r="S10" s="132"/>
      <c r="T10" s="132"/>
      <c r="U10" s="132"/>
    </row>
    <row r="11" spans="1:22">
      <c r="A11" s="3" t="s">
        <v>86</v>
      </c>
      <c r="B11" s="3" t="s">
        <v>87</v>
      </c>
      <c r="C11" s="4" t="s">
        <v>88</v>
      </c>
      <c r="D11" s="6" t="s">
        <v>89</v>
      </c>
      <c r="E11" s="6" t="s">
        <v>90</v>
      </c>
      <c r="F11" s="4" t="s">
        <v>91</v>
      </c>
      <c r="G11" s="110"/>
      <c r="H11" s="110"/>
      <c r="I11" s="133"/>
      <c r="J11" s="110"/>
      <c r="K11" s="110"/>
      <c r="L11" s="133"/>
      <c r="M11" s="4"/>
      <c r="N11" s="134" t="s">
        <v>86</v>
      </c>
      <c r="O11" s="135" t="s">
        <v>87</v>
      </c>
      <c r="P11" s="58" t="s">
        <v>92</v>
      </c>
      <c r="Q11" s="58"/>
      <c r="R11" s="58"/>
      <c r="S11" s="58" t="s">
        <v>93</v>
      </c>
      <c r="T11" s="58" t="s">
        <v>94</v>
      </c>
      <c r="U11" s="135" t="s">
        <v>95</v>
      </c>
      <c r="V11" s="134" t="s">
        <v>96</v>
      </c>
    </row>
    <row r="12" spans="1:22">
      <c r="A12" s="3"/>
      <c r="B12" s="5"/>
      <c r="C12" s="6"/>
      <c r="D12" s="58"/>
      <c r="E12" s="58"/>
      <c r="F12" s="4"/>
      <c r="G12" s="110"/>
      <c r="H12" s="110"/>
      <c r="I12" s="133"/>
      <c r="J12" s="110"/>
      <c r="K12" s="110"/>
      <c r="L12" s="133"/>
      <c r="M12" s="4"/>
      <c r="N12" s="3"/>
      <c r="O12" s="58"/>
      <c r="P12" s="4" t="s">
        <v>97</v>
      </c>
      <c r="Q12" s="4" t="s">
        <v>98</v>
      </c>
      <c r="R12" s="4" t="s">
        <v>99</v>
      </c>
      <c r="S12" s="4"/>
      <c r="T12" s="4"/>
      <c r="U12" s="58"/>
      <c r="V12" s="3"/>
    </row>
    <row r="13" ht="15.75" spans="1:22">
      <c r="A13" s="77" t="s">
        <v>100</v>
      </c>
      <c r="B13" s="87" t="s">
        <v>101</v>
      </c>
      <c r="C13" s="125">
        <v>0</v>
      </c>
      <c r="D13" s="125">
        <v>14.08</v>
      </c>
      <c r="E13" s="125">
        <v>0.47</v>
      </c>
      <c r="F13" s="125">
        <v>14</v>
      </c>
      <c r="G13" s="110"/>
      <c r="H13" s="110"/>
      <c r="I13" s="133"/>
      <c r="J13" s="110"/>
      <c r="K13" s="110"/>
      <c r="L13" s="133"/>
      <c r="M13" s="1"/>
      <c r="N13" s="97"/>
      <c r="O13" s="97"/>
      <c r="P13" s="98">
        <v>14.08</v>
      </c>
      <c r="Q13" s="98">
        <v>13.61</v>
      </c>
      <c r="R13" s="98">
        <v>0.47</v>
      </c>
      <c r="S13" s="98">
        <v>14</v>
      </c>
      <c r="T13" s="98">
        <v>0.972142857142857</v>
      </c>
      <c r="U13" s="117">
        <v>0.0333806818181818</v>
      </c>
      <c r="V13" s="110">
        <v>-13.61</v>
      </c>
    </row>
    <row r="14" ht="15.75" spans="1:22">
      <c r="A14" s="22" t="s">
        <v>100</v>
      </c>
      <c r="B14" s="87" t="s">
        <v>102</v>
      </c>
      <c r="C14" s="125">
        <v>0</v>
      </c>
      <c r="D14" s="125">
        <v>10.62</v>
      </c>
      <c r="E14" s="125">
        <v>0.23</v>
      </c>
      <c r="F14" s="125">
        <v>14</v>
      </c>
      <c r="G14" s="110"/>
      <c r="H14" s="110"/>
      <c r="I14" s="133"/>
      <c r="J14" s="110"/>
      <c r="K14" s="110"/>
      <c r="L14" s="133"/>
      <c r="M14" s="1"/>
      <c r="N14" s="97"/>
      <c r="O14" s="97"/>
      <c r="P14" s="98">
        <v>10.62</v>
      </c>
      <c r="Q14" s="98">
        <v>10.39</v>
      </c>
      <c r="R14" s="98">
        <v>0.23</v>
      </c>
      <c r="S14" s="98">
        <v>14</v>
      </c>
      <c r="T14" s="98">
        <v>0.742142857142857</v>
      </c>
      <c r="U14" s="117">
        <v>0.0216572504708098</v>
      </c>
      <c r="V14" s="110">
        <v>-10.39</v>
      </c>
    </row>
    <row r="15" ht="15.75" spans="1:22">
      <c r="A15" s="22" t="s">
        <v>103</v>
      </c>
      <c r="B15" s="87" t="s">
        <v>104</v>
      </c>
      <c r="C15" s="125">
        <v>0</v>
      </c>
      <c r="D15" s="125">
        <v>11.52</v>
      </c>
      <c r="E15" s="125">
        <v>0.01</v>
      </c>
      <c r="F15" s="125">
        <v>12</v>
      </c>
      <c r="G15" s="110"/>
      <c r="H15" s="110"/>
      <c r="I15" s="133"/>
      <c r="J15" s="110"/>
      <c r="K15" s="110"/>
      <c r="L15" s="133"/>
      <c r="M15" s="1"/>
      <c r="N15" s="99"/>
      <c r="O15" s="99"/>
      <c r="P15" s="98">
        <v>11.52</v>
      </c>
      <c r="Q15" s="98">
        <v>11.51</v>
      </c>
      <c r="R15" s="98">
        <v>0.01</v>
      </c>
      <c r="S15" s="98">
        <v>12</v>
      </c>
      <c r="T15" s="98">
        <v>0.959166666666667</v>
      </c>
      <c r="U15" s="117">
        <v>0.000868055555555556</v>
      </c>
      <c r="V15" s="147">
        <v>-11.51</v>
      </c>
    </row>
    <row r="16" ht="15.75" spans="1:22">
      <c r="A16" s="22" t="s">
        <v>103</v>
      </c>
      <c r="B16" s="87" t="s">
        <v>105</v>
      </c>
      <c r="C16" s="125">
        <v>0</v>
      </c>
      <c r="D16" s="125">
        <v>10</v>
      </c>
      <c r="E16" s="125">
        <v>0.09</v>
      </c>
      <c r="F16" s="125">
        <v>12</v>
      </c>
      <c r="G16" s="110"/>
      <c r="H16" s="110"/>
      <c r="I16" s="133"/>
      <c r="J16" s="110"/>
      <c r="K16" s="110"/>
      <c r="L16" s="133"/>
      <c r="M16" s="1"/>
      <c r="N16" s="97"/>
      <c r="O16" s="97"/>
      <c r="P16" s="98">
        <v>10</v>
      </c>
      <c r="Q16" s="98">
        <v>9.91</v>
      </c>
      <c r="R16" s="98">
        <v>0.09</v>
      </c>
      <c r="S16" s="98">
        <v>12</v>
      </c>
      <c r="T16" s="98">
        <v>0.825833333333333</v>
      </c>
      <c r="U16" s="117">
        <v>0.009</v>
      </c>
      <c r="V16" s="110">
        <v>-9.91</v>
      </c>
    </row>
    <row r="17" ht="15.75" spans="1:22">
      <c r="A17" s="126"/>
      <c r="B17" s="90"/>
      <c r="C17" s="127"/>
      <c r="D17" s="127"/>
      <c r="E17" s="127"/>
      <c r="F17" s="127"/>
      <c r="G17" s="110"/>
      <c r="H17" s="110"/>
      <c r="I17" s="133"/>
      <c r="J17" s="110"/>
      <c r="K17" s="110"/>
      <c r="L17" s="133"/>
      <c r="M17" s="1"/>
      <c r="N17" s="97"/>
      <c r="O17" s="97"/>
      <c r="P17" s="98">
        <v>1.6</v>
      </c>
      <c r="Q17" s="98">
        <v>1.54</v>
      </c>
      <c r="R17" s="98">
        <v>0.0600000000000023</v>
      </c>
      <c r="S17" s="98">
        <v>2.88</v>
      </c>
      <c r="T17" s="98">
        <v>0.534722222222222</v>
      </c>
      <c r="U17" s="117">
        <v>0.0375000000000014</v>
      </c>
      <c r="V17" s="110">
        <v>-1.54</v>
      </c>
    </row>
    <row r="18" ht="15.75" spans="1:22">
      <c r="A18" s="126"/>
      <c r="B18" s="90"/>
      <c r="C18" s="127"/>
      <c r="D18" s="127"/>
      <c r="E18" s="127"/>
      <c r="F18" s="127"/>
      <c r="G18" s="110"/>
      <c r="H18" s="110"/>
      <c r="I18" s="133"/>
      <c r="J18" s="110"/>
      <c r="K18" s="110"/>
      <c r="L18" s="133"/>
      <c r="M18" s="1"/>
      <c r="N18" s="99"/>
      <c r="O18" s="99"/>
      <c r="P18" s="98">
        <v>2.04000000000001</v>
      </c>
      <c r="Q18" s="98">
        <v>1.95</v>
      </c>
      <c r="R18" s="98">
        <v>0.0900000000000034</v>
      </c>
      <c r="S18" s="98">
        <v>3.51</v>
      </c>
      <c r="T18" s="98">
        <v>0.555555555555556</v>
      </c>
      <c r="U18" s="117">
        <v>0.0441176470588251</v>
      </c>
      <c r="V18" s="147">
        <v>-1.95</v>
      </c>
    </row>
    <row r="19" ht="15.75" spans="1:22">
      <c r="A19" s="126"/>
      <c r="B19" s="90"/>
      <c r="C19" s="127"/>
      <c r="D19" s="127"/>
      <c r="E19" s="127"/>
      <c r="F19" s="127"/>
      <c r="G19" s="110"/>
      <c r="H19" s="110"/>
      <c r="I19" s="133"/>
      <c r="J19" s="110"/>
      <c r="K19" s="110"/>
      <c r="L19" s="133"/>
      <c r="M19" s="1"/>
      <c r="N19" s="97"/>
      <c r="O19" s="97"/>
      <c r="P19" s="98">
        <v>2.29000000000001</v>
      </c>
      <c r="Q19" s="98">
        <v>2.25</v>
      </c>
      <c r="R19" s="98">
        <v>0.0400000000000063</v>
      </c>
      <c r="S19" s="98">
        <v>3.95</v>
      </c>
      <c r="T19" s="98">
        <v>0.569620253164557</v>
      </c>
      <c r="U19" s="117">
        <v>0.0174672489082996</v>
      </c>
      <c r="V19" s="110">
        <v>-2.25</v>
      </c>
    </row>
    <row r="20" ht="15.75" spans="1:22">
      <c r="A20" s="126"/>
      <c r="B20" s="90"/>
      <c r="C20" s="127"/>
      <c r="D20" s="127"/>
      <c r="E20" s="127"/>
      <c r="F20" s="127"/>
      <c r="G20" s="110"/>
      <c r="H20" s="110"/>
      <c r="I20" s="133"/>
      <c r="J20" s="110"/>
      <c r="K20" s="110"/>
      <c r="L20" s="133"/>
      <c r="M20" s="1"/>
      <c r="N20" s="97"/>
      <c r="O20" s="97"/>
      <c r="P20" s="98">
        <v>2.42999999999999</v>
      </c>
      <c r="Q20" s="98">
        <v>2.39</v>
      </c>
      <c r="R20" s="98">
        <v>0.039999999999992</v>
      </c>
      <c r="S20" s="98">
        <v>4.1</v>
      </c>
      <c r="T20" s="98">
        <v>0.582926829268293</v>
      </c>
      <c r="U20" s="117">
        <v>0.016460905349791</v>
      </c>
      <c r="V20" s="110">
        <v>-2.39</v>
      </c>
    </row>
    <row r="21" ht="15.75" spans="1:22">
      <c r="A21" s="126"/>
      <c r="B21" s="90"/>
      <c r="C21" s="127"/>
      <c r="D21" s="127"/>
      <c r="E21" s="127"/>
      <c r="F21" s="127"/>
      <c r="G21" s="110"/>
      <c r="H21" s="110"/>
      <c r="I21" s="133"/>
      <c r="J21" s="110"/>
      <c r="K21" s="110"/>
      <c r="L21" s="133"/>
      <c r="N21" s="97"/>
      <c r="O21" s="97"/>
      <c r="P21" s="98">
        <v>2.27000000000001</v>
      </c>
      <c r="Q21" s="98">
        <v>2.24000000000001</v>
      </c>
      <c r="R21" s="98">
        <v>0.0300000000000011</v>
      </c>
      <c r="S21" s="98">
        <v>3.84</v>
      </c>
      <c r="T21" s="98">
        <v>0.583333333333336</v>
      </c>
      <c r="U21" s="117">
        <v>0.0132158590308374</v>
      </c>
      <c r="V21" s="110">
        <v>-2.24000000000001</v>
      </c>
    </row>
    <row r="22" ht="15.75" spans="1:22">
      <c r="A22" s="126"/>
      <c r="B22" s="90"/>
      <c r="C22" s="127"/>
      <c r="D22" s="127"/>
      <c r="E22" s="127"/>
      <c r="F22" s="127"/>
      <c r="G22" s="110"/>
      <c r="H22" s="110"/>
      <c r="I22" s="133"/>
      <c r="J22" s="110"/>
      <c r="K22" s="110"/>
      <c r="L22" s="133"/>
      <c r="N22" s="100"/>
      <c r="O22" s="100"/>
      <c r="P22" s="98">
        <v>1.91</v>
      </c>
      <c r="Q22" s="98">
        <v>1.91</v>
      </c>
      <c r="R22" s="98">
        <v>0</v>
      </c>
      <c r="S22" s="98">
        <v>3.58</v>
      </c>
      <c r="T22" s="98">
        <v>0.533519553072625</v>
      </c>
      <c r="U22" s="117">
        <v>0</v>
      </c>
      <c r="V22" s="129">
        <v>-1.91</v>
      </c>
    </row>
    <row r="23" ht="15.75" spans="1:22">
      <c r="A23" s="126"/>
      <c r="B23" s="90"/>
      <c r="C23" s="127"/>
      <c r="D23" s="127"/>
      <c r="E23" s="127"/>
      <c r="F23" s="127"/>
      <c r="G23" s="110"/>
      <c r="H23" s="110"/>
      <c r="I23" s="133"/>
      <c r="J23" s="110"/>
      <c r="K23" s="110"/>
      <c r="L23" s="133"/>
      <c r="N23" s="97"/>
      <c r="O23" s="97"/>
      <c r="P23" s="98"/>
      <c r="Q23" s="98"/>
      <c r="R23" s="98"/>
      <c r="S23" s="98"/>
      <c r="T23" s="98"/>
      <c r="U23" s="117"/>
      <c r="V23" s="110"/>
    </row>
    <row r="24" ht="15.75" spans="1:22">
      <c r="A24" s="126"/>
      <c r="B24" s="90"/>
      <c r="C24" s="127"/>
      <c r="D24" s="127"/>
      <c r="E24" s="127"/>
      <c r="F24" s="127"/>
      <c r="G24" s="110"/>
      <c r="H24" s="110"/>
      <c r="I24" s="133"/>
      <c r="J24" s="110"/>
      <c r="K24" s="110"/>
      <c r="L24" s="133"/>
      <c r="N24" s="97"/>
      <c r="O24" s="97"/>
      <c r="P24" s="98"/>
      <c r="Q24" s="98"/>
      <c r="R24" s="98"/>
      <c r="S24" s="98"/>
      <c r="T24" s="98"/>
      <c r="U24" s="117"/>
      <c r="V24" s="110"/>
    </row>
    <row r="25" ht="15.75" spans="1:20">
      <c r="A25" s="126"/>
      <c r="B25" s="90"/>
      <c r="C25" s="127"/>
      <c r="D25" s="127"/>
      <c r="E25" s="127"/>
      <c r="F25" s="127"/>
      <c r="G25" s="110"/>
      <c r="H25" s="110"/>
      <c r="I25" s="133"/>
      <c r="J25" s="126"/>
      <c r="K25" s="133"/>
      <c r="L25" s="136"/>
      <c r="P25" s="137"/>
      <c r="Q25" s="137"/>
      <c r="R25" s="137"/>
      <c r="S25" s="137"/>
      <c r="T25" s="137"/>
    </row>
    <row r="26" ht="16.5" spans="1:20">
      <c r="A26" s="126"/>
      <c r="B26" s="90"/>
      <c r="C26" s="127"/>
      <c r="D26" s="127"/>
      <c r="E26" s="127"/>
      <c r="F26" s="127"/>
      <c r="G26" s="110"/>
      <c r="H26" s="110"/>
      <c r="I26" s="133"/>
      <c r="J26" s="126"/>
      <c r="K26" s="133"/>
      <c r="L26" s="136"/>
      <c r="P26" s="137"/>
      <c r="Q26" s="137"/>
      <c r="R26" s="137"/>
      <c r="S26" s="137"/>
      <c r="T26" s="137"/>
    </row>
    <row r="27" ht="15.75" spans="1:20">
      <c r="A27" s="126"/>
      <c r="B27" s="90"/>
      <c r="C27" s="127"/>
      <c r="D27" s="127"/>
      <c r="E27" s="127"/>
      <c r="F27" s="127"/>
      <c r="G27" s="128"/>
      <c r="H27" s="110"/>
      <c r="I27" s="138"/>
      <c r="J27" s="139"/>
      <c r="K27" s="138"/>
      <c r="L27" s="140"/>
      <c r="P27" s="137"/>
      <c r="Q27" s="137"/>
      <c r="R27" s="137"/>
      <c r="S27" s="137"/>
      <c r="T27" s="137"/>
    </row>
    <row r="28" ht="15.75" spans="1:20">
      <c r="A28" s="126"/>
      <c r="B28" s="90"/>
      <c r="C28" s="127"/>
      <c r="D28" s="127"/>
      <c r="E28" s="127"/>
      <c r="F28" s="127"/>
      <c r="G28" s="110"/>
      <c r="H28" s="110"/>
      <c r="I28" s="133"/>
      <c r="J28" s="126"/>
      <c r="K28" s="133"/>
      <c r="L28" s="136"/>
      <c r="P28" s="137"/>
      <c r="Q28" s="148"/>
      <c r="R28" s="137"/>
      <c r="S28" s="137"/>
      <c r="T28" s="137"/>
    </row>
    <row r="29" ht="15.75" spans="1:12">
      <c r="A29" s="126"/>
      <c r="B29" s="90"/>
      <c r="C29" s="127"/>
      <c r="D29" s="127"/>
      <c r="E29" s="127"/>
      <c r="F29" s="127"/>
      <c r="G29" s="110"/>
      <c r="H29" s="110"/>
      <c r="I29" s="141"/>
      <c r="J29" s="142"/>
      <c r="K29" s="141"/>
      <c r="L29" s="143"/>
    </row>
    <row r="30" ht="15.75" spans="1:12">
      <c r="A30" s="126"/>
      <c r="B30" s="90"/>
      <c r="C30" s="127"/>
      <c r="D30" s="127"/>
      <c r="E30" s="127"/>
      <c r="F30" s="127"/>
      <c r="G30" s="129"/>
      <c r="H30" s="110"/>
      <c r="I30" s="133"/>
      <c r="J30" s="126"/>
      <c r="K30" s="133"/>
      <c r="L30" s="136"/>
    </row>
    <row r="31" ht="15.75" spans="1:12">
      <c r="A31" s="126"/>
      <c r="B31" s="90"/>
      <c r="C31" s="127"/>
      <c r="D31" s="127"/>
      <c r="E31" s="127"/>
      <c r="F31" s="127"/>
      <c r="G31" s="110"/>
      <c r="H31" s="110"/>
      <c r="I31" s="133"/>
      <c r="J31" s="126"/>
      <c r="K31" s="133"/>
      <c r="L31" s="136"/>
    </row>
    <row r="32" ht="15.75" spans="1:12">
      <c r="A32" s="126"/>
      <c r="B32" s="90"/>
      <c r="C32" s="127"/>
      <c r="D32" s="127"/>
      <c r="E32" s="127"/>
      <c r="F32" s="127"/>
      <c r="G32" s="110"/>
      <c r="H32" s="110"/>
      <c r="I32" s="133"/>
      <c r="J32" s="126"/>
      <c r="K32" s="133"/>
      <c r="L32" s="136"/>
    </row>
    <row r="33" ht="15.75" spans="1:12">
      <c r="A33" s="126"/>
      <c r="B33" s="90"/>
      <c r="C33" s="127"/>
      <c r="D33" s="127"/>
      <c r="E33" s="127"/>
      <c r="F33" s="127"/>
      <c r="G33" s="110"/>
      <c r="H33" s="110"/>
      <c r="I33" s="144"/>
      <c r="J33" s="145"/>
      <c r="K33" s="144"/>
      <c r="L33" s="146"/>
    </row>
    <row r="34" ht="15.75" spans="1:12">
      <c r="A34" s="126"/>
      <c r="B34" s="90"/>
      <c r="C34" s="127"/>
      <c r="D34" s="127"/>
      <c r="E34" s="127"/>
      <c r="F34" s="127"/>
      <c r="G34" s="110"/>
      <c r="H34" s="110"/>
      <c r="I34" s="133"/>
      <c r="J34" s="126"/>
      <c r="K34" s="133"/>
      <c r="L34" s="136"/>
    </row>
    <row r="35" ht="15.75" spans="1:12">
      <c r="A35" s="126"/>
      <c r="B35" s="90"/>
      <c r="C35" s="127"/>
      <c r="D35" s="127"/>
      <c r="E35" s="127"/>
      <c r="F35" s="127"/>
      <c r="G35" s="110"/>
      <c r="H35" s="110"/>
      <c r="I35" s="141"/>
      <c r="J35" s="142"/>
      <c r="K35" s="141"/>
      <c r="L35" s="143"/>
    </row>
    <row r="36" ht="15.75" spans="1:12">
      <c r="A36" s="126"/>
      <c r="B36" s="90"/>
      <c r="C36" s="127"/>
      <c r="D36" s="127"/>
      <c r="E36" s="127"/>
      <c r="F36" s="127"/>
      <c r="G36" s="110"/>
      <c r="H36" s="110"/>
      <c r="I36" s="133"/>
      <c r="J36" s="126"/>
      <c r="K36" s="133"/>
      <c r="L36" s="136"/>
    </row>
    <row r="37" ht="15.75" spans="1:12">
      <c r="A37" s="126"/>
      <c r="B37" s="130"/>
      <c r="C37" s="127"/>
      <c r="D37" s="127"/>
      <c r="E37" s="127"/>
      <c r="F37" s="127"/>
      <c r="G37" s="110"/>
      <c r="H37" s="110"/>
      <c r="I37" s="133"/>
      <c r="J37" s="126"/>
      <c r="K37" s="133"/>
      <c r="L37" s="136"/>
    </row>
    <row r="38" ht="15.75" spans="1:12">
      <c r="A38" s="126"/>
      <c r="B38" s="130"/>
      <c r="C38" s="127"/>
      <c r="D38" s="127"/>
      <c r="E38" s="127"/>
      <c r="F38" s="127"/>
      <c r="G38" s="110"/>
      <c r="H38" s="110"/>
      <c r="I38" s="133"/>
      <c r="J38" s="126"/>
      <c r="K38" s="133"/>
      <c r="L38" s="136"/>
    </row>
    <row r="39" ht="15.75" spans="1:12">
      <c r="A39" s="126"/>
      <c r="B39" s="130"/>
      <c r="C39" s="127"/>
      <c r="D39" s="127"/>
      <c r="E39" s="127"/>
      <c r="F39" s="127"/>
      <c r="G39" s="110"/>
      <c r="H39" s="110"/>
      <c r="I39" s="144"/>
      <c r="J39" s="145"/>
      <c r="K39" s="144"/>
      <c r="L39" s="146"/>
    </row>
    <row r="40" ht="15.75" spans="1:12">
      <c r="A40" s="126"/>
      <c r="B40" s="130"/>
      <c r="C40" s="127"/>
      <c r="D40" s="127"/>
      <c r="E40" s="127"/>
      <c r="F40" s="127"/>
      <c r="G40" s="110"/>
      <c r="H40" s="110"/>
      <c r="I40" s="133"/>
      <c r="J40" s="126"/>
      <c r="K40" s="133"/>
      <c r="L40" s="136"/>
    </row>
    <row r="41" ht="15.75" spans="1:6">
      <c r="A41" s="89"/>
      <c r="B41" s="130"/>
      <c r="C41" s="127"/>
      <c r="D41" s="127"/>
      <c r="E41" s="127"/>
      <c r="F41" s="127"/>
    </row>
    <row r="42" ht="15.75" spans="1:6">
      <c r="A42" s="89"/>
      <c r="B42" s="130"/>
      <c r="C42" s="127"/>
      <c r="D42" s="127"/>
      <c r="E42" s="127"/>
      <c r="F42" s="127"/>
    </row>
    <row r="43" ht="15.75" spans="1:6">
      <c r="A43" s="89"/>
      <c r="B43" s="130"/>
      <c r="C43" s="127"/>
      <c r="D43" s="127"/>
      <c r="E43" s="127"/>
      <c r="F43" s="131"/>
    </row>
    <row r="44" ht="15.75" spans="1:6">
      <c r="A44" s="89"/>
      <c r="B44" s="130"/>
      <c r="C44" s="127"/>
      <c r="D44" s="127"/>
      <c r="E44" s="127"/>
      <c r="F44" s="127"/>
    </row>
    <row r="45" ht="15.75" spans="1:6">
      <c r="A45" s="89"/>
      <c r="B45" s="130"/>
      <c r="C45" s="127"/>
      <c r="D45" s="127"/>
      <c r="E45" s="127"/>
      <c r="F45" s="127"/>
    </row>
    <row r="46" ht="15.75" spans="1:6">
      <c r="A46" s="89"/>
      <c r="B46" s="130"/>
      <c r="C46" s="127"/>
      <c r="D46" s="127"/>
      <c r="E46" s="127"/>
      <c r="F46" s="127"/>
    </row>
    <row r="47" ht="15.75" spans="1:6">
      <c r="A47" s="89"/>
      <c r="B47" s="130"/>
      <c r="C47" s="127"/>
      <c r="D47" s="127"/>
      <c r="E47" s="127"/>
      <c r="F47" s="127"/>
    </row>
    <row r="48" ht="15.75" spans="1:6">
      <c r="A48" s="89"/>
      <c r="B48" s="130"/>
      <c r="C48" s="127"/>
      <c r="D48" s="127"/>
      <c r="E48" s="127"/>
      <c r="F48" s="131"/>
    </row>
    <row r="49" ht="15.75" spans="1:6">
      <c r="A49" s="89"/>
      <c r="B49" s="130"/>
      <c r="C49" s="127"/>
      <c r="D49" s="127"/>
      <c r="E49" s="127"/>
      <c r="F49" s="127"/>
    </row>
    <row r="50" ht="15.75" spans="1:6">
      <c r="A50" s="89"/>
      <c r="B50" s="130"/>
      <c r="C50" s="127"/>
      <c r="D50" s="127"/>
      <c r="E50" s="127"/>
      <c r="F50" s="127"/>
    </row>
    <row r="51" ht="15.75" spans="1:6">
      <c r="A51" s="89"/>
      <c r="B51" s="130"/>
      <c r="C51" s="127"/>
      <c r="D51" s="127"/>
      <c r="E51" s="127"/>
      <c r="F51" s="127"/>
    </row>
    <row r="52" ht="15.75" spans="1:6">
      <c r="A52" s="89"/>
      <c r="B52" s="130"/>
      <c r="C52" s="127"/>
      <c r="D52" s="127"/>
      <c r="E52" s="127"/>
      <c r="F52" s="127"/>
    </row>
    <row r="53" ht="15.75" spans="1:6">
      <c r="A53" s="89"/>
      <c r="B53" s="130"/>
      <c r="C53" s="127"/>
      <c r="D53" s="127"/>
      <c r="E53" s="127"/>
      <c r="F53" s="127"/>
    </row>
    <row r="54" ht="15.75" spans="1:6">
      <c r="A54" s="89"/>
      <c r="B54" s="130"/>
      <c r="C54" s="127"/>
      <c r="D54" s="127"/>
      <c r="E54" s="127"/>
      <c r="F54" s="127"/>
    </row>
    <row r="55" ht="15.75" spans="1:6">
      <c r="A55" s="89"/>
      <c r="B55" s="130"/>
      <c r="C55" s="127"/>
      <c r="D55" s="127"/>
      <c r="E55" s="127"/>
      <c r="F55" s="127"/>
    </row>
    <row r="56" ht="15.75" spans="1:6">
      <c r="A56" s="89"/>
      <c r="B56" s="130"/>
      <c r="C56" s="127"/>
      <c r="D56" s="127"/>
      <c r="E56" s="127"/>
      <c r="F56" s="127"/>
    </row>
    <row r="57" ht="15.75" spans="1:6">
      <c r="A57" s="89"/>
      <c r="B57" s="130"/>
      <c r="C57" s="127"/>
      <c r="D57" s="127"/>
      <c r="E57" s="127"/>
      <c r="F57" s="127"/>
    </row>
    <row r="58" ht="15.75" spans="1:6">
      <c r="A58" s="89"/>
      <c r="B58" s="130"/>
      <c r="C58" s="127"/>
      <c r="D58" s="127"/>
      <c r="E58" s="127"/>
      <c r="F58" s="127"/>
    </row>
    <row r="59" ht="15.75" spans="1:6">
      <c r="A59" s="89"/>
      <c r="B59" s="130"/>
      <c r="C59" s="127"/>
      <c r="D59" s="127"/>
      <c r="E59" s="127"/>
      <c r="F59" s="127"/>
    </row>
    <row r="60" ht="15.75" spans="1:6">
      <c r="A60" s="89"/>
      <c r="B60" s="130"/>
      <c r="C60" s="127"/>
      <c r="D60" s="127"/>
      <c r="E60" s="127"/>
      <c r="F60" s="127"/>
    </row>
    <row r="61" ht="15.75" spans="1:6">
      <c r="A61" s="89"/>
      <c r="B61" s="130"/>
      <c r="C61" s="127"/>
      <c r="D61" s="127"/>
      <c r="E61" s="127"/>
      <c r="F61" s="127"/>
    </row>
    <row r="62" ht="15.75" spans="1:6">
      <c r="A62" s="89"/>
      <c r="B62" s="130"/>
      <c r="C62" s="127"/>
      <c r="D62" s="127"/>
      <c r="E62" s="127"/>
      <c r="F62" s="127"/>
    </row>
    <row r="63" ht="15.75" spans="1:6">
      <c r="A63" s="89"/>
      <c r="B63" s="130"/>
      <c r="C63" s="127"/>
      <c r="D63" s="127"/>
      <c r="E63" s="127"/>
      <c r="F63" s="127"/>
    </row>
    <row r="64" ht="15.75" spans="1:6">
      <c r="A64" s="89"/>
      <c r="B64" s="130"/>
      <c r="C64" s="127"/>
      <c r="D64" s="127"/>
      <c r="E64" s="127"/>
      <c r="F64" s="127"/>
    </row>
    <row r="65" ht="15.75" spans="1:6">
      <c r="A65" s="89"/>
      <c r="B65" s="130"/>
      <c r="C65" s="127"/>
      <c r="D65" s="127"/>
      <c r="E65" s="127"/>
      <c r="F65" s="131"/>
    </row>
    <row r="66" ht="15.75" spans="1:6">
      <c r="A66" s="89"/>
      <c r="B66" s="130"/>
      <c r="C66" s="127"/>
      <c r="D66" s="127"/>
      <c r="E66" s="127"/>
      <c r="F66" s="127"/>
    </row>
    <row r="67" ht="15.75" spans="1:6">
      <c r="A67" s="89"/>
      <c r="B67" s="130"/>
      <c r="C67" s="127"/>
      <c r="D67" s="127"/>
      <c r="E67" s="127"/>
      <c r="F67" s="127"/>
    </row>
    <row r="68" ht="15.75" spans="1:6">
      <c r="A68" s="89"/>
      <c r="B68" s="130"/>
      <c r="C68" s="127"/>
      <c r="D68" s="127"/>
      <c r="E68" s="127"/>
      <c r="F68" s="127"/>
    </row>
    <row r="69" ht="15.75" spans="1:6">
      <c r="A69" s="89"/>
      <c r="B69" s="130"/>
      <c r="C69" s="127"/>
      <c r="D69" s="127"/>
      <c r="E69" s="127"/>
      <c r="F69" s="127"/>
    </row>
    <row r="70" ht="15.75" spans="1:6">
      <c r="A70" s="89"/>
      <c r="B70" s="130"/>
      <c r="C70" s="127"/>
      <c r="D70" s="127"/>
      <c r="E70" s="127"/>
      <c r="F70" s="131"/>
    </row>
    <row r="71" ht="15.75" spans="1:6">
      <c r="A71" s="89"/>
      <c r="B71" s="130"/>
      <c r="C71" s="127"/>
      <c r="D71" s="127"/>
      <c r="E71" s="127"/>
      <c r="F71" s="127"/>
    </row>
    <row r="72" ht="15.75" spans="1:6">
      <c r="A72" s="89"/>
      <c r="B72" s="130"/>
      <c r="C72" s="127"/>
      <c r="D72" s="127"/>
      <c r="E72" s="127"/>
      <c r="F72" s="127"/>
    </row>
    <row r="73" ht="15.75" spans="1:6">
      <c r="A73" s="89"/>
      <c r="B73" s="130"/>
      <c r="C73" s="127"/>
      <c r="D73" s="127"/>
      <c r="E73" s="127"/>
      <c r="F73" s="131"/>
    </row>
  </sheetData>
  <mergeCells count="15">
    <mergeCell ref="N10:U10"/>
    <mergeCell ref="P11:R11"/>
    <mergeCell ref="A11:A12"/>
    <mergeCell ref="B11:B12"/>
    <mergeCell ref="C11:C12"/>
    <mergeCell ref="D11:D12"/>
    <mergeCell ref="E11:E12"/>
    <mergeCell ref="F11:F12"/>
    <mergeCell ref="M11:M12"/>
    <mergeCell ref="N11:N12"/>
    <mergeCell ref="O11:O12"/>
    <mergeCell ref="S11:S12"/>
    <mergeCell ref="T11:T12"/>
    <mergeCell ref="U11:U12"/>
    <mergeCell ref="V11:V12"/>
  </mergeCells>
  <pageMargins left="0.699305555555556" right="0.699305555555556" top="0.75" bottom="0.75" header="0.3" footer="0.3"/>
  <pageSetup paperSize="9" orientation="portrait"/>
  <headerFooter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name="Button 1" r:id="rId3">
              <controlPr defaultSize="0">
                <anchor moveWithCells="1">
                  <from>
                    <xdr:col>7</xdr:col>
                    <xdr:colOff>638175</xdr:colOff>
                    <xdr:row>7</xdr:row>
                    <xdr:rowOff>47625</xdr:rowOff>
                  </from>
                  <to>
                    <xdr:col>9</xdr:col>
                    <xdr:colOff>247650</xdr:colOff>
                    <xdr:row>8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6" name="Button 2" r:id="rId4">
              <controlPr defaultSize="0">
                <anchor moveWithCells="1">
                  <from>
                    <xdr:col>9</xdr:col>
                    <xdr:colOff>657225</xdr:colOff>
                    <xdr:row>4</xdr:row>
                    <xdr:rowOff>147955</xdr:rowOff>
                  </from>
                  <to>
                    <xdr:col>11</xdr:col>
                    <xdr:colOff>247650</xdr:colOff>
                    <xdr:row>6</xdr:row>
                    <xdr:rowOff>81280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7" name="Button 3" r:id="rId5">
              <controlPr defaultSize="0">
                <anchor moveWithCells="1" sizeWithCells="1">
                  <from>
                    <xdr:col>9</xdr:col>
                    <xdr:colOff>666750</xdr:colOff>
                    <xdr:row>7</xdr:row>
                    <xdr:rowOff>57150</xdr:rowOff>
                  </from>
                  <to>
                    <xdr:col>11</xdr:col>
                    <xdr:colOff>266700</xdr:colOff>
                    <xdr:row>8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8" name="Button 4" r:id="rId6">
              <controlPr defaultSize="0">
                <anchor moveWithCells="1">
                  <from>
                    <xdr:col>7</xdr:col>
                    <xdr:colOff>638175</xdr:colOff>
                    <xdr:row>9</xdr:row>
                    <xdr:rowOff>177165</xdr:rowOff>
                  </from>
                  <to>
                    <xdr:col>9</xdr:col>
                    <xdr:colOff>647700</xdr:colOff>
                    <xdr:row>11</xdr:row>
                    <xdr:rowOff>120650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9" name="Button 5" r:id="rId7">
              <controlPr defaultSize="0">
                <anchor moveWithCells="1" sizeWithCells="1">
                  <from>
                    <xdr:col>7</xdr:col>
                    <xdr:colOff>619125</xdr:colOff>
                    <xdr:row>4</xdr:row>
                    <xdr:rowOff>157480</xdr:rowOff>
                  </from>
                  <to>
                    <xdr:col>9</xdr:col>
                    <xdr:colOff>400050</xdr:colOff>
                    <xdr:row>6</xdr:row>
                    <xdr:rowOff>81280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0" name="Group Box 6" r:id="rId8">
              <controlPr defaultSize="0">
                <anchor moveWithCells="1">
                  <from>
                    <xdr:col>7</xdr:col>
                    <xdr:colOff>428625</xdr:colOff>
                    <xdr:row>3</xdr:row>
                    <xdr:rowOff>142240</xdr:rowOff>
                  </from>
                  <to>
                    <xdr:col>11</xdr:col>
                    <xdr:colOff>533400</xdr:colOff>
                    <xdr:row>15</xdr:row>
                    <xdr:rowOff>18415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>
  <sheetPr codeName="Sheet2"/>
  <dimension ref="A1:AL76"/>
  <sheetViews>
    <sheetView tabSelected="1" workbookViewId="0">
      <selection activeCell="A15" sqref="A15:K24"/>
    </sheetView>
  </sheetViews>
  <sheetFormatPr defaultColWidth="9" defaultRowHeight="14.25"/>
  <cols>
    <col min="1" max="1" width="13.25" customWidth="1"/>
    <col min="2" max="2" width="9.125" customWidth="1"/>
    <col min="5" max="5" width="12" customWidth="1"/>
    <col min="10" max="10" width="11.125"/>
  </cols>
  <sheetData>
    <row r="1" spans="1:2">
      <c r="A1" s="1" t="s">
        <v>106</v>
      </c>
      <c r="B1">
        <v>5</v>
      </c>
    </row>
    <row r="2" spans="1:19">
      <c r="A2" s="1" t="s">
        <v>64</v>
      </c>
      <c r="B2">
        <v>2</v>
      </c>
      <c r="C2" s="1" t="s">
        <v>65</v>
      </c>
      <c r="D2">
        <v>2</v>
      </c>
      <c r="E2" s="1" t="s">
        <v>66</v>
      </c>
      <c r="F2">
        <v>2</v>
      </c>
      <c r="G2" s="1" t="s">
        <v>67</v>
      </c>
      <c r="H2">
        <v>2</v>
      </c>
      <c r="I2" s="1" t="s">
        <v>68</v>
      </c>
      <c r="J2">
        <v>2</v>
      </c>
      <c r="K2" s="1" t="s">
        <v>69</v>
      </c>
      <c r="M2" s="1" t="s">
        <v>70</v>
      </c>
      <c r="O2" s="1" t="s">
        <v>71</v>
      </c>
      <c r="Q2" s="1" t="s">
        <v>72</v>
      </c>
      <c r="S2" s="1" t="s">
        <v>73</v>
      </c>
    </row>
    <row r="3" spans="1:38">
      <c r="A3" t="s">
        <v>75</v>
      </c>
      <c r="B3">
        <v>1</v>
      </c>
      <c r="C3" t="s">
        <v>75</v>
      </c>
      <c r="D3">
        <v>2</v>
      </c>
      <c r="E3" t="s">
        <v>75</v>
      </c>
      <c r="F3">
        <v>1</v>
      </c>
      <c r="G3" t="s">
        <v>75</v>
      </c>
      <c r="H3">
        <v>2</v>
      </c>
      <c r="I3" t="s">
        <v>75</v>
      </c>
      <c r="J3">
        <v>2</v>
      </c>
      <c r="K3" t="s">
        <v>75</v>
      </c>
      <c r="M3" t="s">
        <v>75</v>
      </c>
      <c r="O3" t="s">
        <v>75</v>
      </c>
      <c r="Q3" t="s">
        <v>75</v>
      </c>
      <c r="S3" t="s">
        <v>75</v>
      </c>
      <c r="AH3" s="77"/>
      <c r="AI3" s="77"/>
      <c r="AJ3" s="77" t="s">
        <v>107</v>
      </c>
      <c r="AK3" s="77"/>
      <c r="AL3" s="77"/>
    </row>
    <row r="4" spans="1:38">
      <c r="A4" s="1" t="s">
        <v>108</v>
      </c>
      <c r="B4" s="86" t="s">
        <v>79</v>
      </c>
      <c r="D4" s="1" t="s">
        <v>109</v>
      </c>
      <c r="F4" s="1" t="s">
        <v>110</v>
      </c>
      <c r="H4" t="s">
        <v>111</v>
      </c>
      <c r="J4" t="s">
        <v>112</v>
      </c>
      <c r="AH4" s="77" t="s">
        <v>113</v>
      </c>
      <c r="AI4" s="77"/>
      <c r="AJ4" s="77"/>
      <c r="AK4" s="77"/>
      <c r="AL4" s="77"/>
    </row>
    <row r="5" spans="1:38">
      <c r="A5" s="1" t="s">
        <v>114</v>
      </c>
      <c r="B5">
        <v>148</v>
      </c>
      <c r="D5">
        <v>-49</v>
      </c>
      <c r="F5">
        <v>137</v>
      </c>
      <c r="H5" s="1">
        <v>-44</v>
      </c>
      <c r="J5">
        <v>68</v>
      </c>
      <c r="AH5" t="s">
        <v>115</v>
      </c>
      <c r="AL5" s="124"/>
    </row>
    <row r="6" spans="1:23">
      <c r="A6" t="s">
        <v>81</v>
      </c>
      <c r="B6">
        <v>0.77</v>
      </c>
      <c r="D6">
        <v>0.49</v>
      </c>
      <c r="F6">
        <v>0.83</v>
      </c>
      <c r="H6">
        <v>0.44</v>
      </c>
      <c r="J6" s="39">
        <v>-12.7</v>
      </c>
      <c r="S6" s="39"/>
      <c r="W6" s="39"/>
    </row>
    <row r="7" spans="1:23">
      <c r="A7" t="s">
        <v>82</v>
      </c>
      <c r="B7" s="2">
        <v>0.78</v>
      </c>
      <c r="D7" s="2">
        <v>0.55</v>
      </c>
      <c r="F7">
        <v>0.86</v>
      </c>
      <c r="H7">
        <v>0.89</v>
      </c>
      <c r="J7" s="39">
        <v>6.8</v>
      </c>
      <c r="S7" s="39"/>
      <c r="W7" s="39"/>
    </row>
    <row r="8" spans="1:10">
      <c r="A8" s="1" t="s">
        <v>116</v>
      </c>
      <c r="B8" s="2">
        <v>0.0327</v>
      </c>
      <c r="D8" s="2">
        <v>0</v>
      </c>
      <c r="F8" s="2">
        <v>0.0144</v>
      </c>
      <c r="H8" s="2">
        <v>0</v>
      </c>
      <c r="J8" s="2">
        <v>0</v>
      </c>
    </row>
    <row r="9" spans="1:17">
      <c r="A9" s="1" t="s">
        <v>117</v>
      </c>
      <c r="B9" s="2">
        <v>0.0329</v>
      </c>
      <c r="D9" s="2">
        <v>0</v>
      </c>
      <c r="F9" s="2">
        <v>0.0362</v>
      </c>
      <c r="H9" s="2">
        <v>0.0111</v>
      </c>
      <c r="J9" s="2">
        <v>0</v>
      </c>
      <c r="Q9" s="39" t="s">
        <v>118</v>
      </c>
    </row>
    <row r="10" spans="2:17">
      <c r="B10" s="2"/>
      <c r="D10" s="2"/>
      <c r="Q10" s="39" t="s">
        <v>119</v>
      </c>
    </row>
    <row r="11" spans="1:32">
      <c r="A11" s="33" t="s">
        <v>120</v>
      </c>
      <c r="B11" s="33"/>
      <c r="C11" s="33"/>
      <c r="D11" s="33"/>
      <c r="E11" s="33"/>
      <c r="F11" s="33"/>
      <c r="G11" s="33"/>
      <c r="H11" s="33"/>
      <c r="I11" s="93" t="s">
        <v>121</v>
      </c>
      <c r="J11" s="77"/>
      <c r="K11" s="77"/>
      <c r="L11" s="94"/>
      <c r="M11" s="94"/>
      <c r="N11" s="40" t="s">
        <v>122</v>
      </c>
      <c r="O11" s="94"/>
      <c r="P11" s="94"/>
      <c r="Q11" s="94"/>
      <c r="R11" s="94"/>
      <c r="S11" s="94"/>
      <c r="T11" s="108"/>
      <c r="U11" s="108"/>
      <c r="Y11" s="40" t="s">
        <v>85</v>
      </c>
      <c r="Z11" s="40"/>
      <c r="AA11" s="40"/>
      <c r="AB11" s="40"/>
      <c r="AC11" s="40"/>
      <c r="AD11" s="40"/>
      <c r="AE11" s="40"/>
      <c r="AF11" s="40"/>
    </row>
    <row r="12" spans="1:32">
      <c r="A12" s="34"/>
      <c r="B12" s="34"/>
      <c r="C12" s="34"/>
      <c r="D12" s="34"/>
      <c r="E12" s="34"/>
      <c r="F12" s="34"/>
      <c r="G12" s="34"/>
      <c r="H12" s="34"/>
      <c r="I12" s="34"/>
      <c r="J12" s="77"/>
      <c r="K12" s="77"/>
      <c r="L12" s="95"/>
      <c r="M12" s="95"/>
      <c r="N12" s="95"/>
      <c r="O12" s="95"/>
      <c r="P12" s="95"/>
      <c r="Q12" s="95"/>
      <c r="R12" s="95"/>
      <c r="S12" s="95"/>
      <c r="T12" s="109"/>
      <c r="U12" s="109"/>
      <c r="Y12" s="34"/>
      <c r="Z12" s="34"/>
      <c r="AA12" s="34"/>
      <c r="AB12" s="34"/>
      <c r="AC12" s="34"/>
      <c r="AD12" s="34"/>
      <c r="AE12" s="34"/>
      <c r="AF12" s="34"/>
    </row>
    <row r="13" spans="1:32">
      <c r="A13" s="4" t="s">
        <v>86</v>
      </c>
      <c r="B13" s="4" t="s">
        <v>87</v>
      </c>
      <c r="C13" s="4" t="s">
        <v>123</v>
      </c>
      <c r="D13" s="4"/>
      <c r="E13" s="4" t="s">
        <v>124</v>
      </c>
      <c r="F13" s="4"/>
      <c r="G13" s="4" t="s">
        <v>125</v>
      </c>
      <c r="H13" s="4"/>
      <c r="I13" s="4" t="s">
        <v>126</v>
      </c>
      <c r="J13" s="4" t="s">
        <v>127</v>
      </c>
      <c r="K13" s="4" t="s">
        <v>128</v>
      </c>
      <c r="L13" s="4"/>
      <c r="M13" s="4"/>
      <c r="N13" s="41" t="s">
        <v>124</v>
      </c>
      <c r="O13" s="41"/>
      <c r="P13" s="41"/>
      <c r="Q13" s="48" t="s">
        <v>125</v>
      </c>
      <c r="R13" s="49"/>
      <c r="S13" s="50"/>
      <c r="T13" s="41"/>
      <c r="U13" s="41"/>
      <c r="Y13" s="6" t="s">
        <v>129</v>
      </c>
      <c r="Z13" s="6" t="s">
        <v>87</v>
      </c>
      <c r="AA13" s="4" t="s">
        <v>130</v>
      </c>
      <c r="AB13" s="4"/>
      <c r="AC13" s="4"/>
      <c r="AD13" s="4" t="s">
        <v>127</v>
      </c>
      <c r="AE13" s="4" t="s">
        <v>94</v>
      </c>
      <c r="AF13" s="6" t="s">
        <v>131</v>
      </c>
    </row>
    <row r="14" spans="1:32">
      <c r="A14" s="4"/>
      <c r="B14" s="4"/>
      <c r="C14" s="4" t="s">
        <v>132</v>
      </c>
      <c r="D14" s="4" t="s">
        <v>133</v>
      </c>
      <c r="E14" s="4" t="s">
        <v>132</v>
      </c>
      <c r="F14" s="4" t="s">
        <v>134</v>
      </c>
      <c r="G14" s="4" t="s">
        <v>132</v>
      </c>
      <c r="H14" s="4" t="s">
        <v>134</v>
      </c>
      <c r="I14" s="4"/>
      <c r="J14" s="4"/>
      <c r="K14" s="4"/>
      <c r="L14" s="4"/>
      <c r="M14" s="4"/>
      <c r="N14" s="41" t="s">
        <v>135</v>
      </c>
      <c r="O14" s="41" t="s">
        <v>136</v>
      </c>
      <c r="P14" s="41" t="s">
        <v>29</v>
      </c>
      <c r="Q14" s="41" t="s">
        <v>135</v>
      </c>
      <c r="R14" s="41" t="s">
        <v>136</v>
      </c>
      <c r="S14" s="41" t="s">
        <v>137</v>
      </c>
      <c r="T14" s="4"/>
      <c r="U14" s="4"/>
      <c r="Y14" s="58"/>
      <c r="Z14" s="58"/>
      <c r="AA14" s="4" t="s">
        <v>138</v>
      </c>
      <c r="AB14" s="4" t="s">
        <v>139</v>
      </c>
      <c r="AC14" s="4" t="s">
        <v>137</v>
      </c>
      <c r="AD14" s="4"/>
      <c r="AE14" s="4"/>
      <c r="AF14" s="58"/>
    </row>
    <row r="15" ht="15.75" spans="1:32">
      <c r="A15" s="77" t="s">
        <v>100</v>
      </c>
      <c r="B15" s="87" t="s">
        <v>101</v>
      </c>
      <c r="C15" s="88">
        <v>570.5</v>
      </c>
      <c r="D15" s="88">
        <v>29.5</v>
      </c>
      <c r="E15" s="88">
        <v>610.8</v>
      </c>
      <c r="F15" s="88">
        <v>29.5</v>
      </c>
      <c r="G15" s="88">
        <v>571.9</v>
      </c>
      <c r="H15" s="88">
        <v>29.5</v>
      </c>
      <c r="I15" s="88">
        <v>39.4</v>
      </c>
      <c r="J15" s="96">
        <v>190</v>
      </c>
      <c r="K15" s="88"/>
      <c r="L15" s="97"/>
      <c r="M15" s="97"/>
      <c r="N15" s="88">
        <v>40.3</v>
      </c>
      <c r="O15" s="88">
        <v>0</v>
      </c>
      <c r="P15" s="98">
        <v>152.09503309</v>
      </c>
      <c r="Q15" s="88">
        <v>1.39999999999998</v>
      </c>
      <c r="R15" s="88">
        <v>0</v>
      </c>
      <c r="S15" s="98">
        <v>5.28369841999992</v>
      </c>
      <c r="T15" s="110"/>
      <c r="U15" s="97"/>
      <c r="Y15" s="97" t="s">
        <v>100</v>
      </c>
      <c r="Z15" s="97" t="s">
        <v>101</v>
      </c>
      <c r="AA15" s="116">
        <v>152</v>
      </c>
      <c r="AB15" s="116">
        <v>147</v>
      </c>
      <c r="AC15" s="116">
        <v>5</v>
      </c>
      <c r="AD15" s="116">
        <v>190</v>
      </c>
      <c r="AE15" s="98">
        <v>0.773684210526316</v>
      </c>
      <c r="AF15" s="117">
        <v>0.0328947368421053</v>
      </c>
    </row>
    <row r="16" ht="15.75" spans="1:32">
      <c r="A16" s="77" t="s">
        <v>100</v>
      </c>
      <c r="B16" s="87" t="s">
        <v>102</v>
      </c>
      <c r="C16" s="88">
        <v>612.8</v>
      </c>
      <c r="D16" s="88">
        <v>29.5</v>
      </c>
      <c r="E16" s="88">
        <v>653.3</v>
      </c>
      <c r="F16" s="88">
        <v>29.5</v>
      </c>
      <c r="G16" s="88">
        <v>614.3</v>
      </c>
      <c r="H16" s="88">
        <v>29.3</v>
      </c>
      <c r="I16" s="88">
        <v>39.4</v>
      </c>
      <c r="J16" s="96">
        <v>190</v>
      </c>
      <c r="K16" s="88"/>
      <c r="L16" s="97"/>
      <c r="M16" s="97"/>
      <c r="N16" s="88">
        <v>40.5</v>
      </c>
      <c r="O16" s="88">
        <v>0</v>
      </c>
      <c r="P16" s="98">
        <v>152.84984715</v>
      </c>
      <c r="Q16" s="88">
        <v>1.5</v>
      </c>
      <c r="R16" s="88">
        <v>-0.199999999999999</v>
      </c>
      <c r="S16" s="98">
        <v>5.30110545</v>
      </c>
      <c r="T16" s="111"/>
      <c r="U16" s="97"/>
      <c r="Y16" s="97" t="s">
        <v>100</v>
      </c>
      <c r="Z16" s="97" t="s">
        <v>102</v>
      </c>
      <c r="AA16" s="116">
        <v>153</v>
      </c>
      <c r="AB16" s="116">
        <v>148</v>
      </c>
      <c r="AC16" s="116">
        <v>5</v>
      </c>
      <c r="AD16" s="116">
        <v>190</v>
      </c>
      <c r="AE16" s="98">
        <v>0.778947368421053</v>
      </c>
      <c r="AF16" s="117">
        <v>0.0326797385620915</v>
      </c>
    </row>
    <row r="17" ht="15.75" spans="1:32">
      <c r="A17" s="77" t="s">
        <v>103</v>
      </c>
      <c r="B17" s="87" t="s">
        <v>140</v>
      </c>
      <c r="C17" s="88">
        <v>606.5</v>
      </c>
      <c r="D17" s="88">
        <v>28.5</v>
      </c>
      <c r="E17" s="88">
        <v>593.4</v>
      </c>
      <c r="F17" s="88">
        <v>28.6</v>
      </c>
      <c r="G17" s="88">
        <v>606.5</v>
      </c>
      <c r="H17" s="88">
        <v>28.7</v>
      </c>
      <c r="I17" s="88">
        <v>-21.4</v>
      </c>
      <c r="J17" s="96">
        <v>-100</v>
      </c>
      <c r="K17" s="88"/>
      <c r="L17" s="99"/>
      <c r="M17" s="99"/>
      <c r="N17" s="88">
        <v>-13.1</v>
      </c>
      <c r="O17" s="88">
        <v>0.100000000000001</v>
      </c>
      <c r="P17" s="98">
        <v>-49.2603209300001</v>
      </c>
      <c r="Q17" s="88">
        <v>0</v>
      </c>
      <c r="R17" s="88">
        <v>0.199999999999999</v>
      </c>
      <c r="S17" s="98">
        <v>0</v>
      </c>
      <c r="T17" s="112"/>
      <c r="U17" s="99"/>
      <c r="Y17" s="99" t="s">
        <v>103</v>
      </c>
      <c r="Z17" s="99" t="s">
        <v>140</v>
      </c>
      <c r="AA17" s="116">
        <v>-49</v>
      </c>
      <c r="AB17" s="116">
        <v>-49</v>
      </c>
      <c r="AC17" s="116">
        <v>0</v>
      </c>
      <c r="AD17" s="116">
        <v>-100</v>
      </c>
      <c r="AE17" s="98">
        <v>0.49</v>
      </c>
      <c r="AF17" s="117">
        <v>0</v>
      </c>
    </row>
    <row r="18" ht="15.75" spans="1:32">
      <c r="A18" s="77" t="s">
        <v>103</v>
      </c>
      <c r="B18" s="87" t="s">
        <v>141</v>
      </c>
      <c r="C18" s="88">
        <v>609.4</v>
      </c>
      <c r="D18" s="88">
        <v>29.2</v>
      </c>
      <c r="E18" s="88">
        <v>594.8</v>
      </c>
      <c r="F18" s="88">
        <v>29.3</v>
      </c>
      <c r="G18" s="88">
        <v>609.5</v>
      </c>
      <c r="H18" s="88">
        <v>29.1</v>
      </c>
      <c r="I18" s="88">
        <v>-21.4</v>
      </c>
      <c r="J18" s="96">
        <v>-100</v>
      </c>
      <c r="K18" s="88"/>
      <c r="L18" s="97"/>
      <c r="M18" s="97"/>
      <c r="N18" s="88">
        <v>-14.6</v>
      </c>
      <c r="O18" s="88">
        <v>0.100000000000001</v>
      </c>
      <c r="P18" s="98">
        <v>-54.9214263800001</v>
      </c>
      <c r="Q18" s="88">
        <v>0.100000000000023</v>
      </c>
      <c r="R18" s="88">
        <v>-0.0999999999999979</v>
      </c>
      <c r="S18" s="98">
        <v>0</v>
      </c>
      <c r="T18" s="111"/>
      <c r="U18" s="97"/>
      <c r="Y18" s="97" t="s">
        <v>103</v>
      </c>
      <c r="Z18" s="97" t="s">
        <v>141</v>
      </c>
      <c r="AA18" s="116">
        <v>-55</v>
      </c>
      <c r="AB18" s="116">
        <v>-55</v>
      </c>
      <c r="AC18" s="116">
        <v>0</v>
      </c>
      <c r="AD18" s="116">
        <v>-100</v>
      </c>
      <c r="AE18" s="98">
        <v>0.55</v>
      </c>
      <c r="AF18" s="117">
        <v>0</v>
      </c>
    </row>
    <row r="19" ht="15.75" spans="1:32">
      <c r="A19" s="77" t="s">
        <v>142</v>
      </c>
      <c r="B19" s="87" t="s">
        <v>104</v>
      </c>
      <c r="C19" s="88">
        <v>685.7</v>
      </c>
      <c r="D19" s="88">
        <v>30.2</v>
      </c>
      <c r="E19" s="88">
        <v>722.1</v>
      </c>
      <c r="F19" s="88">
        <v>30.3</v>
      </c>
      <c r="G19" s="88">
        <v>687</v>
      </c>
      <c r="H19" s="88">
        <v>30.2</v>
      </c>
      <c r="I19" s="88">
        <v>32.2</v>
      </c>
      <c r="J19" s="96">
        <v>160</v>
      </c>
      <c r="K19" s="88"/>
      <c r="L19" s="97"/>
      <c r="M19" s="97"/>
      <c r="N19" s="88">
        <v>36.4</v>
      </c>
      <c r="O19" s="88">
        <v>0.100000000000001</v>
      </c>
      <c r="P19" s="98">
        <v>137.55615892</v>
      </c>
      <c r="Q19" s="88">
        <v>1.29999999999995</v>
      </c>
      <c r="R19" s="88">
        <v>0</v>
      </c>
      <c r="S19" s="98">
        <v>4.90629138999983</v>
      </c>
      <c r="T19" s="111"/>
      <c r="U19" s="97"/>
      <c r="Y19" s="97" t="s">
        <v>142</v>
      </c>
      <c r="Z19" s="97" t="s">
        <v>104</v>
      </c>
      <c r="AA19" s="116">
        <v>138</v>
      </c>
      <c r="AB19" s="116">
        <v>133</v>
      </c>
      <c r="AC19" s="116">
        <v>5</v>
      </c>
      <c r="AD19" s="116">
        <v>160</v>
      </c>
      <c r="AE19" s="98">
        <v>0.83125</v>
      </c>
      <c r="AF19" s="117">
        <v>0.036231884057971</v>
      </c>
    </row>
    <row r="20" ht="15.75" spans="1:32">
      <c r="A20" s="77" t="s">
        <v>142</v>
      </c>
      <c r="B20" s="87" t="s">
        <v>105</v>
      </c>
      <c r="C20" s="88">
        <v>615.5</v>
      </c>
      <c r="D20" s="88">
        <v>30</v>
      </c>
      <c r="E20" s="88">
        <v>652.1</v>
      </c>
      <c r="F20" s="88">
        <v>30.3</v>
      </c>
      <c r="G20" s="88">
        <v>616</v>
      </c>
      <c r="H20" s="88">
        <v>30.2</v>
      </c>
      <c r="I20" s="88">
        <v>32.2</v>
      </c>
      <c r="J20" s="96">
        <v>160</v>
      </c>
      <c r="K20" s="88"/>
      <c r="L20" s="99"/>
      <c r="M20" s="99"/>
      <c r="N20" s="88">
        <v>36.6</v>
      </c>
      <c r="O20" s="88">
        <v>0.300000000000001</v>
      </c>
      <c r="P20" s="98">
        <v>138.67097298</v>
      </c>
      <c r="Q20" s="88">
        <v>0.5</v>
      </c>
      <c r="R20" s="88">
        <v>0.199999999999999</v>
      </c>
      <c r="S20" s="98">
        <v>2.24703515</v>
      </c>
      <c r="T20" s="111"/>
      <c r="U20" s="97"/>
      <c r="Y20" s="99" t="s">
        <v>142</v>
      </c>
      <c r="Z20" s="99" t="s">
        <v>105</v>
      </c>
      <c r="AA20" s="116">
        <v>139</v>
      </c>
      <c r="AB20" s="116">
        <v>137</v>
      </c>
      <c r="AC20" s="116">
        <v>2</v>
      </c>
      <c r="AD20" s="116">
        <v>160</v>
      </c>
      <c r="AE20" s="98">
        <v>0.85625</v>
      </c>
      <c r="AF20" s="117">
        <v>0.0143884892086331</v>
      </c>
    </row>
    <row r="21" ht="15.75" spans="1:32">
      <c r="A21" s="77" t="s">
        <v>143</v>
      </c>
      <c r="B21" s="87" t="s">
        <v>144</v>
      </c>
      <c r="C21" s="88">
        <v>572.3</v>
      </c>
      <c r="D21" s="88">
        <v>29.6</v>
      </c>
      <c r="E21" s="88">
        <v>548.2</v>
      </c>
      <c r="F21" s="88">
        <v>30.1</v>
      </c>
      <c r="G21" s="88">
        <v>572</v>
      </c>
      <c r="H21" s="88">
        <v>29.6</v>
      </c>
      <c r="I21" s="88">
        <v>-21.1</v>
      </c>
      <c r="J21" s="96">
        <v>-100</v>
      </c>
      <c r="K21" s="88"/>
      <c r="L21" s="97"/>
      <c r="M21" s="97"/>
      <c r="N21" s="88">
        <v>-24.0999999999999</v>
      </c>
      <c r="O21" s="88">
        <v>0.5</v>
      </c>
      <c r="P21" s="98">
        <v>-90.0550942299997</v>
      </c>
      <c r="Q21" s="88">
        <v>-0.299999999999955</v>
      </c>
      <c r="R21" s="88">
        <v>0</v>
      </c>
      <c r="S21" s="98">
        <v>-1.13222108999983</v>
      </c>
      <c r="T21" s="113"/>
      <c r="U21" s="100"/>
      <c r="Y21" s="97" t="s">
        <v>143</v>
      </c>
      <c r="Z21" s="97" t="s">
        <v>144</v>
      </c>
      <c r="AA21" s="116">
        <v>-90</v>
      </c>
      <c r="AB21" s="116">
        <v>-89</v>
      </c>
      <c r="AC21" s="116">
        <v>-1</v>
      </c>
      <c r="AD21" s="116">
        <v>-100</v>
      </c>
      <c r="AE21" s="98">
        <v>0.89</v>
      </c>
      <c r="AF21" s="117">
        <v>0.0111111111111111</v>
      </c>
    </row>
    <row r="22" ht="15.75" spans="1:32">
      <c r="A22" s="77" t="s">
        <v>143</v>
      </c>
      <c r="B22" s="87" t="s">
        <v>145</v>
      </c>
      <c r="C22" s="88">
        <v>685.4</v>
      </c>
      <c r="D22" s="88">
        <v>29.6</v>
      </c>
      <c r="E22" s="88">
        <v>673.4</v>
      </c>
      <c r="F22" s="88">
        <v>30.1</v>
      </c>
      <c r="G22" s="88">
        <v>686.3</v>
      </c>
      <c r="H22" s="88">
        <v>29.6</v>
      </c>
      <c r="I22" s="88">
        <v>-21.1</v>
      </c>
      <c r="J22" s="96">
        <v>-100</v>
      </c>
      <c r="K22" s="88"/>
      <c r="L22" s="97"/>
      <c r="M22" s="97"/>
      <c r="N22" s="88">
        <v>-12</v>
      </c>
      <c r="O22" s="88">
        <v>0.5</v>
      </c>
      <c r="P22" s="98">
        <v>-44.3888436</v>
      </c>
      <c r="Q22" s="88">
        <v>0.899999999999977</v>
      </c>
      <c r="R22" s="88">
        <v>0</v>
      </c>
      <c r="S22" s="98">
        <v>0</v>
      </c>
      <c r="T22" s="111"/>
      <c r="U22" s="97"/>
      <c r="Y22" s="97" t="s">
        <v>143</v>
      </c>
      <c r="Z22" s="97" t="s">
        <v>145</v>
      </c>
      <c r="AA22" s="116">
        <v>-44</v>
      </c>
      <c r="AB22" s="116">
        <v>-44</v>
      </c>
      <c r="AC22" s="116">
        <v>0</v>
      </c>
      <c r="AD22" s="116">
        <v>-100</v>
      </c>
      <c r="AE22" s="98">
        <v>0.44</v>
      </c>
      <c r="AF22" s="117">
        <v>0</v>
      </c>
    </row>
    <row r="23" ht="15.75" spans="1:32">
      <c r="A23" s="77" t="s">
        <v>146</v>
      </c>
      <c r="B23" s="87" t="s">
        <v>147</v>
      </c>
      <c r="C23" s="88">
        <v>613.2</v>
      </c>
      <c r="D23" s="88">
        <v>29.2</v>
      </c>
      <c r="E23" s="88">
        <v>579.6</v>
      </c>
      <c r="F23" s="88">
        <v>28.9</v>
      </c>
      <c r="G23" s="88">
        <v>614.3</v>
      </c>
      <c r="H23" s="88">
        <v>28.1</v>
      </c>
      <c r="I23" s="88">
        <v>3.4</v>
      </c>
      <c r="J23" s="96">
        <v>10</v>
      </c>
      <c r="K23" s="88"/>
      <c r="L23" s="97"/>
      <c r="M23" s="97"/>
      <c r="N23" s="88">
        <v>-33.6</v>
      </c>
      <c r="O23" s="88">
        <v>-0.300000000000001</v>
      </c>
      <c r="P23" s="98">
        <v>-127.34876208</v>
      </c>
      <c r="Q23" s="88">
        <v>1.09999999999991</v>
      </c>
      <c r="R23" s="88">
        <v>-1.1</v>
      </c>
      <c r="S23" s="98">
        <v>0</v>
      </c>
      <c r="T23" s="111"/>
      <c r="U23" s="97"/>
      <c r="Y23" s="97" t="s">
        <v>146</v>
      </c>
      <c r="Z23" s="97" t="s">
        <v>147</v>
      </c>
      <c r="AA23" s="116">
        <v>-127</v>
      </c>
      <c r="AB23" s="116">
        <v>-127</v>
      </c>
      <c r="AC23" s="116">
        <v>0</v>
      </c>
      <c r="AD23" s="116">
        <v>10</v>
      </c>
      <c r="AE23" s="98">
        <v>-12.7</v>
      </c>
      <c r="AF23" s="117">
        <v>0</v>
      </c>
    </row>
    <row r="24" ht="15.75" spans="1:32">
      <c r="A24" s="77" t="s">
        <v>146</v>
      </c>
      <c r="B24" s="87" t="s">
        <v>148</v>
      </c>
      <c r="C24" s="88">
        <v>589.1</v>
      </c>
      <c r="D24" s="88">
        <v>29.3</v>
      </c>
      <c r="E24" s="88">
        <v>607.2</v>
      </c>
      <c r="F24" s="88">
        <v>29.3</v>
      </c>
      <c r="G24" s="88">
        <v>588.4</v>
      </c>
      <c r="H24" s="88">
        <v>29.3</v>
      </c>
      <c r="I24" s="88">
        <v>3.4</v>
      </c>
      <c r="J24" s="96">
        <v>10</v>
      </c>
      <c r="K24" s="88"/>
      <c r="L24" s="100"/>
      <c r="M24" s="100"/>
      <c r="N24" s="88">
        <v>18.1</v>
      </c>
      <c r="O24" s="88">
        <v>0</v>
      </c>
      <c r="P24" s="98">
        <v>68.3106724300001</v>
      </c>
      <c r="Q24" s="88">
        <v>-0.700000000000045</v>
      </c>
      <c r="R24" s="88">
        <v>0</v>
      </c>
      <c r="S24" s="98">
        <v>0</v>
      </c>
      <c r="T24" s="113"/>
      <c r="U24" s="100"/>
      <c r="Y24" s="100" t="s">
        <v>146</v>
      </c>
      <c r="Z24" s="100" t="s">
        <v>148</v>
      </c>
      <c r="AA24" s="116">
        <v>68</v>
      </c>
      <c r="AB24" s="116">
        <v>68</v>
      </c>
      <c r="AC24" s="116">
        <v>0</v>
      </c>
      <c r="AD24" s="116">
        <v>10</v>
      </c>
      <c r="AE24" s="98">
        <v>6.8</v>
      </c>
      <c r="AF24" s="117">
        <v>0</v>
      </c>
    </row>
    <row r="25" ht="15.75" spans="1:32">
      <c r="A25" s="89"/>
      <c r="B25" s="90"/>
      <c r="C25" s="91"/>
      <c r="D25" s="91"/>
      <c r="E25" s="91"/>
      <c r="F25" s="91"/>
      <c r="G25" s="91"/>
      <c r="H25" s="91"/>
      <c r="I25" s="91"/>
      <c r="J25" s="101"/>
      <c r="K25" s="91"/>
      <c r="L25" s="97"/>
      <c r="M25" s="97"/>
      <c r="N25" s="102"/>
      <c r="O25" s="102"/>
      <c r="P25" s="98"/>
      <c r="Q25" s="102"/>
      <c r="R25" s="102"/>
      <c r="S25" s="98"/>
      <c r="T25" s="111"/>
      <c r="U25" s="97"/>
      <c r="Y25" s="97"/>
      <c r="Z25" s="97"/>
      <c r="AA25" s="116"/>
      <c r="AB25" s="116"/>
      <c r="AC25" s="116"/>
      <c r="AD25" s="116"/>
      <c r="AE25" s="98"/>
      <c r="AF25" s="117"/>
    </row>
    <row r="26" ht="15.75" spans="1:32">
      <c r="A26" s="89"/>
      <c r="B26" s="90"/>
      <c r="C26" s="91"/>
      <c r="D26" s="91"/>
      <c r="E26" s="91"/>
      <c r="F26" s="91"/>
      <c r="G26" s="91"/>
      <c r="H26" s="91"/>
      <c r="I26" s="91"/>
      <c r="J26" s="101"/>
      <c r="K26" s="91"/>
      <c r="L26" s="97"/>
      <c r="M26" s="97"/>
      <c r="N26" s="102"/>
      <c r="O26" s="102"/>
      <c r="P26" s="98"/>
      <c r="Q26" s="102"/>
      <c r="R26" s="102"/>
      <c r="S26" s="98"/>
      <c r="T26" s="111"/>
      <c r="U26" s="97"/>
      <c r="Y26" s="97"/>
      <c r="Z26" s="97"/>
      <c r="AA26" s="116"/>
      <c r="AB26" s="116"/>
      <c r="AC26" s="116"/>
      <c r="AD26" s="116"/>
      <c r="AE26" s="98"/>
      <c r="AF26" s="117"/>
    </row>
    <row r="27" ht="15.75" spans="1:32">
      <c r="A27" s="89"/>
      <c r="B27" s="90"/>
      <c r="C27" s="91"/>
      <c r="D27" s="91"/>
      <c r="E27" s="91"/>
      <c r="F27" s="91"/>
      <c r="G27" s="91"/>
      <c r="H27" s="91"/>
      <c r="I27" s="91"/>
      <c r="J27" s="101"/>
      <c r="K27" s="91"/>
      <c r="L27" s="100"/>
      <c r="M27" s="100"/>
      <c r="N27" s="102"/>
      <c r="O27" s="102"/>
      <c r="P27" s="98"/>
      <c r="Q27" s="102"/>
      <c r="R27" s="102"/>
      <c r="S27" s="98"/>
      <c r="T27" s="113"/>
      <c r="U27" s="100"/>
      <c r="Y27" s="100"/>
      <c r="Z27" s="100"/>
      <c r="AA27" s="116"/>
      <c r="AB27" s="116"/>
      <c r="AC27" s="116"/>
      <c r="AD27" s="116"/>
      <c r="AE27" s="98"/>
      <c r="AF27" s="117"/>
    </row>
    <row r="28" ht="16.5" spans="1:32">
      <c r="A28" s="89"/>
      <c r="B28" s="90"/>
      <c r="C28" s="91"/>
      <c r="D28" s="91"/>
      <c r="E28" s="91"/>
      <c r="F28" s="91"/>
      <c r="G28" s="91"/>
      <c r="H28" s="91"/>
      <c r="I28" s="91"/>
      <c r="J28" s="101"/>
      <c r="K28" s="91"/>
      <c r="L28" s="99"/>
      <c r="M28" s="99"/>
      <c r="N28" s="103"/>
      <c r="O28" s="103"/>
      <c r="P28" s="104"/>
      <c r="Q28" s="103"/>
      <c r="R28" s="103"/>
      <c r="S28" s="98"/>
      <c r="T28" s="112"/>
      <c r="U28" s="99"/>
      <c r="Y28" s="99"/>
      <c r="Z28" s="99"/>
      <c r="AA28" s="118"/>
      <c r="AB28" s="118"/>
      <c r="AC28" s="118"/>
      <c r="AD28" s="118"/>
      <c r="AE28" s="119"/>
      <c r="AF28" s="120"/>
    </row>
    <row r="29" ht="15.75" spans="1:32">
      <c r="A29" s="89"/>
      <c r="B29" s="90"/>
      <c r="C29" s="91"/>
      <c r="D29" s="91"/>
      <c r="E29" s="91"/>
      <c r="F29" s="91"/>
      <c r="G29" s="91"/>
      <c r="H29" s="91"/>
      <c r="I29" s="91"/>
      <c r="J29" s="101"/>
      <c r="K29" s="91"/>
      <c r="L29" s="105"/>
      <c r="M29" s="105"/>
      <c r="N29" s="106"/>
      <c r="O29" s="106"/>
      <c r="P29" s="107"/>
      <c r="Q29" s="106"/>
      <c r="R29" s="106"/>
      <c r="S29" s="114"/>
      <c r="T29" s="115"/>
      <c r="U29" s="105"/>
      <c r="Y29" s="105"/>
      <c r="Z29" s="105"/>
      <c r="AA29" s="121"/>
      <c r="AB29" s="121"/>
      <c r="AC29" s="121"/>
      <c r="AD29" s="121"/>
      <c r="AE29" s="122"/>
      <c r="AF29" s="123"/>
    </row>
    <row r="30" ht="15.75" spans="1:32">
      <c r="A30" s="89"/>
      <c r="B30" s="90"/>
      <c r="C30" s="91"/>
      <c r="D30" s="91"/>
      <c r="E30" s="91"/>
      <c r="F30" s="91"/>
      <c r="G30" s="91"/>
      <c r="H30" s="91"/>
      <c r="I30" s="91"/>
      <c r="J30" s="101"/>
      <c r="K30" s="91"/>
      <c r="L30" s="97"/>
      <c r="M30" s="97"/>
      <c r="N30" s="102"/>
      <c r="O30" s="102"/>
      <c r="P30" s="98"/>
      <c r="Q30" s="102"/>
      <c r="R30" s="102"/>
      <c r="S30" s="98"/>
      <c r="T30" s="113"/>
      <c r="U30" s="100"/>
      <c r="Y30" s="97"/>
      <c r="Z30" s="97"/>
      <c r="AA30" s="116"/>
      <c r="AB30" s="116"/>
      <c r="AC30" s="116"/>
      <c r="AD30" s="116"/>
      <c r="AE30" s="98"/>
      <c r="AF30" s="117"/>
    </row>
    <row r="31" ht="15.75" spans="1:32">
      <c r="A31" s="89"/>
      <c r="B31" s="90"/>
      <c r="C31" s="91"/>
      <c r="D31" s="91"/>
      <c r="E31" s="91"/>
      <c r="F31" s="91"/>
      <c r="G31" s="91"/>
      <c r="H31" s="91"/>
      <c r="I31" s="91"/>
      <c r="J31" s="101"/>
      <c r="K31" s="91"/>
      <c r="L31" s="99"/>
      <c r="M31" s="99"/>
      <c r="N31" s="102"/>
      <c r="O31" s="102"/>
      <c r="P31" s="98"/>
      <c r="Q31" s="102"/>
      <c r="R31" s="102"/>
      <c r="S31" s="98"/>
      <c r="T31" s="111"/>
      <c r="U31" s="97"/>
      <c r="Y31" s="99"/>
      <c r="Z31" s="99"/>
      <c r="AA31" s="116"/>
      <c r="AB31" s="116"/>
      <c r="AC31" s="116"/>
      <c r="AD31" s="116"/>
      <c r="AE31" s="98"/>
      <c r="AF31" s="117"/>
    </row>
    <row r="32" ht="15.75" spans="1:32">
      <c r="A32" s="89"/>
      <c r="B32" s="90"/>
      <c r="C32" s="91"/>
      <c r="D32" s="91"/>
      <c r="E32" s="91"/>
      <c r="F32" s="91"/>
      <c r="G32" s="91"/>
      <c r="H32" s="91"/>
      <c r="I32" s="91"/>
      <c r="J32" s="101"/>
      <c r="K32" s="91"/>
      <c r="L32" s="97"/>
      <c r="M32" s="97"/>
      <c r="N32" s="102"/>
      <c r="O32" s="102"/>
      <c r="P32" s="98"/>
      <c r="Q32" s="102"/>
      <c r="R32" s="102"/>
      <c r="S32" s="98"/>
      <c r="T32" s="111"/>
      <c r="U32" s="97"/>
      <c r="Y32" s="97"/>
      <c r="Z32" s="97"/>
      <c r="AA32" s="116"/>
      <c r="AB32" s="116"/>
      <c r="AC32" s="116"/>
      <c r="AD32" s="116"/>
      <c r="AE32" s="98"/>
      <c r="AF32" s="117"/>
    </row>
    <row r="33" ht="15.75" spans="1:32">
      <c r="A33" s="89"/>
      <c r="B33" s="90"/>
      <c r="C33" s="91"/>
      <c r="D33" s="91"/>
      <c r="E33" s="91"/>
      <c r="F33" s="91"/>
      <c r="G33" s="91"/>
      <c r="H33" s="91"/>
      <c r="I33" s="91"/>
      <c r="J33" s="101"/>
      <c r="K33" s="91"/>
      <c r="L33" s="97"/>
      <c r="M33" s="97"/>
      <c r="N33" s="102"/>
      <c r="O33" s="102"/>
      <c r="P33" s="98"/>
      <c r="Q33" s="102"/>
      <c r="R33" s="102"/>
      <c r="S33" s="98"/>
      <c r="T33" s="113"/>
      <c r="U33" s="100"/>
      <c r="Y33" s="97"/>
      <c r="Z33" s="97"/>
      <c r="AA33" s="116"/>
      <c r="AB33" s="116"/>
      <c r="AC33" s="116"/>
      <c r="AD33" s="116"/>
      <c r="AE33" s="98"/>
      <c r="AF33" s="117"/>
    </row>
    <row r="34" ht="15.75" spans="1:32">
      <c r="A34" s="89"/>
      <c r="B34" s="90"/>
      <c r="C34" s="91"/>
      <c r="D34" s="91"/>
      <c r="E34" s="91"/>
      <c r="F34" s="91"/>
      <c r="G34" s="91"/>
      <c r="H34" s="91"/>
      <c r="I34" s="91"/>
      <c r="J34" s="101"/>
      <c r="K34" s="91"/>
      <c r="L34" s="99"/>
      <c r="M34" s="99"/>
      <c r="N34" s="102"/>
      <c r="O34" s="102"/>
      <c r="P34" s="98"/>
      <c r="Q34" s="102"/>
      <c r="R34" s="102"/>
      <c r="S34" s="98"/>
      <c r="T34" s="111"/>
      <c r="U34" s="97"/>
      <c r="Y34" s="99"/>
      <c r="Z34" s="99"/>
      <c r="AA34" s="116"/>
      <c r="AB34" s="116"/>
      <c r="AC34" s="116"/>
      <c r="AD34" s="116"/>
      <c r="AE34" s="98"/>
      <c r="AF34" s="117"/>
    </row>
    <row r="35" ht="15.75" spans="1:32">
      <c r="A35" s="89"/>
      <c r="B35" s="90"/>
      <c r="C35" s="91"/>
      <c r="D35" s="91"/>
      <c r="E35" s="91"/>
      <c r="F35" s="91"/>
      <c r="G35" s="91"/>
      <c r="H35" s="91"/>
      <c r="I35" s="91"/>
      <c r="J35" s="101"/>
      <c r="K35" s="91"/>
      <c r="L35" s="97"/>
      <c r="M35" s="97"/>
      <c r="N35" s="102"/>
      <c r="O35" s="102"/>
      <c r="P35" s="98"/>
      <c r="Q35" s="102"/>
      <c r="R35" s="102"/>
      <c r="S35" s="98"/>
      <c r="T35" s="111"/>
      <c r="U35" s="97"/>
      <c r="Y35" s="97"/>
      <c r="Z35" s="97"/>
      <c r="AA35" s="116"/>
      <c r="AB35" s="116"/>
      <c r="AC35" s="116"/>
      <c r="AD35" s="116"/>
      <c r="AE35" s="98"/>
      <c r="AF35" s="117"/>
    </row>
    <row r="36" ht="15.75" spans="1:32">
      <c r="A36" s="89"/>
      <c r="B36" s="90"/>
      <c r="C36" s="91"/>
      <c r="D36" s="91"/>
      <c r="E36" s="91"/>
      <c r="F36" s="91"/>
      <c r="G36" s="91"/>
      <c r="H36" s="91"/>
      <c r="I36" s="91"/>
      <c r="J36" s="101"/>
      <c r="K36" s="91"/>
      <c r="L36" s="97"/>
      <c r="M36" s="97"/>
      <c r="N36" s="102"/>
      <c r="O36" s="102"/>
      <c r="P36" s="98"/>
      <c r="Q36" s="102"/>
      <c r="R36" s="102"/>
      <c r="S36" s="98"/>
      <c r="T36" s="113"/>
      <c r="U36" s="100"/>
      <c r="Y36" s="97"/>
      <c r="Z36" s="97"/>
      <c r="AA36" s="116"/>
      <c r="AB36" s="116"/>
      <c r="AC36" s="116"/>
      <c r="AD36" s="116"/>
      <c r="AE36" s="98"/>
      <c r="AF36" s="117"/>
    </row>
    <row r="37" ht="15.75" spans="1:32">
      <c r="A37" s="89"/>
      <c r="B37" s="90"/>
      <c r="C37" s="91"/>
      <c r="D37" s="91"/>
      <c r="E37" s="91"/>
      <c r="F37" s="91"/>
      <c r="G37" s="91"/>
      <c r="H37" s="91"/>
      <c r="I37" s="91"/>
      <c r="J37" s="101"/>
      <c r="K37" s="91"/>
      <c r="L37" s="97"/>
      <c r="M37" s="97"/>
      <c r="N37" s="102"/>
      <c r="O37" s="102"/>
      <c r="P37" s="98"/>
      <c r="Q37" s="102"/>
      <c r="R37" s="102"/>
      <c r="S37" s="98"/>
      <c r="T37" s="111"/>
      <c r="U37" s="97"/>
      <c r="Y37" s="97"/>
      <c r="Z37" s="97"/>
      <c r="AA37" s="116"/>
      <c r="AB37" s="116"/>
      <c r="AC37" s="116"/>
      <c r="AD37" s="116"/>
      <c r="AE37" s="98"/>
      <c r="AF37" s="117"/>
    </row>
    <row r="38" ht="15.75" spans="1:32">
      <c r="A38" s="89"/>
      <c r="B38" s="90"/>
      <c r="C38" s="91"/>
      <c r="D38" s="91"/>
      <c r="E38" s="91"/>
      <c r="F38" s="91"/>
      <c r="G38" s="91"/>
      <c r="H38" s="91"/>
      <c r="I38" s="91"/>
      <c r="J38" s="101"/>
      <c r="K38" s="101"/>
      <c r="L38" s="100"/>
      <c r="M38" s="100"/>
      <c r="N38" s="102"/>
      <c r="O38" s="102"/>
      <c r="P38" s="98"/>
      <c r="Q38" s="102"/>
      <c r="R38" s="102"/>
      <c r="S38" s="98"/>
      <c r="T38" s="111"/>
      <c r="U38" s="97"/>
      <c r="Y38" s="100"/>
      <c r="Z38" s="100"/>
      <c r="AA38" s="116"/>
      <c r="AB38" s="116"/>
      <c r="AC38" s="116"/>
      <c r="AD38" s="116"/>
      <c r="AE38" s="98"/>
      <c r="AF38" s="117"/>
    </row>
    <row r="39" ht="15.75" spans="1:32">
      <c r="A39" s="89"/>
      <c r="B39" s="90"/>
      <c r="C39" s="91"/>
      <c r="D39" s="91"/>
      <c r="E39" s="91"/>
      <c r="F39" s="91"/>
      <c r="G39" s="91"/>
      <c r="H39" s="91"/>
      <c r="I39" s="91"/>
      <c r="J39" s="101"/>
      <c r="K39" s="91"/>
      <c r="L39" s="97"/>
      <c r="M39" s="97"/>
      <c r="N39" s="102"/>
      <c r="O39" s="102"/>
      <c r="P39" s="98"/>
      <c r="Q39" s="102"/>
      <c r="R39" s="102"/>
      <c r="S39" s="98"/>
      <c r="T39" s="113"/>
      <c r="U39" s="100"/>
      <c r="Y39" s="97"/>
      <c r="Z39" s="97"/>
      <c r="AA39" s="116"/>
      <c r="AB39" s="116"/>
      <c r="AC39" s="116"/>
      <c r="AD39" s="116"/>
      <c r="AE39" s="98"/>
      <c r="AF39" s="117"/>
    </row>
    <row r="40" ht="15.75" spans="1:32">
      <c r="A40" s="89"/>
      <c r="B40" s="90"/>
      <c r="C40" s="91"/>
      <c r="D40" s="91"/>
      <c r="E40" s="91"/>
      <c r="F40" s="91"/>
      <c r="G40" s="91"/>
      <c r="H40" s="91"/>
      <c r="I40" s="91"/>
      <c r="J40" s="101"/>
      <c r="K40" s="91"/>
      <c r="L40" s="97"/>
      <c r="M40" s="97"/>
      <c r="N40" s="102"/>
      <c r="O40" s="102"/>
      <c r="P40" s="98"/>
      <c r="Q40" s="102"/>
      <c r="R40" s="102"/>
      <c r="S40" s="98"/>
      <c r="T40" s="111"/>
      <c r="U40" s="97"/>
      <c r="Y40" s="97"/>
      <c r="Z40" s="97"/>
      <c r="AA40" s="116"/>
      <c r="AB40" s="116"/>
      <c r="AC40" s="116"/>
      <c r="AD40" s="116"/>
      <c r="AE40" s="98"/>
      <c r="AF40" s="117"/>
    </row>
    <row r="41" spans="1:32">
      <c r="A41" s="89"/>
      <c r="B41" s="92"/>
      <c r="C41" s="89"/>
      <c r="D41" s="89"/>
      <c r="E41" s="89"/>
      <c r="F41" s="89"/>
      <c r="G41" s="89"/>
      <c r="H41" s="89"/>
      <c r="I41" s="89"/>
      <c r="J41" s="89"/>
      <c r="K41" s="89"/>
      <c r="L41" s="100"/>
      <c r="M41" s="100"/>
      <c r="N41" s="102"/>
      <c r="O41" s="102"/>
      <c r="P41" s="98"/>
      <c r="Q41" s="102"/>
      <c r="R41" s="102"/>
      <c r="S41" s="98"/>
      <c r="T41" s="111"/>
      <c r="U41" s="97"/>
      <c r="Y41" s="100"/>
      <c r="Z41" s="100"/>
      <c r="AA41" s="116"/>
      <c r="AB41" s="116"/>
      <c r="AC41" s="116"/>
      <c r="AD41" s="116"/>
      <c r="AE41" s="98"/>
      <c r="AF41" s="117"/>
    </row>
    <row r="42" spans="1:32">
      <c r="A42" s="89"/>
      <c r="B42" s="92"/>
      <c r="C42" s="89"/>
      <c r="D42" s="89"/>
      <c r="E42" s="89"/>
      <c r="F42" s="89"/>
      <c r="G42" s="89"/>
      <c r="H42" s="89"/>
      <c r="I42" s="89"/>
      <c r="J42" s="89"/>
      <c r="K42" s="89"/>
      <c r="L42" s="99"/>
      <c r="M42" s="99"/>
      <c r="N42" s="102"/>
      <c r="O42" s="102"/>
      <c r="P42" s="98"/>
      <c r="Q42" s="102"/>
      <c r="R42" s="102"/>
      <c r="S42" s="98"/>
      <c r="T42" s="113"/>
      <c r="U42" s="100"/>
      <c r="Y42" s="99"/>
      <c r="Z42" s="99"/>
      <c r="AA42" s="116"/>
      <c r="AB42" s="116"/>
      <c r="AC42" s="116"/>
      <c r="AD42" s="116"/>
      <c r="AE42" s="98"/>
      <c r="AF42" s="117"/>
    </row>
    <row r="43" spans="1:32">
      <c r="A43" s="89"/>
      <c r="B43" s="92"/>
      <c r="C43" s="89"/>
      <c r="D43" s="89"/>
      <c r="E43" s="89"/>
      <c r="F43" s="89"/>
      <c r="G43" s="89"/>
      <c r="H43" s="89"/>
      <c r="I43" s="89"/>
      <c r="J43" s="89"/>
      <c r="K43" s="89"/>
      <c r="L43" s="89"/>
      <c r="M43" s="89"/>
      <c r="N43" s="89"/>
      <c r="O43" s="89"/>
      <c r="P43" s="89"/>
      <c r="Q43" s="89"/>
      <c r="R43" s="89"/>
      <c r="S43" s="89"/>
      <c r="Y43" s="89"/>
      <c r="Z43" s="89"/>
      <c r="AA43" s="89"/>
      <c r="AB43" s="89"/>
      <c r="AC43" s="89"/>
      <c r="AD43" s="89"/>
      <c r="AE43" s="89"/>
      <c r="AF43" s="89"/>
    </row>
    <row r="44" spans="1:32">
      <c r="A44" s="89"/>
      <c r="B44" s="92"/>
      <c r="C44" s="89"/>
      <c r="D44" s="89"/>
      <c r="E44" s="89"/>
      <c r="F44" s="89"/>
      <c r="G44" s="89"/>
      <c r="H44" s="89"/>
      <c r="I44" s="89"/>
      <c r="J44" s="89"/>
      <c r="K44" s="89"/>
      <c r="L44" s="89"/>
      <c r="M44" s="89"/>
      <c r="N44" s="89"/>
      <c r="O44" s="89"/>
      <c r="P44" s="89"/>
      <c r="Q44" s="89"/>
      <c r="R44" s="89"/>
      <c r="S44" s="89"/>
      <c r="Y44" s="89"/>
      <c r="Z44" s="89"/>
      <c r="AA44" s="89"/>
      <c r="AB44" s="89"/>
      <c r="AC44" s="89"/>
      <c r="AD44" s="89"/>
      <c r="AE44" s="89"/>
      <c r="AF44" s="89"/>
    </row>
    <row r="45" spans="1:32">
      <c r="A45" s="89"/>
      <c r="B45" s="92"/>
      <c r="C45" s="89"/>
      <c r="D45" s="89"/>
      <c r="E45" s="89"/>
      <c r="F45" s="89"/>
      <c r="G45" s="89"/>
      <c r="H45" s="89"/>
      <c r="I45" s="89"/>
      <c r="J45" s="89"/>
      <c r="K45" s="89"/>
      <c r="L45" s="89"/>
      <c r="M45" s="89"/>
      <c r="N45" s="89"/>
      <c r="O45" s="89"/>
      <c r="P45" s="89"/>
      <c r="Q45" s="89"/>
      <c r="R45" s="89"/>
      <c r="S45" s="89"/>
      <c r="Y45" s="89"/>
      <c r="Z45" s="89"/>
      <c r="AA45" s="89"/>
      <c r="AB45" s="89"/>
      <c r="AC45" s="89"/>
      <c r="AD45" s="89"/>
      <c r="AE45" s="89"/>
      <c r="AF45" s="89"/>
    </row>
    <row r="46" spans="1:32">
      <c r="A46" s="89"/>
      <c r="B46" s="92"/>
      <c r="C46" s="89"/>
      <c r="D46" s="89"/>
      <c r="E46" s="89"/>
      <c r="F46" s="89"/>
      <c r="G46" s="89"/>
      <c r="H46" s="89"/>
      <c r="I46" s="89"/>
      <c r="J46" s="89"/>
      <c r="K46" s="89"/>
      <c r="L46" s="89"/>
      <c r="M46" s="89"/>
      <c r="N46" s="89"/>
      <c r="O46" s="89"/>
      <c r="P46" s="89"/>
      <c r="Q46" s="89"/>
      <c r="R46" s="89"/>
      <c r="S46" s="89"/>
      <c r="Y46" s="89"/>
      <c r="Z46" s="89"/>
      <c r="AA46" s="89"/>
      <c r="AB46" s="89"/>
      <c r="AC46" s="89"/>
      <c r="AD46" s="89"/>
      <c r="AE46" s="89"/>
      <c r="AF46" s="89"/>
    </row>
    <row r="47" spans="1:32">
      <c r="A47" s="89"/>
      <c r="B47" s="92"/>
      <c r="C47" s="89"/>
      <c r="D47" s="89"/>
      <c r="E47" s="89"/>
      <c r="F47" s="89"/>
      <c r="G47" s="89"/>
      <c r="H47" s="89"/>
      <c r="I47" s="89"/>
      <c r="J47" s="89"/>
      <c r="K47" s="89"/>
      <c r="L47" s="89"/>
      <c r="M47" s="89"/>
      <c r="N47" s="89"/>
      <c r="O47" s="89"/>
      <c r="P47" s="89"/>
      <c r="Q47" s="89"/>
      <c r="R47" s="89"/>
      <c r="S47" s="89"/>
      <c r="Y47" s="89"/>
      <c r="Z47" s="89"/>
      <c r="AA47" s="89"/>
      <c r="AB47" s="89"/>
      <c r="AC47" s="89"/>
      <c r="AD47" s="89"/>
      <c r="AE47" s="89"/>
      <c r="AF47" s="89"/>
    </row>
    <row r="48" spans="1:32">
      <c r="A48" s="89"/>
      <c r="B48" s="92"/>
      <c r="C48" s="89"/>
      <c r="D48" s="89"/>
      <c r="E48" s="89"/>
      <c r="F48" s="89"/>
      <c r="G48" s="89"/>
      <c r="H48" s="89"/>
      <c r="I48" s="89"/>
      <c r="J48" s="89"/>
      <c r="K48" s="89"/>
      <c r="L48" s="89"/>
      <c r="M48" s="89"/>
      <c r="N48" s="89"/>
      <c r="O48" s="89"/>
      <c r="P48" s="89"/>
      <c r="Q48" s="89"/>
      <c r="R48" s="89"/>
      <c r="S48" s="89"/>
      <c r="Y48" s="89"/>
      <c r="Z48" s="89"/>
      <c r="AA48" s="89"/>
      <c r="AB48" s="89"/>
      <c r="AC48" s="89"/>
      <c r="AD48" s="89"/>
      <c r="AE48" s="89"/>
      <c r="AF48" s="89"/>
    </row>
    <row r="49" spans="1:32">
      <c r="A49" s="89"/>
      <c r="B49" s="92"/>
      <c r="C49" s="89"/>
      <c r="D49" s="89"/>
      <c r="E49" s="89"/>
      <c r="F49" s="89"/>
      <c r="G49" s="89"/>
      <c r="H49" s="89"/>
      <c r="I49" s="89"/>
      <c r="J49" s="89"/>
      <c r="K49" s="89"/>
      <c r="L49" s="89"/>
      <c r="M49" s="89"/>
      <c r="N49" s="89"/>
      <c r="O49" s="89"/>
      <c r="P49" s="89"/>
      <c r="Q49" s="89"/>
      <c r="R49" s="89"/>
      <c r="S49" s="89"/>
      <c r="Y49" s="89"/>
      <c r="Z49" s="89"/>
      <c r="AA49" s="89"/>
      <c r="AB49" s="89"/>
      <c r="AC49" s="89"/>
      <c r="AD49" s="89"/>
      <c r="AE49" s="89"/>
      <c r="AF49" s="89"/>
    </row>
    <row r="50" spans="1:32">
      <c r="A50" s="89"/>
      <c r="B50" s="92"/>
      <c r="C50" s="89"/>
      <c r="D50" s="89"/>
      <c r="E50" s="89"/>
      <c r="F50" s="89"/>
      <c r="G50" s="89"/>
      <c r="H50" s="89"/>
      <c r="I50" s="89"/>
      <c r="J50" s="89"/>
      <c r="K50" s="89"/>
      <c r="L50" s="89"/>
      <c r="M50" s="89"/>
      <c r="N50" s="89"/>
      <c r="O50" s="89"/>
      <c r="P50" s="89"/>
      <c r="Q50" s="89"/>
      <c r="R50" s="89"/>
      <c r="S50" s="89"/>
      <c r="Y50" s="89"/>
      <c r="Z50" s="89"/>
      <c r="AA50" s="89"/>
      <c r="AB50" s="89"/>
      <c r="AC50" s="89"/>
      <c r="AD50" s="89"/>
      <c r="AE50" s="89"/>
      <c r="AF50" s="89"/>
    </row>
    <row r="51" spans="1:32">
      <c r="A51" s="89"/>
      <c r="B51" s="92"/>
      <c r="C51" s="89"/>
      <c r="D51" s="89"/>
      <c r="E51" s="89"/>
      <c r="F51" s="89"/>
      <c r="G51" s="89"/>
      <c r="H51" s="89"/>
      <c r="I51" s="89"/>
      <c r="J51" s="89"/>
      <c r="K51" s="89"/>
      <c r="L51" s="89"/>
      <c r="M51" s="89"/>
      <c r="N51" s="89"/>
      <c r="O51" s="89"/>
      <c r="P51" s="89"/>
      <c r="Q51" s="89"/>
      <c r="R51" s="89"/>
      <c r="S51" s="89"/>
      <c r="Y51" s="89"/>
      <c r="Z51" s="89"/>
      <c r="AA51" s="89"/>
      <c r="AB51" s="89"/>
      <c r="AC51" s="89"/>
      <c r="AD51" s="89"/>
      <c r="AE51" s="89"/>
      <c r="AF51" s="89"/>
    </row>
    <row r="52" spans="1:32">
      <c r="A52" s="89"/>
      <c r="B52" s="92"/>
      <c r="C52" s="89"/>
      <c r="D52" s="89"/>
      <c r="E52" s="89"/>
      <c r="F52" s="89"/>
      <c r="G52" s="89"/>
      <c r="H52" s="89"/>
      <c r="I52" s="89"/>
      <c r="J52" s="89"/>
      <c r="K52" s="89"/>
      <c r="L52" s="89"/>
      <c r="M52" s="89"/>
      <c r="N52" s="89"/>
      <c r="O52" s="89"/>
      <c r="P52" s="89"/>
      <c r="Q52" s="89"/>
      <c r="R52" s="89"/>
      <c r="S52" s="89"/>
      <c r="Y52" s="89"/>
      <c r="Z52" s="89"/>
      <c r="AA52" s="89"/>
      <c r="AB52" s="89"/>
      <c r="AC52" s="89"/>
      <c r="AD52" s="89"/>
      <c r="AE52" s="89"/>
      <c r="AF52" s="89"/>
    </row>
    <row r="53" spans="1:32">
      <c r="A53" s="89"/>
      <c r="B53" s="92"/>
      <c r="C53" s="89"/>
      <c r="D53" s="89"/>
      <c r="E53" s="89"/>
      <c r="F53" s="89"/>
      <c r="G53" s="89"/>
      <c r="H53" s="89"/>
      <c r="I53" s="89"/>
      <c r="J53" s="89"/>
      <c r="K53" s="89"/>
      <c r="L53" s="89"/>
      <c r="M53" s="89"/>
      <c r="N53" s="89"/>
      <c r="O53" s="89"/>
      <c r="P53" s="89"/>
      <c r="Q53" s="89"/>
      <c r="R53" s="89"/>
      <c r="S53" s="89"/>
      <c r="Y53" s="89"/>
      <c r="Z53" s="89"/>
      <c r="AA53" s="89"/>
      <c r="AB53" s="89"/>
      <c r="AC53" s="89"/>
      <c r="AD53" s="89"/>
      <c r="AE53" s="89"/>
      <c r="AF53" s="89"/>
    </row>
    <row r="54" spans="1:32">
      <c r="A54" s="89"/>
      <c r="B54" s="92"/>
      <c r="C54" s="89"/>
      <c r="D54" s="89"/>
      <c r="E54" s="89"/>
      <c r="F54" s="89"/>
      <c r="G54" s="89"/>
      <c r="H54" s="89"/>
      <c r="I54" s="89"/>
      <c r="J54" s="89"/>
      <c r="K54" s="89"/>
      <c r="L54" s="89"/>
      <c r="M54" s="89"/>
      <c r="N54" s="89"/>
      <c r="O54" s="89"/>
      <c r="P54" s="89"/>
      <c r="Q54" s="89"/>
      <c r="R54" s="89"/>
      <c r="S54" s="89"/>
      <c r="Y54" s="89"/>
      <c r="Z54" s="89"/>
      <c r="AA54" s="89"/>
      <c r="AB54" s="89"/>
      <c r="AC54" s="89"/>
      <c r="AD54" s="89"/>
      <c r="AE54" s="89"/>
      <c r="AF54" s="89"/>
    </row>
    <row r="55" spans="1:32">
      <c r="A55" s="89"/>
      <c r="B55" s="92"/>
      <c r="C55" s="89"/>
      <c r="D55" s="89"/>
      <c r="E55" s="89"/>
      <c r="F55" s="89"/>
      <c r="G55" s="89"/>
      <c r="H55" s="89"/>
      <c r="I55" s="89"/>
      <c r="J55" s="89"/>
      <c r="K55" s="89"/>
      <c r="L55" s="89"/>
      <c r="M55" s="89"/>
      <c r="N55" s="89"/>
      <c r="O55" s="89"/>
      <c r="P55" s="89"/>
      <c r="Q55" s="89"/>
      <c r="R55" s="89"/>
      <c r="S55" s="89"/>
      <c r="Y55" s="89"/>
      <c r="Z55" s="89"/>
      <c r="AA55" s="89"/>
      <c r="AB55" s="89"/>
      <c r="AC55" s="89"/>
      <c r="AD55" s="89"/>
      <c r="AE55" s="89"/>
      <c r="AF55" s="89"/>
    </row>
    <row r="56" spans="1:32">
      <c r="A56" s="89"/>
      <c r="B56" s="92"/>
      <c r="C56" s="89"/>
      <c r="D56" s="89"/>
      <c r="E56" s="89"/>
      <c r="F56" s="89"/>
      <c r="G56" s="89"/>
      <c r="H56" s="89"/>
      <c r="I56" s="89"/>
      <c r="J56" s="89"/>
      <c r="K56" s="89"/>
      <c r="L56" s="89"/>
      <c r="M56" s="89"/>
      <c r="N56" s="89"/>
      <c r="O56" s="89"/>
      <c r="P56" s="89"/>
      <c r="Q56" s="89"/>
      <c r="R56" s="89"/>
      <c r="S56" s="89"/>
      <c r="Y56" s="89"/>
      <c r="Z56" s="89"/>
      <c r="AA56" s="89"/>
      <c r="AB56" s="89"/>
      <c r="AC56" s="89"/>
      <c r="AD56" s="89"/>
      <c r="AE56" s="89"/>
      <c r="AF56" s="89"/>
    </row>
    <row r="57" spans="1:32">
      <c r="A57" s="89"/>
      <c r="B57" s="92"/>
      <c r="C57" s="89"/>
      <c r="D57" s="89"/>
      <c r="E57" s="89"/>
      <c r="F57" s="89"/>
      <c r="G57" s="89"/>
      <c r="H57" s="89"/>
      <c r="I57" s="89"/>
      <c r="J57" s="89"/>
      <c r="K57" s="89"/>
      <c r="L57" s="89"/>
      <c r="M57" s="89"/>
      <c r="N57" s="89"/>
      <c r="O57" s="89"/>
      <c r="P57" s="89"/>
      <c r="Q57" s="89"/>
      <c r="R57" s="89"/>
      <c r="S57" s="89"/>
      <c r="Y57" s="89"/>
      <c r="Z57" s="89"/>
      <c r="AA57" s="89"/>
      <c r="AB57" s="89"/>
      <c r="AC57" s="89"/>
      <c r="AD57" s="89"/>
      <c r="AE57" s="89"/>
      <c r="AF57" s="89"/>
    </row>
    <row r="58" spans="1:32">
      <c r="A58" s="89"/>
      <c r="B58" s="92"/>
      <c r="C58" s="89"/>
      <c r="D58" s="89"/>
      <c r="E58" s="89"/>
      <c r="F58" s="89"/>
      <c r="G58" s="89"/>
      <c r="H58" s="89"/>
      <c r="I58" s="89"/>
      <c r="J58" s="89"/>
      <c r="K58" s="89"/>
      <c r="L58" s="89"/>
      <c r="M58" s="89"/>
      <c r="N58" s="89"/>
      <c r="O58" s="89"/>
      <c r="P58" s="89"/>
      <c r="Q58" s="89"/>
      <c r="R58" s="89"/>
      <c r="S58" s="89"/>
      <c r="Y58" s="89"/>
      <c r="Z58" s="89"/>
      <c r="AA58" s="89"/>
      <c r="AB58" s="89"/>
      <c r="AC58" s="89"/>
      <c r="AD58" s="89"/>
      <c r="AE58" s="89"/>
      <c r="AF58" s="89"/>
    </row>
    <row r="59" spans="1:32">
      <c r="A59" s="89"/>
      <c r="B59" s="92"/>
      <c r="C59" s="89"/>
      <c r="D59" s="89"/>
      <c r="E59" s="89"/>
      <c r="F59" s="89"/>
      <c r="G59" s="89"/>
      <c r="H59" s="89"/>
      <c r="I59" s="89"/>
      <c r="J59" s="89"/>
      <c r="K59" s="89"/>
      <c r="L59" s="89"/>
      <c r="M59" s="89"/>
      <c r="N59" s="89"/>
      <c r="O59" s="89"/>
      <c r="P59" s="89"/>
      <c r="Q59" s="89"/>
      <c r="R59" s="89"/>
      <c r="S59" s="89"/>
      <c r="Y59" s="89"/>
      <c r="Z59" s="89"/>
      <c r="AA59" s="89"/>
      <c r="AB59" s="89"/>
      <c r="AC59" s="89"/>
      <c r="AD59" s="89"/>
      <c r="AE59" s="89"/>
      <c r="AF59" s="89"/>
    </row>
    <row r="60" spans="1:32">
      <c r="A60" s="89"/>
      <c r="B60" s="92"/>
      <c r="C60" s="89"/>
      <c r="D60" s="89"/>
      <c r="E60" s="89"/>
      <c r="F60" s="89"/>
      <c r="G60" s="89"/>
      <c r="H60" s="89"/>
      <c r="I60" s="89"/>
      <c r="J60" s="89"/>
      <c r="K60" s="89"/>
      <c r="L60" s="89"/>
      <c r="M60" s="89"/>
      <c r="N60" s="89"/>
      <c r="O60" s="89"/>
      <c r="P60" s="89"/>
      <c r="Q60" s="89"/>
      <c r="R60" s="89"/>
      <c r="S60" s="89"/>
      <c r="Y60" s="89"/>
      <c r="Z60" s="89"/>
      <c r="AA60" s="89"/>
      <c r="AB60" s="89"/>
      <c r="AC60" s="89"/>
      <c r="AD60" s="89"/>
      <c r="AE60" s="89"/>
      <c r="AF60" s="89"/>
    </row>
    <row r="61" spans="1:32">
      <c r="A61" s="89"/>
      <c r="B61" s="92"/>
      <c r="C61" s="89"/>
      <c r="D61" s="89"/>
      <c r="E61" s="89"/>
      <c r="F61" s="89"/>
      <c r="G61" s="89"/>
      <c r="H61" s="89"/>
      <c r="I61" s="89"/>
      <c r="J61" s="89"/>
      <c r="K61" s="89"/>
      <c r="L61" s="89"/>
      <c r="M61" s="89"/>
      <c r="N61" s="89"/>
      <c r="O61" s="89"/>
      <c r="P61" s="89"/>
      <c r="Q61" s="89"/>
      <c r="R61" s="89"/>
      <c r="S61" s="89"/>
      <c r="Y61" s="89"/>
      <c r="Z61" s="89"/>
      <c r="AA61" s="89"/>
      <c r="AB61" s="89"/>
      <c r="AC61" s="89"/>
      <c r="AD61" s="89"/>
      <c r="AE61" s="89"/>
      <c r="AF61" s="89"/>
    </row>
    <row r="62" spans="1:32">
      <c r="A62" s="89"/>
      <c r="B62" s="92"/>
      <c r="C62" s="89"/>
      <c r="D62" s="89"/>
      <c r="E62" s="89"/>
      <c r="F62" s="89"/>
      <c r="G62" s="89"/>
      <c r="H62" s="89"/>
      <c r="I62" s="89"/>
      <c r="J62" s="89"/>
      <c r="K62" s="89"/>
      <c r="L62" s="89"/>
      <c r="M62" s="89"/>
      <c r="N62" s="89"/>
      <c r="O62" s="89"/>
      <c r="P62" s="89"/>
      <c r="Q62" s="89"/>
      <c r="R62" s="89"/>
      <c r="S62" s="89"/>
      <c r="Y62" s="89"/>
      <c r="Z62" s="89"/>
      <c r="AA62" s="89"/>
      <c r="AB62" s="89"/>
      <c r="AC62" s="89"/>
      <c r="AD62" s="89"/>
      <c r="AE62" s="89"/>
      <c r="AF62" s="89"/>
    </row>
    <row r="63" spans="1:32">
      <c r="A63" s="89"/>
      <c r="B63" s="92"/>
      <c r="C63" s="89"/>
      <c r="D63" s="89"/>
      <c r="E63" s="89"/>
      <c r="F63" s="89"/>
      <c r="G63" s="89"/>
      <c r="H63" s="89"/>
      <c r="I63" s="89"/>
      <c r="J63" s="89"/>
      <c r="K63" s="89"/>
      <c r="L63" s="89"/>
      <c r="M63" s="89"/>
      <c r="N63" s="89"/>
      <c r="O63" s="89"/>
      <c r="P63" s="89"/>
      <c r="Q63" s="89"/>
      <c r="R63" s="89"/>
      <c r="S63" s="89"/>
      <c r="Y63" s="89"/>
      <c r="Z63" s="89"/>
      <c r="AA63" s="89"/>
      <c r="AB63" s="89"/>
      <c r="AC63" s="89"/>
      <c r="AD63" s="89"/>
      <c r="AE63" s="89"/>
      <c r="AF63" s="89"/>
    </row>
    <row r="64" spans="1:32">
      <c r="A64" s="89"/>
      <c r="B64" s="92"/>
      <c r="C64" s="89"/>
      <c r="D64" s="89"/>
      <c r="E64" s="89"/>
      <c r="F64" s="89"/>
      <c r="G64" s="89"/>
      <c r="H64" s="89"/>
      <c r="I64" s="89"/>
      <c r="J64" s="89"/>
      <c r="K64" s="89"/>
      <c r="L64" s="89"/>
      <c r="M64" s="89"/>
      <c r="N64" s="89"/>
      <c r="O64" s="89"/>
      <c r="P64" s="89"/>
      <c r="Q64" s="89"/>
      <c r="R64" s="89"/>
      <c r="S64" s="89"/>
      <c r="Y64" s="89"/>
      <c r="Z64" s="89"/>
      <c r="AA64" s="89"/>
      <c r="AB64" s="89"/>
      <c r="AC64" s="89"/>
      <c r="AD64" s="89"/>
      <c r="AE64" s="89"/>
      <c r="AF64" s="89"/>
    </row>
    <row r="65" spans="1:32">
      <c r="A65" s="89"/>
      <c r="B65" s="92"/>
      <c r="C65" s="89"/>
      <c r="D65" s="89"/>
      <c r="E65" s="89"/>
      <c r="F65" s="89"/>
      <c r="G65" s="89"/>
      <c r="H65" s="89"/>
      <c r="I65" s="89"/>
      <c r="J65" s="89"/>
      <c r="K65" s="89"/>
      <c r="L65" s="89"/>
      <c r="M65" s="89"/>
      <c r="N65" s="89"/>
      <c r="O65" s="89"/>
      <c r="P65" s="89"/>
      <c r="Q65" s="89"/>
      <c r="R65" s="89"/>
      <c r="S65" s="89"/>
      <c r="Y65" s="89"/>
      <c r="Z65" s="89"/>
      <c r="AA65" s="89"/>
      <c r="AB65" s="89"/>
      <c r="AC65" s="89"/>
      <c r="AD65" s="89"/>
      <c r="AE65" s="89"/>
      <c r="AF65" s="89"/>
    </row>
    <row r="66" spans="1:32">
      <c r="A66" s="89"/>
      <c r="B66" s="92"/>
      <c r="C66" s="89"/>
      <c r="D66" s="89"/>
      <c r="E66" s="89"/>
      <c r="F66" s="89"/>
      <c r="G66" s="89"/>
      <c r="H66" s="89"/>
      <c r="I66" s="89"/>
      <c r="J66" s="89"/>
      <c r="K66" s="89"/>
      <c r="L66" s="89"/>
      <c r="M66" s="89"/>
      <c r="N66" s="89"/>
      <c r="O66" s="89"/>
      <c r="P66" s="89"/>
      <c r="Q66" s="89"/>
      <c r="R66" s="89"/>
      <c r="S66" s="89"/>
      <c r="Y66" s="89"/>
      <c r="Z66" s="89"/>
      <c r="AA66" s="89"/>
      <c r="AB66" s="89"/>
      <c r="AC66" s="89"/>
      <c r="AD66" s="89"/>
      <c r="AE66" s="89"/>
      <c r="AF66" s="89"/>
    </row>
    <row r="67" spans="1:32">
      <c r="A67" s="89"/>
      <c r="B67" s="92"/>
      <c r="C67" s="89"/>
      <c r="D67" s="89"/>
      <c r="E67" s="89"/>
      <c r="F67" s="89"/>
      <c r="G67" s="89"/>
      <c r="H67" s="89"/>
      <c r="I67" s="89"/>
      <c r="J67" s="89"/>
      <c r="K67" s="89"/>
      <c r="L67" s="89"/>
      <c r="M67" s="89"/>
      <c r="N67" s="89"/>
      <c r="O67" s="89"/>
      <c r="P67" s="89"/>
      <c r="Q67" s="89"/>
      <c r="R67" s="89"/>
      <c r="S67" s="89"/>
      <c r="Y67" s="89"/>
      <c r="Z67" s="89"/>
      <c r="AA67" s="89"/>
      <c r="AB67" s="89"/>
      <c r="AC67" s="89"/>
      <c r="AD67" s="89"/>
      <c r="AE67" s="89"/>
      <c r="AF67" s="89"/>
    </row>
    <row r="68" spans="1:32">
      <c r="A68" s="89"/>
      <c r="B68" s="92"/>
      <c r="C68" s="89"/>
      <c r="D68" s="89"/>
      <c r="E68" s="89"/>
      <c r="F68" s="89"/>
      <c r="G68" s="89"/>
      <c r="H68" s="89"/>
      <c r="I68" s="89"/>
      <c r="J68" s="89"/>
      <c r="K68" s="89"/>
      <c r="L68" s="89"/>
      <c r="M68" s="89"/>
      <c r="N68" s="89"/>
      <c r="O68" s="89"/>
      <c r="P68" s="89"/>
      <c r="Q68" s="89"/>
      <c r="R68" s="89"/>
      <c r="S68" s="89"/>
      <c r="Y68" s="89"/>
      <c r="Z68" s="89"/>
      <c r="AA68" s="89"/>
      <c r="AB68" s="89"/>
      <c r="AC68" s="89"/>
      <c r="AD68" s="89"/>
      <c r="AE68" s="89"/>
      <c r="AF68" s="89"/>
    </row>
    <row r="69" spans="1:32">
      <c r="A69" s="89"/>
      <c r="B69" s="92"/>
      <c r="C69" s="89"/>
      <c r="D69" s="89"/>
      <c r="E69" s="89"/>
      <c r="F69" s="89"/>
      <c r="G69" s="89"/>
      <c r="H69" s="89"/>
      <c r="I69" s="89"/>
      <c r="J69" s="89"/>
      <c r="K69" s="89"/>
      <c r="L69" s="89"/>
      <c r="M69" s="89"/>
      <c r="N69" s="89"/>
      <c r="O69" s="89"/>
      <c r="P69" s="89"/>
      <c r="Q69" s="89"/>
      <c r="R69" s="89"/>
      <c r="S69" s="89"/>
      <c r="Y69" s="89"/>
      <c r="Z69" s="89"/>
      <c r="AA69" s="89"/>
      <c r="AB69" s="89"/>
      <c r="AC69" s="89"/>
      <c r="AD69" s="89"/>
      <c r="AE69" s="89"/>
      <c r="AF69" s="89"/>
    </row>
    <row r="70" spans="1:32">
      <c r="A70" s="89"/>
      <c r="B70" s="92"/>
      <c r="C70" s="89"/>
      <c r="D70" s="89"/>
      <c r="E70" s="89"/>
      <c r="F70" s="89"/>
      <c r="G70" s="89"/>
      <c r="H70" s="89"/>
      <c r="I70" s="89"/>
      <c r="J70" s="89"/>
      <c r="K70" s="89"/>
      <c r="L70" s="89"/>
      <c r="M70" s="89"/>
      <c r="N70" s="89"/>
      <c r="O70" s="89"/>
      <c r="P70" s="89"/>
      <c r="Q70" s="89"/>
      <c r="R70" s="89"/>
      <c r="S70" s="89"/>
      <c r="Y70" s="89"/>
      <c r="Z70" s="89"/>
      <c r="AA70" s="89"/>
      <c r="AB70" s="89"/>
      <c r="AC70" s="89"/>
      <c r="AD70" s="89"/>
      <c r="AE70" s="89"/>
      <c r="AF70" s="89"/>
    </row>
    <row r="71" spans="1:32">
      <c r="A71" s="89"/>
      <c r="B71" s="92"/>
      <c r="C71" s="89"/>
      <c r="D71" s="89"/>
      <c r="E71" s="89"/>
      <c r="F71" s="89"/>
      <c r="G71" s="89"/>
      <c r="H71" s="89"/>
      <c r="I71" s="89"/>
      <c r="J71" s="89"/>
      <c r="K71" s="89"/>
      <c r="L71" s="89"/>
      <c r="M71" s="89"/>
      <c r="N71" s="89"/>
      <c r="O71" s="89"/>
      <c r="P71" s="89"/>
      <c r="Q71" s="89"/>
      <c r="R71" s="89"/>
      <c r="S71" s="89"/>
      <c r="Y71" s="89"/>
      <c r="Z71" s="89"/>
      <c r="AA71" s="89"/>
      <c r="AB71" s="89"/>
      <c r="AC71" s="89"/>
      <c r="AD71" s="89"/>
      <c r="AE71" s="89"/>
      <c r="AF71" s="89"/>
    </row>
    <row r="72" spans="1:32">
      <c r="A72" s="89"/>
      <c r="B72" s="92"/>
      <c r="C72" s="89"/>
      <c r="D72" s="89"/>
      <c r="E72" s="89"/>
      <c r="F72" s="89"/>
      <c r="G72" s="89"/>
      <c r="H72" s="89"/>
      <c r="I72" s="89"/>
      <c r="J72" s="89"/>
      <c r="K72" s="89"/>
      <c r="L72" s="89"/>
      <c r="M72" s="89"/>
      <c r="N72" s="89"/>
      <c r="O72" s="89"/>
      <c r="P72" s="89"/>
      <c r="Q72" s="89"/>
      <c r="R72" s="89"/>
      <c r="S72" s="89"/>
      <c r="Y72" s="89"/>
      <c r="Z72" s="89"/>
      <c r="AA72" s="89"/>
      <c r="AB72" s="89"/>
      <c r="AC72" s="89"/>
      <c r="AD72" s="89"/>
      <c r="AE72" s="89"/>
      <c r="AF72" s="89"/>
    </row>
    <row r="73" spans="1:32">
      <c r="A73" s="89"/>
      <c r="B73" s="92"/>
      <c r="C73" s="89"/>
      <c r="D73" s="89"/>
      <c r="E73" s="89"/>
      <c r="F73" s="89"/>
      <c r="G73" s="89"/>
      <c r="H73" s="89"/>
      <c r="I73" s="89"/>
      <c r="J73" s="89"/>
      <c r="K73" s="89"/>
      <c r="L73" s="89"/>
      <c r="M73" s="89"/>
      <c r="N73" s="89"/>
      <c r="O73" s="89"/>
      <c r="P73" s="89"/>
      <c r="Q73" s="89"/>
      <c r="R73" s="89"/>
      <c r="S73" s="89"/>
      <c r="Y73" s="89"/>
      <c r="Z73" s="89"/>
      <c r="AA73" s="89"/>
      <c r="AB73" s="89"/>
      <c r="AC73" s="89"/>
      <c r="AD73" s="89"/>
      <c r="AE73" s="89"/>
      <c r="AF73" s="89"/>
    </row>
    <row r="74" spans="1:32">
      <c r="A74" s="89"/>
      <c r="B74" s="92"/>
      <c r="C74" s="89"/>
      <c r="D74" s="89"/>
      <c r="E74" s="89"/>
      <c r="F74" s="89"/>
      <c r="G74" s="89"/>
      <c r="H74" s="89"/>
      <c r="I74" s="89"/>
      <c r="J74" s="89"/>
      <c r="K74" s="89"/>
      <c r="L74" s="89"/>
      <c r="M74" s="89"/>
      <c r="N74" s="89"/>
      <c r="O74" s="89"/>
      <c r="P74" s="89"/>
      <c r="Q74" s="89"/>
      <c r="R74" s="89"/>
      <c r="S74" s="89"/>
      <c r="Y74" s="89"/>
      <c r="Z74" s="89"/>
      <c r="AA74" s="89"/>
      <c r="AB74" s="89"/>
      <c r="AC74" s="89"/>
      <c r="AD74" s="89"/>
      <c r="AE74" s="89"/>
      <c r="AF74" s="89"/>
    </row>
    <row r="75" spans="1:32">
      <c r="A75" s="89"/>
      <c r="B75" s="92"/>
      <c r="C75" s="89"/>
      <c r="D75" s="89"/>
      <c r="E75" s="89"/>
      <c r="F75" s="89"/>
      <c r="G75" s="89"/>
      <c r="H75" s="89"/>
      <c r="I75" s="89"/>
      <c r="J75" s="89"/>
      <c r="K75" s="89"/>
      <c r="L75" s="89"/>
      <c r="M75" s="89"/>
      <c r="N75" s="89"/>
      <c r="O75" s="89"/>
      <c r="P75" s="89"/>
      <c r="Q75" s="89"/>
      <c r="R75" s="89"/>
      <c r="S75" s="89"/>
      <c r="Y75" s="89"/>
      <c r="Z75" s="89"/>
      <c r="AA75" s="89"/>
      <c r="AB75" s="89"/>
      <c r="AC75" s="89"/>
      <c r="AD75" s="89"/>
      <c r="AE75" s="89"/>
      <c r="AF75" s="89"/>
    </row>
    <row r="76" spans="1:32">
      <c r="A76" s="89"/>
      <c r="B76" s="89"/>
      <c r="C76" s="89"/>
      <c r="D76" s="89"/>
      <c r="E76" s="89"/>
      <c r="F76" s="89"/>
      <c r="G76" s="89"/>
      <c r="H76" s="89"/>
      <c r="I76" s="89"/>
      <c r="J76" s="89"/>
      <c r="K76" s="89"/>
      <c r="L76" s="89"/>
      <c r="M76" s="89"/>
      <c r="N76" s="89"/>
      <c r="O76" s="89"/>
      <c r="P76" s="89"/>
      <c r="Q76" s="89"/>
      <c r="R76" s="89"/>
      <c r="S76" s="89"/>
      <c r="Y76" s="89"/>
      <c r="Z76" s="89"/>
      <c r="AA76" s="89"/>
      <c r="AB76" s="89"/>
      <c r="AC76" s="89"/>
      <c r="AD76" s="89"/>
      <c r="AE76" s="89"/>
      <c r="AF76" s="89"/>
    </row>
  </sheetData>
  <mergeCells count="21">
    <mergeCell ref="C13:D13"/>
    <mergeCell ref="E13:F13"/>
    <mergeCell ref="G13:H13"/>
    <mergeCell ref="N13:P13"/>
    <mergeCell ref="Q13:S13"/>
    <mergeCell ref="T13:U13"/>
    <mergeCell ref="AA13:AC13"/>
    <mergeCell ref="A13:A14"/>
    <mergeCell ref="B13:B14"/>
    <mergeCell ref="I11:I12"/>
    <mergeCell ref="I13:I14"/>
    <mergeCell ref="J13:J14"/>
    <mergeCell ref="K13:K14"/>
    <mergeCell ref="Y13:Y14"/>
    <mergeCell ref="Z13:Z14"/>
    <mergeCell ref="AD13:AD14"/>
    <mergeCell ref="AE13:AE14"/>
    <mergeCell ref="AF13:AF14"/>
    <mergeCell ref="A11:H12"/>
    <mergeCell ref="Y11:AF12"/>
    <mergeCell ref="N11:S12"/>
  </mergeCells>
  <pageMargins left="0.699305555555556" right="0.699305555555556" top="0.75" bottom="0.75" header="0.3" footer="0.3"/>
  <pageSetup paperSize="9" orientation="portrait"/>
  <headerFooter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9" name="Button 1" r:id="rId4">
              <controlPr defaultSize="0">
                <anchor moveWithCells="1">
                  <from>
                    <xdr:col>12</xdr:col>
                    <xdr:colOff>295275</xdr:colOff>
                    <xdr:row>7</xdr:row>
                    <xdr:rowOff>57150</xdr:rowOff>
                  </from>
                  <to>
                    <xdr:col>13</xdr:col>
                    <xdr:colOff>657225</xdr:colOff>
                    <xdr:row>8</xdr:row>
                    <xdr:rowOff>174625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0" name="Button 2" r:id="rId5">
              <controlPr defaultSize="0">
                <anchor moveWithCells="1">
                  <from>
                    <xdr:col>14</xdr:col>
                    <xdr:colOff>352425</xdr:colOff>
                    <xdr:row>4</xdr:row>
                    <xdr:rowOff>139065</xdr:rowOff>
                  </from>
                  <to>
                    <xdr:col>15</xdr:col>
                    <xdr:colOff>628650</xdr:colOff>
                    <xdr:row>6</xdr:row>
                    <xdr:rowOff>41275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1" name="Button 3" r:id="rId6">
              <controlPr defaultSize="0">
                <anchor moveWithCells="1">
                  <from>
                    <xdr:col>12</xdr:col>
                    <xdr:colOff>304800</xdr:colOff>
                    <xdr:row>10</xdr:row>
                    <xdr:rowOff>8890</xdr:rowOff>
                  </from>
                  <to>
                    <xdr:col>14</xdr:col>
                    <xdr:colOff>247650</xdr:colOff>
                    <xdr:row>11</xdr:row>
                    <xdr:rowOff>127000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2" name="Button 4" r:id="rId7">
              <controlPr defaultSize="0">
                <anchor moveWithCells="1">
                  <from>
                    <xdr:col>14</xdr:col>
                    <xdr:colOff>352425</xdr:colOff>
                    <xdr:row>7</xdr:row>
                    <xdr:rowOff>90805</xdr:rowOff>
                  </from>
                  <to>
                    <xdr:col>16</xdr:col>
                    <xdr:colOff>209550</xdr:colOff>
                    <xdr:row>8</xdr:row>
                    <xdr:rowOff>174625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3" name="Button 5" r:id="rId8">
              <controlPr defaultSize="0">
                <anchor moveWithCells="1" sizeWithCells="1">
                  <from>
                    <xdr:col>12</xdr:col>
                    <xdr:colOff>266700</xdr:colOff>
                    <xdr:row>4</xdr:row>
                    <xdr:rowOff>139065</xdr:rowOff>
                  </from>
                  <to>
                    <xdr:col>14</xdr:col>
                    <xdr:colOff>123825</xdr:colOff>
                    <xdr:row>6</xdr:row>
                    <xdr:rowOff>33020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4" name="Group Box 6" r:id="rId9">
              <controlPr defaultSize="0">
                <anchor moveWithCells="1">
                  <from>
                    <xdr:col>12</xdr:col>
                    <xdr:colOff>0</xdr:colOff>
                    <xdr:row>3</xdr:row>
                    <xdr:rowOff>123825</xdr:rowOff>
                  </from>
                  <to>
                    <xdr:col>16</xdr:col>
                    <xdr:colOff>419100</xdr:colOff>
                    <xdr:row>13</xdr:row>
                    <xdr:rowOff>123825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>
  <sheetPr codeName="Sheet9"/>
  <dimension ref="A1:G31"/>
  <sheetViews>
    <sheetView workbookViewId="0">
      <selection activeCell="E25" sqref="E25:E30"/>
    </sheetView>
  </sheetViews>
  <sheetFormatPr defaultColWidth="9" defaultRowHeight="14.25" outlineLevelCol="6"/>
  <sheetData>
    <row r="1" spans="1:2">
      <c r="A1" s="1" t="s">
        <v>149</v>
      </c>
      <c r="B1">
        <v>3</v>
      </c>
    </row>
    <row r="2" spans="1:2">
      <c r="A2" s="1" t="s">
        <v>150</v>
      </c>
      <c r="B2" s="1">
        <v>5</v>
      </c>
    </row>
    <row r="7" spans="7:7">
      <c r="G7" s="1"/>
    </row>
    <row r="11" spans="1:6">
      <c r="A11" s="4" t="s">
        <v>87</v>
      </c>
      <c r="B11" s="4" t="s">
        <v>151</v>
      </c>
      <c r="C11" s="72" t="s">
        <v>92</v>
      </c>
      <c r="D11" s="73"/>
      <c r="E11" s="74" t="s">
        <v>152</v>
      </c>
      <c r="F11" s="74" t="s">
        <v>95</v>
      </c>
    </row>
    <row r="12" ht="15" spans="1:6">
      <c r="A12" s="4"/>
      <c r="B12" s="4"/>
      <c r="C12" s="75" t="s">
        <v>97</v>
      </c>
      <c r="D12" s="75" t="s">
        <v>98</v>
      </c>
      <c r="E12" s="76"/>
      <c r="F12" s="76"/>
    </row>
    <row r="13" ht="15.75" spans="1:6">
      <c r="A13" s="77" t="s">
        <v>153</v>
      </c>
      <c r="B13" s="77" t="s">
        <v>154</v>
      </c>
      <c r="C13" s="78">
        <v>0.18</v>
      </c>
      <c r="D13" s="79" t="s">
        <v>155</v>
      </c>
      <c r="E13" s="80">
        <v>0.01</v>
      </c>
      <c r="F13" s="81">
        <v>0.0127</v>
      </c>
    </row>
    <row r="14" ht="15" spans="1:6">
      <c r="A14" s="77" t="s">
        <v>153</v>
      </c>
      <c r="B14" s="77" t="s">
        <v>156</v>
      </c>
      <c r="C14" s="82">
        <v>0.3</v>
      </c>
      <c r="D14" s="79" t="s">
        <v>155</v>
      </c>
      <c r="E14" s="83"/>
      <c r="F14" s="84"/>
    </row>
    <row r="15" ht="15" spans="1:6">
      <c r="A15" s="77" t="s">
        <v>153</v>
      </c>
      <c r="B15" s="77" t="s">
        <v>157</v>
      </c>
      <c r="C15" s="82">
        <v>0.45</v>
      </c>
      <c r="D15" s="79" t="s">
        <v>155</v>
      </c>
      <c r="E15" s="83"/>
      <c r="F15" s="84"/>
    </row>
    <row r="16" ht="15" spans="1:6">
      <c r="A16" s="77" t="s">
        <v>153</v>
      </c>
      <c r="B16" s="77" t="s">
        <v>158</v>
      </c>
      <c r="C16" s="82">
        <v>0.62</v>
      </c>
      <c r="D16" s="79" t="s">
        <v>155</v>
      </c>
      <c r="E16" s="83"/>
      <c r="F16" s="84"/>
    </row>
    <row r="17" ht="15" spans="1:6">
      <c r="A17" s="77" t="s">
        <v>153</v>
      </c>
      <c r="B17" s="77" t="s">
        <v>159</v>
      </c>
      <c r="C17" s="82">
        <v>0.79</v>
      </c>
      <c r="D17" s="79">
        <v>0.78</v>
      </c>
      <c r="E17" s="83"/>
      <c r="F17" s="84"/>
    </row>
    <row r="18" ht="15" spans="1:6">
      <c r="A18" s="77" t="s">
        <v>153</v>
      </c>
      <c r="B18" s="77" t="s">
        <v>160</v>
      </c>
      <c r="C18" s="85">
        <v>0.01</v>
      </c>
      <c r="D18" s="79" t="s">
        <v>155</v>
      </c>
      <c r="E18" s="83"/>
      <c r="F18" s="84"/>
    </row>
    <row r="19" ht="15.75" spans="1:6">
      <c r="A19" s="77" t="s">
        <v>161</v>
      </c>
      <c r="B19" s="77" t="s">
        <v>154</v>
      </c>
      <c r="C19" s="78">
        <v>0.13</v>
      </c>
      <c r="D19" s="79" t="s">
        <v>155</v>
      </c>
      <c r="E19" s="83">
        <v>0.03</v>
      </c>
      <c r="F19" s="84">
        <v>0.0411</v>
      </c>
    </row>
    <row r="20" ht="15" spans="1:6">
      <c r="A20" s="77" t="s">
        <v>161</v>
      </c>
      <c r="B20" s="77" t="s">
        <v>156</v>
      </c>
      <c r="C20" s="82">
        <v>0.28</v>
      </c>
      <c r="D20" s="79" t="s">
        <v>155</v>
      </c>
      <c r="E20" s="83"/>
      <c r="F20" s="84"/>
    </row>
    <row r="21" ht="15" spans="1:6">
      <c r="A21" s="77" t="s">
        <v>161</v>
      </c>
      <c r="B21" s="77" t="s">
        <v>157</v>
      </c>
      <c r="C21" s="82">
        <v>0.41</v>
      </c>
      <c r="D21" s="79" t="s">
        <v>155</v>
      </c>
      <c r="E21" s="83"/>
      <c r="F21" s="84"/>
    </row>
    <row r="22" ht="15" spans="1:6">
      <c r="A22" s="77" t="s">
        <v>161</v>
      </c>
      <c r="B22" s="77" t="s">
        <v>158</v>
      </c>
      <c r="C22" s="82">
        <v>0.57</v>
      </c>
      <c r="D22" s="79" t="s">
        <v>155</v>
      </c>
      <c r="E22" s="83"/>
      <c r="F22" s="84"/>
    </row>
    <row r="23" ht="15" spans="1:6">
      <c r="A23" s="77" t="s">
        <v>161</v>
      </c>
      <c r="B23" s="77" t="s">
        <v>159</v>
      </c>
      <c r="C23" s="82">
        <v>0.73</v>
      </c>
      <c r="D23" s="79">
        <v>0.7</v>
      </c>
      <c r="E23" s="83"/>
      <c r="F23" s="84"/>
    </row>
    <row r="24" ht="15" spans="1:6">
      <c r="A24" s="77" t="s">
        <v>161</v>
      </c>
      <c r="B24" s="77" t="s">
        <v>160</v>
      </c>
      <c r="C24" s="85">
        <v>0.03</v>
      </c>
      <c r="D24" s="79" t="s">
        <v>155</v>
      </c>
      <c r="E24" s="83"/>
      <c r="F24" s="84"/>
    </row>
    <row r="25" ht="15.75" spans="1:6">
      <c r="A25" s="77" t="s">
        <v>162</v>
      </c>
      <c r="B25" s="77" t="s">
        <v>154</v>
      </c>
      <c r="C25" s="78">
        <v>0.15</v>
      </c>
      <c r="D25" s="79" t="s">
        <v>155</v>
      </c>
      <c r="E25" s="83">
        <v>0.04</v>
      </c>
      <c r="F25" s="84">
        <v>0.0482</v>
      </c>
    </row>
    <row r="26" ht="15" spans="1:6">
      <c r="A26" s="77" t="s">
        <v>162</v>
      </c>
      <c r="B26" s="77" t="s">
        <v>156</v>
      </c>
      <c r="C26" s="82">
        <v>0.32</v>
      </c>
      <c r="D26" s="79" t="s">
        <v>155</v>
      </c>
      <c r="E26" s="83"/>
      <c r="F26" s="84"/>
    </row>
    <row r="27" ht="15" spans="1:6">
      <c r="A27" s="77" t="s">
        <v>162</v>
      </c>
      <c r="B27" s="77" t="s">
        <v>157</v>
      </c>
      <c r="C27" s="82">
        <v>0.48</v>
      </c>
      <c r="D27" s="79" t="s">
        <v>155</v>
      </c>
      <c r="E27" s="83"/>
      <c r="F27" s="84"/>
    </row>
    <row r="28" ht="15" spans="1:6">
      <c r="A28" s="77" t="s">
        <v>162</v>
      </c>
      <c r="B28" s="77" t="s">
        <v>158</v>
      </c>
      <c r="C28" s="82">
        <v>0.64</v>
      </c>
      <c r="D28" s="79" t="s">
        <v>155</v>
      </c>
      <c r="E28" s="83"/>
      <c r="F28" s="84"/>
    </row>
    <row r="29" ht="15" spans="1:6">
      <c r="A29" s="77" t="s">
        <v>162</v>
      </c>
      <c r="B29" s="77" t="s">
        <v>159</v>
      </c>
      <c r="C29" s="82">
        <v>0.83</v>
      </c>
      <c r="D29" s="79">
        <v>0.79</v>
      </c>
      <c r="E29" s="83"/>
      <c r="F29" s="84"/>
    </row>
    <row r="30" ht="15" spans="1:6">
      <c r="A30" s="77" t="s">
        <v>162</v>
      </c>
      <c r="B30" s="77" t="s">
        <v>160</v>
      </c>
      <c r="C30" s="85">
        <v>0.04</v>
      </c>
      <c r="D30" s="79" t="s">
        <v>155</v>
      </c>
      <c r="E30" s="83"/>
      <c r="F30" s="84"/>
    </row>
    <row r="31" ht="15"/>
  </sheetData>
  <mergeCells count="11">
    <mergeCell ref="C11:D11"/>
    <mergeCell ref="A11:A12"/>
    <mergeCell ref="B11:B12"/>
    <mergeCell ref="E11:E12"/>
    <mergeCell ref="E13:E18"/>
    <mergeCell ref="E19:E24"/>
    <mergeCell ref="E25:E30"/>
    <mergeCell ref="F11:F12"/>
    <mergeCell ref="F13:F18"/>
    <mergeCell ref="F19:F24"/>
    <mergeCell ref="F25:F30"/>
  </mergeCells>
  <pageMargins left="0.699305555555556" right="0.699305555555556" top="0.75" bottom="0.75" header="0.3" footer="0.3"/>
  <headerFooter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4338" name="Button 2" r:id="rId3">
              <controlPr print="0" defaultSize="0">
                <anchor moveWithCells="1" sizeWithCells="1">
                  <from>
                    <xdr:col>6</xdr:col>
                    <xdr:colOff>676275</xdr:colOff>
                    <xdr:row>4</xdr:row>
                    <xdr:rowOff>161925</xdr:rowOff>
                  </from>
                  <to>
                    <xdr:col>8</xdr:col>
                    <xdr:colOff>381000</xdr:colOff>
                    <xdr:row>6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339" name="Button 3" r:id="rId4">
              <controlPr print="0" defaultSize="0">
                <anchor moveWithCells="1" sizeWithCells="1">
                  <from>
                    <xdr:col>6</xdr:col>
                    <xdr:colOff>676275</xdr:colOff>
                    <xdr:row>6</xdr:row>
                    <xdr:rowOff>171450</xdr:rowOff>
                  </from>
                  <to>
                    <xdr:col>8</xdr:col>
                    <xdr:colOff>371475</xdr:colOff>
                    <xdr:row>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340" name="Button 4" r:id="rId5">
              <controlPr print="0" defaultSize="0">
                <anchor moveWithCells="1" sizeWithCells="1">
                  <from>
                    <xdr:col>7</xdr:col>
                    <xdr:colOff>9525</xdr:colOff>
                    <xdr:row>8</xdr:row>
                    <xdr:rowOff>171450</xdr:rowOff>
                  </from>
                  <to>
                    <xdr:col>8</xdr:col>
                    <xdr:colOff>371475</xdr:colOff>
                    <xdr:row>10</xdr:row>
                    <xdr:rowOff>19050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>
  <sheetPr codeName="Sheet4"/>
  <dimension ref="G3:L33"/>
  <sheetViews>
    <sheetView topLeftCell="B1" workbookViewId="0">
      <selection activeCell="H8" sqref="H8"/>
    </sheetView>
  </sheetViews>
  <sheetFormatPr defaultColWidth="9" defaultRowHeight="14.25"/>
  <sheetData>
    <row r="3" spans="7:7">
      <c r="G3" t="s">
        <v>163</v>
      </c>
    </row>
    <row r="33" spans="12:12">
      <c r="L33" s="71"/>
    </row>
  </sheetData>
  <pageMargins left="0.75" right="0.75" top="1" bottom="1" header="0.511805555555556" footer="0.511805555555556"/>
  <headerFooter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097" name="Button 1" r:id="rId3">
              <controlPr print="0" defaultSize="0">
                <anchor moveWithCells="1">
                  <from>
                    <xdr:col>6</xdr:col>
                    <xdr:colOff>123825</xdr:colOff>
                    <xdr:row>4</xdr:row>
                    <xdr:rowOff>47625</xdr:rowOff>
                  </from>
                  <to>
                    <xdr:col>8</xdr:col>
                    <xdr:colOff>85725</xdr:colOff>
                    <xdr:row>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9" name="Button 3" r:id="rId4">
              <controlPr print="0" defaultSize="0">
                <anchor moveWithCells="1">
                  <from>
                    <xdr:col>6</xdr:col>
                    <xdr:colOff>133350</xdr:colOff>
                    <xdr:row>11</xdr:row>
                    <xdr:rowOff>66675</xdr:rowOff>
                  </from>
                  <to>
                    <xdr:col>8</xdr:col>
                    <xdr:colOff>247650</xdr:colOff>
                    <xdr:row>13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0" name="Button 4" r:id="rId5">
              <controlPr print="0" defaultSize="0">
                <anchor moveWithCells="1">
                  <from>
                    <xdr:col>6</xdr:col>
                    <xdr:colOff>104775</xdr:colOff>
                    <xdr:row>18</xdr:row>
                    <xdr:rowOff>104775</xdr:rowOff>
                  </from>
                  <to>
                    <xdr:col>8</xdr:col>
                    <xdr:colOff>9525</xdr:colOff>
                    <xdr:row>20</xdr:row>
                    <xdr:rowOff>47625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1" name="ExportRelationChartCheckBox" r:id="rId6">
              <controlPr defaultSize="0">
                <anchor moveWithCells="1">
                  <from>
                    <xdr:col>8</xdr:col>
                    <xdr:colOff>485775</xdr:colOff>
                    <xdr:row>4</xdr:row>
                    <xdr:rowOff>0</xdr:rowOff>
                  </from>
                  <to>
                    <xdr:col>11</xdr:col>
                    <xdr:colOff>400050</xdr:colOff>
                    <xdr:row>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3" name="Group Box 7" r:id="rId7">
              <controlPr defaultSize="0">
                <anchor moveWithCells="1">
                  <from>
                    <xdr:col>6</xdr:col>
                    <xdr:colOff>85725</xdr:colOff>
                    <xdr:row>3</xdr:row>
                    <xdr:rowOff>85725</xdr:rowOff>
                  </from>
                  <to>
                    <xdr:col>11</xdr:col>
                    <xdr:colOff>457200</xdr:colOff>
                    <xdr:row>8</xdr:row>
                    <xdr:rowOff>114300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4" name="Group Box 8" r:id="rId8">
              <controlPr defaultSize="0">
                <anchor moveWithCells="1">
                  <from>
                    <xdr:col>6</xdr:col>
                    <xdr:colOff>66675</xdr:colOff>
                    <xdr:row>10</xdr:row>
                    <xdr:rowOff>9525</xdr:rowOff>
                  </from>
                  <to>
                    <xdr:col>11</xdr:col>
                    <xdr:colOff>485775</xdr:colOff>
                    <xdr:row>16</xdr:row>
                    <xdr:rowOff>66675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6" name="Button 10" r:id="rId9">
              <controlPr print="0" defaultSize="0">
                <anchor moveWithCells="1">
                  <from>
                    <xdr:col>6</xdr:col>
                    <xdr:colOff>133350</xdr:colOff>
                    <xdr:row>6</xdr:row>
                    <xdr:rowOff>76200</xdr:rowOff>
                  </from>
                  <to>
                    <xdr:col>8</xdr:col>
                    <xdr:colOff>76200</xdr:colOff>
                    <xdr:row>7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7" name="Button 11" r:id="rId10">
              <controlPr print="0" defaultSize="0">
                <anchor moveWithCells="1">
                  <from>
                    <xdr:col>6</xdr:col>
                    <xdr:colOff>161925</xdr:colOff>
                    <xdr:row>13</xdr:row>
                    <xdr:rowOff>123825</xdr:rowOff>
                  </from>
                  <to>
                    <xdr:col>8</xdr:col>
                    <xdr:colOff>228600</xdr:colOff>
                    <xdr:row>15</xdr:row>
                    <xdr:rowOff>47625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8" name="ExportRelationChartCheckBox_Calc" r:id="rId11">
              <controlPr defaultSize="0">
                <anchor moveWithCells="1">
                  <from>
                    <xdr:col>8</xdr:col>
                    <xdr:colOff>419100</xdr:colOff>
                    <xdr:row>11</xdr:row>
                    <xdr:rowOff>57150</xdr:rowOff>
                  </from>
                  <to>
                    <xdr:col>11</xdr:col>
                    <xdr:colOff>333375</xdr:colOff>
                    <xdr:row>13</xdr:row>
                    <xdr:rowOff>66675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>
  <sheetPr codeName="Sheet10"/>
  <dimension ref="A2:B2"/>
  <sheetViews>
    <sheetView workbookViewId="0">
      <selection activeCell="A32" sqref="A32"/>
    </sheetView>
  </sheetViews>
  <sheetFormatPr defaultColWidth="9" defaultRowHeight="14.25" outlineLevelRow="1" outlineLevelCol="1"/>
  <sheetData>
    <row r="2" spans="1:2">
      <c r="A2" t="s">
        <v>18</v>
      </c>
      <c r="B2" t="s">
        <v>19</v>
      </c>
    </row>
  </sheetData>
  <pageMargins left="0.75" right="0.75" top="1" bottom="1" header="0.5" footer="0.5"/>
  <headerFooter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9458" name="Button 2" r:id="rId3">
              <controlPr print="0" defaultSize="0">
                <anchor moveWithCells="1">
                  <from>
                    <xdr:col>7</xdr:col>
                    <xdr:colOff>161925</xdr:colOff>
                    <xdr:row>6</xdr:row>
                    <xdr:rowOff>95250</xdr:rowOff>
                  </from>
                  <to>
                    <xdr:col>9</xdr:col>
                    <xdr:colOff>313055</xdr:colOff>
                    <xdr:row>7</xdr:row>
                    <xdr:rowOff>152400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459" name="Button 3" r:id="rId4">
              <controlPr print="0" defaultSize="0">
                <anchor moveWithCells="1">
                  <from>
                    <xdr:col>7</xdr:col>
                    <xdr:colOff>114300</xdr:colOff>
                    <xdr:row>8</xdr:row>
                    <xdr:rowOff>142875</xdr:rowOff>
                  </from>
                  <to>
                    <xdr:col>9</xdr:col>
                    <xdr:colOff>514350</xdr:colOff>
                    <xdr:row>10</xdr:row>
                    <xdr:rowOff>75565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460" name="Button 4" r:id="rId5">
              <controlPr print="0" defaultSize="0">
                <anchor moveWithCells="1">
                  <from>
                    <xdr:col>7</xdr:col>
                    <xdr:colOff>104775</xdr:colOff>
                    <xdr:row>11</xdr:row>
                    <xdr:rowOff>38100</xdr:rowOff>
                  </from>
                  <to>
                    <xdr:col>9</xdr:col>
                    <xdr:colOff>581025</xdr:colOff>
                    <xdr:row>12</xdr:row>
                    <xdr:rowOff>105410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462" name="Button 6" r:id="rId6">
              <controlPr print="0" defaultSize="0">
                <anchor moveWithCells="1">
                  <from>
                    <xdr:col>7</xdr:col>
                    <xdr:colOff>133350</xdr:colOff>
                    <xdr:row>3</xdr:row>
                    <xdr:rowOff>47625</xdr:rowOff>
                  </from>
                  <to>
                    <xdr:col>10</xdr:col>
                    <xdr:colOff>218440</xdr:colOff>
                    <xdr:row>5</xdr:row>
                    <xdr:rowOff>114300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463" name="Button 7" r:id="rId7">
              <controlPr print="0" defaultSize="0">
                <anchor moveWithCells="1">
                  <from>
                    <xdr:col>9</xdr:col>
                    <xdr:colOff>619125</xdr:colOff>
                    <xdr:row>6</xdr:row>
                    <xdr:rowOff>104775</xdr:rowOff>
                  </from>
                  <to>
                    <xdr:col>11</xdr:col>
                    <xdr:colOff>104775</xdr:colOff>
                    <xdr:row>7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464" name="Button 8" r:id="rId8">
              <controlPr print="0" defaultSize="0">
                <anchor moveWithCells="1">
                  <from>
                    <xdr:col>9</xdr:col>
                    <xdr:colOff>666750</xdr:colOff>
                    <xdr:row>8</xdr:row>
                    <xdr:rowOff>152400</xdr:rowOff>
                  </from>
                  <to>
                    <xdr:col>11</xdr:col>
                    <xdr:colOff>152400</xdr:colOff>
                    <xdr:row>10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465" name="Button 9" r:id="rId9">
              <controlPr print="0" defaultSize="0">
                <anchor moveWithCells="1">
                  <from>
                    <xdr:col>10</xdr:col>
                    <xdr:colOff>76200</xdr:colOff>
                    <xdr:row>11</xdr:row>
                    <xdr:rowOff>47625</xdr:rowOff>
                  </from>
                  <to>
                    <xdr:col>11</xdr:col>
                    <xdr:colOff>247650</xdr:colOff>
                    <xdr:row>12</xdr:row>
                    <xdr:rowOff>76200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>
  <sheetPr codeName="Sheet7"/>
  <dimension ref="A1:S91"/>
  <sheetViews>
    <sheetView workbookViewId="0">
      <selection activeCell="P74" sqref="P74:P79"/>
    </sheetView>
  </sheetViews>
  <sheetFormatPr defaultColWidth="9" defaultRowHeight="14.25"/>
  <cols>
    <col min="3" max="3" width="13.375" customWidth="1"/>
    <col min="4" max="4" width="12.875" customWidth="1"/>
    <col min="6" max="6" width="22.875" customWidth="1"/>
    <col min="10" max="10" width="11.125" customWidth="1"/>
    <col min="15" max="15" width="9.375"/>
    <col min="16" max="16" width="22.875" customWidth="1"/>
  </cols>
  <sheetData>
    <row r="1" spans="1:16">
      <c r="A1" s="1" t="s">
        <v>87</v>
      </c>
      <c r="B1" s="1" t="s">
        <v>164</v>
      </c>
      <c r="C1" s="1" t="s">
        <v>165</v>
      </c>
      <c r="D1" s="1" t="s">
        <v>166</v>
      </c>
      <c r="E1" s="1" t="s">
        <v>167</v>
      </c>
      <c r="F1" s="1" t="s">
        <v>168</v>
      </c>
      <c r="J1" s="1" t="s">
        <v>169</v>
      </c>
      <c r="K1" s="1" t="s">
        <v>87</v>
      </c>
      <c r="L1" s="1" t="s">
        <v>164</v>
      </c>
      <c r="M1" s="1" t="s">
        <v>170</v>
      </c>
      <c r="N1" s="1" t="s">
        <v>171</v>
      </c>
      <c r="O1" s="1" t="s">
        <v>167</v>
      </c>
      <c r="P1" s="1" t="s">
        <v>168</v>
      </c>
    </row>
    <row r="2" spans="1:15">
      <c r="A2" s="70" t="s">
        <v>172</v>
      </c>
      <c r="B2" s="1" t="s">
        <v>155</v>
      </c>
      <c r="C2">
        <v>0</v>
      </c>
      <c r="D2">
        <v>1.28664</v>
      </c>
      <c r="E2">
        <v>0</v>
      </c>
      <c r="F2">
        <v>0</v>
      </c>
      <c r="J2" s="1"/>
      <c r="K2" s="70" t="s">
        <v>172</v>
      </c>
      <c r="L2" s="1" t="s">
        <v>155</v>
      </c>
      <c r="M2">
        <v>0</v>
      </c>
      <c r="N2">
        <v>1.71951</v>
      </c>
      <c r="O2">
        <v>0</v>
      </c>
    </row>
    <row r="3" spans="1:14">
      <c r="A3" s="39" t="s">
        <v>173</v>
      </c>
      <c r="B3" s="70" t="s">
        <v>172</v>
      </c>
      <c r="C3">
        <v>1.23465</v>
      </c>
      <c r="D3">
        <v>1.28664</v>
      </c>
      <c r="E3">
        <v>0.05199</v>
      </c>
      <c r="F3">
        <v>-51.99</v>
      </c>
      <c r="K3" s="39" t="s">
        <v>153</v>
      </c>
      <c r="L3" s="70" t="s">
        <v>172</v>
      </c>
      <c r="M3">
        <v>1.34327</v>
      </c>
      <c r="N3">
        <v>1.71951</v>
      </c>
    </row>
    <row r="4" spans="1:14">
      <c r="A4" s="39" t="s">
        <v>174</v>
      </c>
      <c r="B4" s="70" t="s">
        <v>172</v>
      </c>
      <c r="C4">
        <v>1.21815</v>
      </c>
      <c r="D4">
        <v>1.28664</v>
      </c>
      <c r="E4">
        <v>0.0684899999999999</v>
      </c>
      <c r="F4">
        <v>-68.4899999999999</v>
      </c>
      <c r="K4" s="39" t="s">
        <v>161</v>
      </c>
      <c r="L4" s="39" t="s">
        <v>172</v>
      </c>
      <c r="M4">
        <v>1.36554</v>
      </c>
      <c r="N4">
        <v>1.71951</v>
      </c>
    </row>
    <row r="5" spans="1:14">
      <c r="A5" s="39" t="s">
        <v>175</v>
      </c>
      <c r="B5" s="70" t="s">
        <v>172</v>
      </c>
      <c r="C5">
        <v>1.19995</v>
      </c>
      <c r="D5">
        <v>1.28664</v>
      </c>
      <c r="E5">
        <v>0.0866899999999999</v>
      </c>
      <c r="F5">
        <v>-86.6899999999999</v>
      </c>
      <c r="K5" s="39" t="s">
        <v>162</v>
      </c>
      <c r="L5" s="39" t="s">
        <v>172</v>
      </c>
      <c r="M5">
        <v>1.38873</v>
      </c>
      <c r="N5">
        <v>1.71951</v>
      </c>
    </row>
    <row r="6" spans="1:14">
      <c r="A6" s="39" t="s">
        <v>176</v>
      </c>
      <c r="B6" s="70" t="s">
        <v>172</v>
      </c>
      <c r="C6">
        <v>1.1783</v>
      </c>
      <c r="D6">
        <v>1.28664</v>
      </c>
      <c r="E6">
        <v>0.10834</v>
      </c>
      <c r="F6">
        <v>-108.34</v>
      </c>
      <c r="K6" s="39" t="s">
        <v>177</v>
      </c>
      <c r="L6" s="39" t="s">
        <v>172</v>
      </c>
      <c r="M6">
        <v>1.74934</v>
      </c>
      <c r="N6">
        <v>1.71951</v>
      </c>
    </row>
    <row r="7" spans="1:14">
      <c r="A7" s="39" t="s">
        <v>178</v>
      </c>
      <c r="B7" s="70" t="s">
        <v>172</v>
      </c>
      <c r="C7">
        <v>1.15555</v>
      </c>
      <c r="D7">
        <v>1.28664</v>
      </c>
      <c r="E7">
        <v>0.13109</v>
      </c>
      <c r="F7">
        <v>-131.09</v>
      </c>
      <c r="K7" s="39" t="s">
        <v>179</v>
      </c>
      <c r="L7" s="39" t="s">
        <v>172</v>
      </c>
      <c r="M7">
        <v>1.72875</v>
      </c>
      <c r="N7">
        <v>1.71951</v>
      </c>
    </row>
    <row r="8" spans="1:14">
      <c r="A8" s="39" t="s">
        <v>180</v>
      </c>
      <c r="B8" s="70" t="s">
        <v>172</v>
      </c>
      <c r="C8">
        <v>1.12801</v>
      </c>
      <c r="D8">
        <v>1.28664</v>
      </c>
      <c r="E8">
        <v>0.15863</v>
      </c>
      <c r="F8">
        <v>-158.63</v>
      </c>
      <c r="K8" s="39" t="s">
        <v>181</v>
      </c>
      <c r="L8" s="39" t="s">
        <v>172</v>
      </c>
      <c r="M8">
        <v>1.6987</v>
      </c>
      <c r="N8">
        <v>1.71951</v>
      </c>
    </row>
    <row r="9" spans="11:14">
      <c r="K9" s="39" t="s">
        <v>182</v>
      </c>
      <c r="L9" s="39" t="s">
        <v>172</v>
      </c>
      <c r="M9">
        <v>1.67526</v>
      </c>
      <c r="N9">
        <v>1.71951</v>
      </c>
    </row>
    <row r="10" spans="11:14">
      <c r="K10" s="39" t="s">
        <v>183</v>
      </c>
      <c r="L10" s="39" t="s">
        <v>172</v>
      </c>
      <c r="M10">
        <v>1.66155</v>
      </c>
      <c r="N10">
        <v>1.71951</v>
      </c>
    </row>
    <row r="11" spans="11:14">
      <c r="K11" s="39" t="s">
        <v>184</v>
      </c>
      <c r="L11" s="39" t="s">
        <v>172</v>
      </c>
      <c r="M11">
        <v>1.64923</v>
      </c>
      <c r="N11">
        <v>1.71951</v>
      </c>
    </row>
    <row r="12" spans="1:14">
      <c r="A12" s="39"/>
      <c r="B12" s="70"/>
      <c r="K12" s="70" t="s">
        <v>185</v>
      </c>
      <c r="L12" s="70" t="s">
        <v>183</v>
      </c>
      <c r="M12">
        <v>1.66053</v>
      </c>
      <c r="N12">
        <v>1.72431</v>
      </c>
    </row>
    <row r="13" spans="1:14">
      <c r="A13" s="39"/>
      <c r="B13" s="70"/>
      <c r="K13" s="70" t="s">
        <v>186</v>
      </c>
      <c r="L13" s="70" t="s">
        <v>183</v>
      </c>
      <c r="M13">
        <v>1.66256</v>
      </c>
      <c r="N13">
        <v>1.72352</v>
      </c>
    </row>
    <row r="14" spans="1:14">
      <c r="A14" s="39"/>
      <c r="B14" s="70"/>
      <c r="K14" s="70" t="s">
        <v>187</v>
      </c>
      <c r="L14" s="70" t="s">
        <v>188</v>
      </c>
      <c r="M14">
        <v>1.64823</v>
      </c>
      <c r="N14">
        <v>1.71828</v>
      </c>
    </row>
    <row r="15" spans="1:14">
      <c r="A15" s="70"/>
      <c r="B15" s="70"/>
      <c r="K15" s="70" t="s">
        <v>189</v>
      </c>
      <c r="L15" s="70" t="s">
        <v>187</v>
      </c>
      <c r="M15">
        <v>1.65823</v>
      </c>
      <c r="N15">
        <v>1.71639</v>
      </c>
    </row>
    <row r="18" spans="11:19">
      <c r="K18" s="70"/>
      <c r="L18" s="1"/>
      <c r="R18" s="70"/>
      <c r="S18" s="1"/>
    </row>
    <row r="19" spans="10:19">
      <c r="J19" t="s">
        <v>190</v>
      </c>
      <c r="K19" s="70" t="s">
        <v>172</v>
      </c>
      <c r="L19" s="1" t="s">
        <v>155</v>
      </c>
      <c r="M19">
        <v>0</v>
      </c>
      <c r="N19">
        <v>1.52475</v>
      </c>
      <c r="O19">
        <v>0</v>
      </c>
      <c r="P19">
        <v>0</v>
      </c>
      <c r="R19" s="39"/>
      <c r="S19" s="70"/>
    </row>
    <row r="20" spans="11:19">
      <c r="K20" s="39" t="s">
        <v>191</v>
      </c>
      <c r="L20" s="70" t="s">
        <v>172</v>
      </c>
      <c r="M20">
        <v>1.62039</v>
      </c>
      <c r="N20">
        <v>1.52475</v>
      </c>
      <c r="O20">
        <v>-0.0956399999999999</v>
      </c>
      <c r="P20">
        <v>95.6399999999999</v>
      </c>
      <c r="R20" s="39"/>
      <c r="S20" s="70"/>
    </row>
    <row r="21" spans="11:19">
      <c r="K21" s="39" t="s">
        <v>192</v>
      </c>
      <c r="L21" s="70" t="s">
        <v>172</v>
      </c>
      <c r="M21">
        <v>1.61119</v>
      </c>
      <c r="N21">
        <v>1.52475</v>
      </c>
      <c r="O21">
        <v>-0.0864399999999998</v>
      </c>
      <c r="P21">
        <v>86.4399999999999</v>
      </c>
      <c r="R21" s="39"/>
      <c r="S21" s="70"/>
    </row>
    <row r="22" spans="11:16">
      <c r="K22" s="39" t="s">
        <v>193</v>
      </c>
      <c r="L22" s="70" t="s">
        <v>172</v>
      </c>
      <c r="M22">
        <v>1.58873</v>
      </c>
      <c r="N22">
        <v>1.52475</v>
      </c>
      <c r="O22">
        <v>-0.0639799999999999</v>
      </c>
      <c r="P22">
        <v>63.9799999999999</v>
      </c>
    </row>
    <row r="23" spans="11:16">
      <c r="K23" s="39" t="s">
        <v>173</v>
      </c>
      <c r="L23" s="70" t="s">
        <v>172</v>
      </c>
      <c r="M23">
        <v>1.47234</v>
      </c>
      <c r="N23">
        <v>1.52475</v>
      </c>
      <c r="O23">
        <v>0.0524100000000001</v>
      </c>
      <c r="P23">
        <v>-52.4100000000001</v>
      </c>
    </row>
    <row r="24" spans="11:19">
      <c r="K24" s="39" t="s">
        <v>174</v>
      </c>
      <c r="L24" s="70" t="s">
        <v>172</v>
      </c>
      <c r="M24">
        <v>1.45553</v>
      </c>
      <c r="N24">
        <v>1.52475</v>
      </c>
      <c r="O24">
        <v>0.0692200000000001</v>
      </c>
      <c r="P24">
        <v>-69.2200000000001</v>
      </c>
      <c r="R24" s="70"/>
      <c r="S24" s="1"/>
    </row>
    <row r="25" spans="11:19">
      <c r="K25" s="39" t="s">
        <v>175</v>
      </c>
      <c r="L25" s="70" t="s">
        <v>172</v>
      </c>
      <c r="M25">
        <v>1.43695</v>
      </c>
      <c r="N25">
        <v>1.52475</v>
      </c>
      <c r="O25">
        <v>0.0878000000000001</v>
      </c>
      <c r="P25">
        <v>-87.8000000000001</v>
      </c>
      <c r="R25" s="39"/>
      <c r="S25" s="70"/>
    </row>
    <row r="26" spans="11:19">
      <c r="K26" s="39" t="s">
        <v>176</v>
      </c>
      <c r="L26" s="70" t="s">
        <v>172</v>
      </c>
      <c r="M26">
        <v>1.4153</v>
      </c>
      <c r="N26">
        <v>1.52475</v>
      </c>
      <c r="O26">
        <v>0.10945</v>
      </c>
      <c r="P26">
        <v>-109.45</v>
      </c>
      <c r="R26" s="39"/>
      <c r="S26" s="70"/>
    </row>
    <row r="27" spans="11:19">
      <c r="K27" s="39" t="s">
        <v>178</v>
      </c>
      <c r="L27" s="70" t="s">
        <v>172</v>
      </c>
      <c r="M27">
        <v>1.39268</v>
      </c>
      <c r="N27">
        <v>1.52475</v>
      </c>
      <c r="O27">
        <v>0.13207</v>
      </c>
      <c r="P27">
        <v>-132.07</v>
      </c>
      <c r="R27" s="39"/>
      <c r="S27" s="70"/>
    </row>
    <row r="28" spans="11:16">
      <c r="K28" s="39" t="s">
        <v>180</v>
      </c>
      <c r="L28" s="70" t="s">
        <v>172</v>
      </c>
      <c r="M28">
        <v>1.36552</v>
      </c>
      <c r="N28">
        <v>1.52475</v>
      </c>
      <c r="O28">
        <v>0.15923</v>
      </c>
      <c r="P28">
        <v>-159.23</v>
      </c>
    </row>
    <row r="29" spans="11:12">
      <c r="K29" s="39"/>
      <c r="L29" s="70"/>
    </row>
    <row r="30" spans="11:19">
      <c r="K30" s="39"/>
      <c r="L30" s="70"/>
      <c r="R30" s="70"/>
      <c r="S30" s="1"/>
    </row>
    <row r="31" spans="10:19">
      <c r="J31" t="s">
        <v>194</v>
      </c>
      <c r="K31" s="70" t="s">
        <v>172</v>
      </c>
      <c r="L31" s="1" t="s">
        <v>155</v>
      </c>
      <c r="M31">
        <v>0</v>
      </c>
      <c r="N31">
        <v>1.52444</v>
      </c>
      <c r="O31">
        <v>0</v>
      </c>
      <c r="P31">
        <v>0</v>
      </c>
      <c r="R31" s="39"/>
      <c r="S31" s="70"/>
    </row>
    <row r="32" spans="11:19">
      <c r="K32" s="39" t="s">
        <v>191</v>
      </c>
      <c r="L32" s="70" t="s">
        <v>172</v>
      </c>
      <c r="M32">
        <v>1.62088</v>
      </c>
      <c r="N32">
        <v>1.52444</v>
      </c>
      <c r="O32">
        <v>-0.0964400000000001</v>
      </c>
      <c r="P32">
        <v>96.4400000000001</v>
      </c>
      <c r="R32" s="39"/>
      <c r="S32" s="70"/>
    </row>
    <row r="33" spans="11:19">
      <c r="K33" s="39" t="s">
        <v>192</v>
      </c>
      <c r="L33" s="70" t="s">
        <v>172</v>
      </c>
      <c r="M33">
        <v>1.61166</v>
      </c>
      <c r="N33">
        <v>1.52444</v>
      </c>
      <c r="O33">
        <v>-0.0872200000000001</v>
      </c>
      <c r="P33">
        <v>87.2200000000001</v>
      </c>
      <c r="R33" s="39"/>
      <c r="S33" s="70"/>
    </row>
    <row r="34" spans="11:16">
      <c r="K34" s="39" t="s">
        <v>193</v>
      </c>
      <c r="L34" s="70" t="s">
        <v>172</v>
      </c>
      <c r="M34">
        <v>1.5892</v>
      </c>
      <c r="N34">
        <v>1.52444</v>
      </c>
      <c r="O34">
        <v>-0.0647599999999999</v>
      </c>
      <c r="P34">
        <v>64.7599999999999</v>
      </c>
    </row>
    <row r="35" spans="11:16">
      <c r="K35" s="39" t="s">
        <v>173</v>
      </c>
      <c r="L35" s="70" t="s">
        <v>172</v>
      </c>
      <c r="M35">
        <v>1.47225</v>
      </c>
      <c r="N35">
        <v>1.52444</v>
      </c>
      <c r="O35">
        <v>0.05219</v>
      </c>
      <c r="P35">
        <v>-52.19</v>
      </c>
    </row>
    <row r="36" spans="11:16">
      <c r="K36" s="39" t="s">
        <v>174</v>
      </c>
      <c r="L36" s="70" t="s">
        <v>172</v>
      </c>
      <c r="M36">
        <v>1.45532</v>
      </c>
      <c r="N36">
        <v>1.52444</v>
      </c>
      <c r="O36">
        <v>0.0691200000000001</v>
      </c>
      <c r="P36">
        <v>-69.1200000000001</v>
      </c>
    </row>
    <row r="37" spans="11:16">
      <c r="K37" s="39" t="s">
        <v>175</v>
      </c>
      <c r="L37" s="70" t="s">
        <v>172</v>
      </c>
      <c r="M37">
        <v>1.43683</v>
      </c>
      <c r="N37">
        <v>1.52444</v>
      </c>
      <c r="O37">
        <v>0.08761</v>
      </c>
      <c r="P37">
        <v>-87.61</v>
      </c>
    </row>
    <row r="38" spans="11:16">
      <c r="K38" s="39" t="s">
        <v>176</v>
      </c>
      <c r="L38" s="70" t="s">
        <v>172</v>
      </c>
      <c r="M38">
        <v>1.415</v>
      </c>
      <c r="N38">
        <v>1.52444</v>
      </c>
      <c r="O38">
        <v>0.10944</v>
      </c>
      <c r="P38">
        <v>-109.44</v>
      </c>
    </row>
    <row r="39" spans="11:16">
      <c r="K39" s="39" t="s">
        <v>178</v>
      </c>
      <c r="L39" s="70" t="s">
        <v>172</v>
      </c>
      <c r="M39">
        <v>1.39232</v>
      </c>
      <c r="N39">
        <v>1.52444</v>
      </c>
      <c r="O39">
        <v>0.13212</v>
      </c>
      <c r="P39">
        <v>-132.12</v>
      </c>
    </row>
    <row r="40" spans="11:16">
      <c r="K40" s="39" t="s">
        <v>180</v>
      </c>
      <c r="L40" s="70" t="s">
        <v>172</v>
      </c>
      <c r="M40">
        <v>1.3653</v>
      </c>
      <c r="N40">
        <v>1.52444</v>
      </c>
      <c r="O40">
        <v>0.15914</v>
      </c>
      <c r="P40">
        <v>-159.14</v>
      </c>
    </row>
    <row r="41" spans="11:12">
      <c r="K41" s="39"/>
      <c r="L41" s="70"/>
    </row>
    <row r="42" spans="11:12">
      <c r="K42" s="39"/>
      <c r="L42" s="70"/>
    </row>
    <row r="43" spans="10:16">
      <c r="J43" t="s">
        <v>195</v>
      </c>
      <c r="K43" s="70" t="s">
        <v>172</v>
      </c>
      <c r="L43" s="1" t="s">
        <v>155</v>
      </c>
      <c r="M43">
        <v>0</v>
      </c>
      <c r="N43">
        <v>1.52481</v>
      </c>
      <c r="O43">
        <v>0</v>
      </c>
      <c r="P43">
        <v>0</v>
      </c>
    </row>
    <row r="44" spans="11:16">
      <c r="K44" s="39" t="s">
        <v>191</v>
      </c>
      <c r="L44" s="70" t="s">
        <v>172</v>
      </c>
      <c r="M44">
        <v>1.62043</v>
      </c>
      <c r="N44">
        <v>1.52481</v>
      </c>
      <c r="O44">
        <v>-0.09562</v>
      </c>
      <c r="P44">
        <v>95.62</v>
      </c>
    </row>
    <row r="45" spans="11:16">
      <c r="K45" s="39" t="s">
        <v>192</v>
      </c>
      <c r="L45" s="70" t="s">
        <v>172</v>
      </c>
      <c r="M45">
        <v>1.6112</v>
      </c>
      <c r="N45">
        <v>1.52481</v>
      </c>
      <c r="O45">
        <v>-0.08639</v>
      </c>
      <c r="P45">
        <v>86.39</v>
      </c>
    </row>
    <row r="46" spans="11:16">
      <c r="K46" s="39" t="s">
        <v>193</v>
      </c>
      <c r="L46" s="70" t="s">
        <v>172</v>
      </c>
      <c r="M46">
        <v>1.58879</v>
      </c>
      <c r="N46">
        <v>1.52481</v>
      </c>
      <c r="O46">
        <v>-0.0639799999999999</v>
      </c>
      <c r="P46">
        <v>63.9799999999999</v>
      </c>
    </row>
    <row r="47" spans="11:16">
      <c r="K47" s="39" t="s">
        <v>173</v>
      </c>
      <c r="L47" s="70" t="s">
        <v>172</v>
      </c>
      <c r="M47">
        <v>1.47228</v>
      </c>
      <c r="N47">
        <v>1.52481</v>
      </c>
      <c r="O47">
        <v>0.05253</v>
      </c>
      <c r="P47">
        <v>-52.53</v>
      </c>
    </row>
    <row r="48" spans="11:16">
      <c r="K48" s="39" t="s">
        <v>174</v>
      </c>
      <c r="L48" s="70" t="s">
        <v>172</v>
      </c>
      <c r="M48">
        <v>1.45542</v>
      </c>
      <c r="N48">
        <v>1.52481</v>
      </c>
      <c r="O48">
        <v>0.0693900000000001</v>
      </c>
      <c r="P48">
        <v>-69.3900000000001</v>
      </c>
    </row>
    <row r="49" spans="11:16">
      <c r="K49" s="39" t="s">
        <v>175</v>
      </c>
      <c r="L49" s="70" t="s">
        <v>172</v>
      </c>
      <c r="M49">
        <v>1.43699</v>
      </c>
      <c r="N49">
        <v>1.52481</v>
      </c>
      <c r="O49">
        <v>0.08782</v>
      </c>
      <c r="P49">
        <v>-87.82</v>
      </c>
    </row>
    <row r="50" spans="11:16">
      <c r="K50" s="39" t="s">
        <v>176</v>
      </c>
      <c r="L50" s="70" t="s">
        <v>172</v>
      </c>
      <c r="M50">
        <v>1.41527</v>
      </c>
      <c r="N50">
        <v>1.52481</v>
      </c>
      <c r="O50">
        <v>0.10954</v>
      </c>
      <c r="P50">
        <v>-109.54</v>
      </c>
    </row>
    <row r="51" spans="11:16">
      <c r="K51" s="39" t="s">
        <v>178</v>
      </c>
      <c r="L51" s="70" t="s">
        <v>172</v>
      </c>
      <c r="M51">
        <v>1.39261</v>
      </c>
      <c r="N51">
        <v>1.52481</v>
      </c>
      <c r="O51">
        <v>0.1322</v>
      </c>
      <c r="P51">
        <v>-132.2</v>
      </c>
    </row>
    <row r="52" spans="11:16">
      <c r="K52" s="39" t="s">
        <v>180</v>
      </c>
      <c r="L52" s="70" t="s">
        <v>172</v>
      </c>
      <c r="M52">
        <v>1.36548</v>
      </c>
      <c r="N52">
        <v>1.52481</v>
      </c>
      <c r="O52">
        <v>0.15933</v>
      </c>
      <c r="P52">
        <v>-159.33</v>
      </c>
    </row>
    <row r="53" spans="11:12">
      <c r="K53" s="39"/>
      <c r="L53" s="70"/>
    </row>
    <row r="54" spans="11:12">
      <c r="K54" s="39"/>
      <c r="L54" s="70"/>
    </row>
    <row r="55" spans="10:16">
      <c r="J55" t="s">
        <v>196</v>
      </c>
      <c r="K55" s="39" t="s">
        <v>172</v>
      </c>
      <c r="L55" s="70" t="s">
        <v>155</v>
      </c>
      <c r="M55">
        <v>0</v>
      </c>
      <c r="N55">
        <v>1.28708</v>
      </c>
      <c r="O55">
        <v>0</v>
      </c>
      <c r="P55">
        <v>0</v>
      </c>
    </row>
    <row r="56" spans="11:16">
      <c r="K56" s="39" t="s">
        <v>173</v>
      </c>
      <c r="L56" s="70" t="s">
        <v>172</v>
      </c>
      <c r="M56">
        <v>1.23349</v>
      </c>
      <c r="N56">
        <v>1.28708</v>
      </c>
      <c r="O56">
        <v>0.05359</v>
      </c>
      <c r="P56">
        <v>-53.59</v>
      </c>
    </row>
    <row r="57" spans="11:16">
      <c r="K57" s="39" t="s">
        <v>174</v>
      </c>
      <c r="L57" s="70" t="s">
        <v>172</v>
      </c>
      <c r="M57">
        <v>1.21655</v>
      </c>
      <c r="N57">
        <v>1.28708</v>
      </c>
      <c r="O57">
        <v>0.07053</v>
      </c>
      <c r="P57">
        <v>-70.53</v>
      </c>
    </row>
    <row r="58" spans="11:16">
      <c r="K58" s="39" t="s">
        <v>175</v>
      </c>
      <c r="L58" s="70" t="s">
        <v>172</v>
      </c>
      <c r="M58">
        <v>1.1981</v>
      </c>
      <c r="N58">
        <v>1.28708</v>
      </c>
      <c r="O58">
        <v>0.0889800000000001</v>
      </c>
      <c r="P58">
        <v>-88.9800000000001</v>
      </c>
    </row>
    <row r="59" spans="11:16">
      <c r="K59" s="39" t="s">
        <v>176</v>
      </c>
      <c r="L59" s="70" t="s">
        <v>172</v>
      </c>
      <c r="M59">
        <v>1.17631</v>
      </c>
      <c r="N59">
        <v>1.28708</v>
      </c>
      <c r="O59">
        <v>0.11077</v>
      </c>
      <c r="P59">
        <v>-110.77</v>
      </c>
    </row>
    <row r="60" spans="11:16">
      <c r="K60" s="39" t="s">
        <v>178</v>
      </c>
      <c r="L60" s="70" t="s">
        <v>172</v>
      </c>
      <c r="M60">
        <v>1.15372</v>
      </c>
      <c r="N60">
        <v>1.28708</v>
      </c>
      <c r="O60">
        <v>0.13336</v>
      </c>
      <c r="P60">
        <v>-133.36</v>
      </c>
    </row>
    <row r="61" spans="11:16">
      <c r="K61" s="39" t="s">
        <v>180</v>
      </c>
      <c r="L61" s="70" t="s">
        <v>172</v>
      </c>
      <c r="M61">
        <v>1.12654</v>
      </c>
      <c r="N61">
        <v>1.28708</v>
      </c>
      <c r="O61">
        <v>0.16054</v>
      </c>
      <c r="P61">
        <v>-160.54</v>
      </c>
    </row>
    <row r="64" spans="10:16">
      <c r="J64" t="s">
        <v>197</v>
      </c>
      <c r="K64" s="70" t="s">
        <v>172</v>
      </c>
      <c r="L64" s="1" t="s">
        <v>155</v>
      </c>
      <c r="M64">
        <v>0</v>
      </c>
      <c r="N64">
        <v>1.28664</v>
      </c>
      <c r="O64">
        <v>0</v>
      </c>
      <c r="P64">
        <v>0</v>
      </c>
    </row>
    <row r="65" spans="11:16">
      <c r="K65" s="39" t="s">
        <v>173</v>
      </c>
      <c r="L65" s="70" t="s">
        <v>172</v>
      </c>
      <c r="M65">
        <v>1.23465</v>
      </c>
      <c r="N65">
        <v>1.28664</v>
      </c>
      <c r="O65">
        <v>0.05199</v>
      </c>
      <c r="P65">
        <v>-51.99</v>
      </c>
    </row>
    <row r="66" spans="11:16">
      <c r="K66" s="39" t="s">
        <v>174</v>
      </c>
      <c r="L66" s="70" t="s">
        <v>172</v>
      </c>
      <c r="M66">
        <v>1.21815</v>
      </c>
      <c r="N66">
        <v>1.28664</v>
      </c>
      <c r="O66">
        <v>0.0684899999999999</v>
      </c>
      <c r="P66">
        <v>-68.4899999999999</v>
      </c>
    </row>
    <row r="67" spans="11:16">
      <c r="K67" s="39" t="s">
        <v>175</v>
      </c>
      <c r="L67" s="70" t="s">
        <v>172</v>
      </c>
      <c r="M67">
        <v>1.19995</v>
      </c>
      <c r="N67">
        <v>1.28664</v>
      </c>
      <c r="O67">
        <v>0.0866899999999999</v>
      </c>
      <c r="P67">
        <v>-86.6899999999999</v>
      </c>
    </row>
    <row r="68" spans="11:16">
      <c r="K68" s="39" t="s">
        <v>176</v>
      </c>
      <c r="L68" s="70" t="s">
        <v>172</v>
      </c>
      <c r="M68">
        <v>1.1783</v>
      </c>
      <c r="N68">
        <v>1.28664</v>
      </c>
      <c r="O68">
        <v>0.10834</v>
      </c>
      <c r="P68">
        <v>-108.34</v>
      </c>
    </row>
    <row r="69" spans="11:16">
      <c r="K69" s="39" t="s">
        <v>178</v>
      </c>
      <c r="L69" s="70" t="s">
        <v>172</v>
      </c>
      <c r="M69">
        <v>1.15555</v>
      </c>
      <c r="N69">
        <v>1.28664</v>
      </c>
      <c r="O69">
        <v>0.13109</v>
      </c>
      <c r="P69">
        <v>-131.09</v>
      </c>
    </row>
    <row r="70" spans="11:16">
      <c r="K70" s="39" t="s">
        <v>180</v>
      </c>
      <c r="L70" s="70" t="s">
        <v>172</v>
      </c>
      <c r="M70">
        <v>1.12801</v>
      </c>
      <c r="N70">
        <v>1.28664</v>
      </c>
      <c r="O70">
        <v>0.15863</v>
      </c>
      <c r="P70">
        <v>-158.63</v>
      </c>
    </row>
    <row r="71" spans="11:12">
      <c r="K71" s="39"/>
      <c r="L71" s="70"/>
    </row>
    <row r="72" spans="11:12">
      <c r="K72" s="39"/>
      <c r="L72" s="70"/>
    </row>
    <row r="73" spans="10:16">
      <c r="J73" t="s">
        <v>198</v>
      </c>
      <c r="K73" s="70" t="s">
        <v>172</v>
      </c>
      <c r="L73" s="1" t="s">
        <v>155</v>
      </c>
      <c r="M73">
        <v>0</v>
      </c>
      <c r="N73">
        <v>1.28693</v>
      </c>
      <c r="O73">
        <v>0</v>
      </c>
      <c r="P73">
        <v>0</v>
      </c>
    </row>
    <row r="74" spans="11:16">
      <c r="K74" s="39" t="s">
        <v>173</v>
      </c>
      <c r="L74" s="70" t="s">
        <v>172</v>
      </c>
      <c r="M74">
        <v>1.2334</v>
      </c>
      <c r="N74">
        <v>1.28693</v>
      </c>
      <c r="O74">
        <v>0.0535299999999999</v>
      </c>
      <c r="P74">
        <v>-53.5299999999999</v>
      </c>
    </row>
    <row r="75" spans="11:16">
      <c r="K75" s="39" t="s">
        <v>174</v>
      </c>
      <c r="L75" s="70" t="s">
        <v>172</v>
      </c>
      <c r="M75">
        <v>1.21649</v>
      </c>
      <c r="N75">
        <v>1.28693</v>
      </c>
      <c r="O75">
        <v>0.0704399999999998</v>
      </c>
      <c r="P75">
        <v>-70.4399999999998</v>
      </c>
    </row>
    <row r="76" spans="11:16">
      <c r="K76" s="39" t="s">
        <v>175</v>
      </c>
      <c r="L76" s="70" t="s">
        <v>172</v>
      </c>
      <c r="M76">
        <v>1.19799</v>
      </c>
      <c r="N76">
        <v>1.28693</v>
      </c>
      <c r="O76">
        <v>0.0889399999999998</v>
      </c>
      <c r="P76">
        <v>-88.9399999999998</v>
      </c>
    </row>
    <row r="77" spans="11:16">
      <c r="K77" s="39" t="s">
        <v>176</v>
      </c>
      <c r="L77" s="70" t="s">
        <v>172</v>
      </c>
      <c r="M77">
        <v>1.1762</v>
      </c>
      <c r="N77">
        <v>1.28693</v>
      </c>
      <c r="O77">
        <v>0.11073</v>
      </c>
      <c r="P77">
        <v>-110.73</v>
      </c>
    </row>
    <row r="78" spans="11:16">
      <c r="K78" s="39" t="s">
        <v>178</v>
      </c>
      <c r="L78" s="70" t="s">
        <v>172</v>
      </c>
      <c r="M78">
        <v>1.1536</v>
      </c>
      <c r="N78">
        <v>1.28693</v>
      </c>
      <c r="O78">
        <v>0.13333</v>
      </c>
      <c r="P78">
        <v>-133.33</v>
      </c>
    </row>
    <row r="79" spans="11:16">
      <c r="K79" s="39" t="s">
        <v>180</v>
      </c>
      <c r="L79" s="70" t="s">
        <v>172</v>
      </c>
      <c r="M79">
        <v>1.12639</v>
      </c>
      <c r="N79">
        <v>1.28693</v>
      </c>
      <c r="O79">
        <v>0.16054</v>
      </c>
      <c r="P79">
        <v>-160.54</v>
      </c>
    </row>
    <row r="80" spans="11:12">
      <c r="K80" s="39"/>
      <c r="L80" s="70"/>
    </row>
    <row r="81" spans="11:12">
      <c r="K81" s="39"/>
      <c r="L81" s="70"/>
    </row>
    <row r="82" spans="11:12">
      <c r="K82" s="39"/>
      <c r="L82" s="70"/>
    </row>
    <row r="83" spans="11:12">
      <c r="K83" s="39"/>
      <c r="L83" s="70"/>
    </row>
    <row r="84" spans="11:12">
      <c r="K84" s="39"/>
      <c r="L84" s="70"/>
    </row>
    <row r="85" spans="11:12">
      <c r="K85" s="39"/>
      <c r="L85" s="70"/>
    </row>
    <row r="86" spans="11:12">
      <c r="K86" s="39"/>
      <c r="L86" s="70"/>
    </row>
    <row r="87" spans="11:12">
      <c r="K87" s="39"/>
      <c r="L87" s="70"/>
    </row>
    <row r="88" spans="11:12">
      <c r="K88" s="39"/>
      <c r="L88" s="70"/>
    </row>
    <row r="89" spans="11:12">
      <c r="K89" s="39"/>
      <c r="L89" s="70"/>
    </row>
    <row r="90" spans="11:12">
      <c r="K90" s="39"/>
      <c r="L90" s="70"/>
    </row>
    <row r="91" spans="11:12">
      <c r="K91" s="39"/>
      <c r="L91" s="70"/>
    </row>
  </sheetData>
  <pageMargins left="0.699305555555556" right="0.699305555555556" top="0.75" bottom="0.75" header="0.3" footer="0.3"/>
  <headerFooter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8193" name="Button 1" r:id="rId3">
              <controlPr print="0" defaultSize="0">
                <anchor moveWithCells="1" sizeWithCells="1">
                  <from>
                    <xdr:col>6</xdr:col>
                    <xdr:colOff>619125</xdr:colOff>
                    <xdr:row>6</xdr:row>
                    <xdr:rowOff>171450</xdr:rowOff>
                  </from>
                  <to>
                    <xdr:col>8</xdr:col>
                    <xdr:colOff>257175</xdr:colOff>
                    <xdr:row>8</xdr:row>
                    <xdr:rowOff>47625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194" name="Button 2" r:id="rId4">
              <controlPr print="0" defaultSize="0">
                <anchor moveWithCells="1" sizeWithCells="1">
                  <from>
                    <xdr:col>6</xdr:col>
                    <xdr:colOff>647700</xdr:colOff>
                    <xdr:row>4</xdr:row>
                    <xdr:rowOff>85725</xdr:rowOff>
                  </from>
                  <to>
                    <xdr:col>8</xdr:col>
                    <xdr:colOff>609600</xdr:colOff>
                    <xdr:row>5</xdr:row>
                    <xdr:rowOff>152400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>
  <sheetPr codeName="Sheet3"/>
  <dimension ref="A1:F11"/>
  <sheetViews>
    <sheetView workbookViewId="0">
      <selection activeCell="J2" sqref="J2"/>
    </sheetView>
  </sheetViews>
  <sheetFormatPr defaultColWidth="9" defaultRowHeight="14.25" outlineLevelCol="5"/>
  <sheetData>
    <row r="1" spans="2:6">
      <c r="B1" t="s">
        <v>98</v>
      </c>
      <c r="C1" t="s">
        <v>91</v>
      </c>
      <c r="E1" t="s">
        <v>98</v>
      </c>
      <c r="F1" t="s">
        <v>91</v>
      </c>
    </row>
    <row r="2" spans="1:6">
      <c r="A2" t="s">
        <v>199</v>
      </c>
      <c r="B2">
        <v>0.97</v>
      </c>
      <c r="C2">
        <v>2.342</v>
      </c>
      <c r="D2" t="s">
        <v>199</v>
      </c>
      <c r="E2">
        <v>0.97</v>
      </c>
      <c r="F2">
        <v>2.342</v>
      </c>
    </row>
    <row r="3" spans="1:6">
      <c r="A3" t="s">
        <v>200</v>
      </c>
      <c r="B3">
        <v>1.28</v>
      </c>
      <c r="C3">
        <v>3.079</v>
      </c>
      <c r="D3" t="s">
        <v>200</v>
      </c>
      <c r="E3">
        <v>1.28</v>
      </c>
      <c r="F3">
        <v>3.079</v>
      </c>
    </row>
    <row r="4" spans="1:6">
      <c r="A4" t="s">
        <v>201</v>
      </c>
      <c r="B4">
        <v>1.64</v>
      </c>
      <c r="C4">
        <v>4.008</v>
      </c>
      <c r="D4" t="s">
        <v>201</v>
      </c>
      <c r="E4">
        <v>1.64</v>
      </c>
      <c r="F4">
        <v>4.008</v>
      </c>
    </row>
    <row r="5" spans="1:6">
      <c r="A5" t="s">
        <v>202</v>
      </c>
      <c r="B5">
        <v>2.03</v>
      </c>
      <c r="C5">
        <v>5.16</v>
      </c>
      <c r="D5" t="s">
        <v>202</v>
      </c>
      <c r="E5">
        <v>5</v>
      </c>
      <c r="F5">
        <v>5.16</v>
      </c>
    </row>
    <row r="6" spans="1:6">
      <c r="A6" t="s">
        <v>203</v>
      </c>
      <c r="B6">
        <v>2.5</v>
      </c>
      <c r="C6">
        <v>5.953</v>
      </c>
      <c r="D6" t="s">
        <v>203</v>
      </c>
      <c r="E6">
        <v>2.5</v>
      </c>
      <c r="F6">
        <v>5.953</v>
      </c>
    </row>
    <row r="7" spans="1:6">
      <c r="A7" t="s">
        <v>204</v>
      </c>
      <c r="B7">
        <v>2.8</v>
      </c>
      <c r="C7">
        <v>6.742</v>
      </c>
      <c r="D7" t="s">
        <v>204</v>
      </c>
      <c r="E7">
        <v>2.8</v>
      </c>
      <c r="F7">
        <v>6.742</v>
      </c>
    </row>
    <row r="8" spans="1:6">
      <c r="A8" t="s">
        <v>205</v>
      </c>
      <c r="B8">
        <v>3.28</v>
      </c>
      <c r="C8">
        <v>7.048</v>
      </c>
      <c r="D8" t="s">
        <v>205</v>
      </c>
      <c r="E8">
        <v>3.28</v>
      </c>
      <c r="F8">
        <v>7.048</v>
      </c>
    </row>
    <row r="9" spans="1:6">
      <c r="A9" t="s">
        <v>206</v>
      </c>
      <c r="B9">
        <v>3.1</v>
      </c>
      <c r="C9">
        <v>7.268</v>
      </c>
      <c r="D9" t="s">
        <v>206</v>
      </c>
      <c r="E9">
        <v>3.1</v>
      </c>
      <c r="F9">
        <v>7.268</v>
      </c>
    </row>
    <row r="10" spans="1:6">
      <c r="A10" t="s">
        <v>207</v>
      </c>
      <c r="B10">
        <v>2.77</v>
      </c>
      <c r="C10">
        <v>6.793</v>
      </c>
      <c r="D10" t="s">
        <v>207</v>
      </c>
      <c r="E10">
        <v>2.77</v>
      </c>
      <c r="F10">
        <v>6.793</v>
      </c>
    </row>
    <row r="11" spans="1:6">
      <c r="A11" t="s">
        <v>208</v>
      </c>
      <c r="B11">
        <v>2.8</v>
      </c>
      <c r="C11">
        <v>6.702</v>
      </c>
      <c r="D11" t="s">
        <v>208</v>
      </c>
      <c r="E11">
        <v>2.8</v>
      </c>
      <c r="F11">
        <v>6.702</v>
      </c>
    </row>
  </sheetData>
  <pageMargins left="0.75" right="0.75" top="1" bottom="1" header="0.511805555555556" footer="0.511805555555556"/>
  <headerFooter/>
  <drawing r:id="rId1"/>
</worksheet>
</file>

<file path=xl/worksheets/sheet1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>
  <sheetPr codeName="Sheet12"/>
  <dimension ref="B2:K7"/>
  <sheetViews>
    <sheetView workbookViewId="0">
      <selection activeCell="B2" sqref="B2:K7"/>
    </sheetView>
  </sheetViews>
  <sheetFormatPr defaultColWidth="9" defaultRowHeight="14.25" outlineLevelRow="6"/>
  <sheetData>
    <row r="2" spans="2:11">
      <c r="B2">
        <v>1.52475</v>
      </c>
      <c r="C2">
        <v>1.62039</v>
      </c>
      <c r="D2">
        <v>1.61119</v>
      </c>
      <c r="E2">
        <v>1.58873</v>
      </c>
      <c r="F2">
        <v>1.47234</v>
      </c>
      <c r="G2">
        <v>1.45553</v>
      </c>
      <c r="H2">
        <v>1.43695</v>
      </c>
      <c r="I2">
        <v>1.4153</v>
      </c>
      <c r="J2">
        <v>1.39268</v>
      </c>
      <c r="K2">
        <v>1.36552</v>
      </c>
    </row>
    <row r="3" spans="2:11">
      <c r="B3">
        <v>1.52444</v>
      </c>
      <c r="C3">
        <v>1.62088</v>
      </c>
      <c r="D3">
        <v>1.61166</v>
      </c>
      <c r="E3">
        <v>1.5892</v>
      </c>
      <c r="F3">
        <v>1.47225</v>
      </c>
      <c r="G3">
        <v>1.45532</v>
      </c>
      <c r="H3">
        <v>1.43683</v>
      </c>
      <c r="I3">
        <v>1.415</v>
      </c>
      <c r="J3">
        <v>1.39232</v>
      </c>
      <c r="K3">
        <v>1.3653</v>
      </c>
    </row>
    <row r="4" spans="2:11">
      <c r="B4">
        <v>1.52481</v>
      </c>
      <c r="C4">
        <v>1.62043</v>
      </c>
      <c r="D4">
        <v>1.6112</v>
      </c>
      <c r="E4">
        <v>1.58879</v>
      </c>
      <c r="F4">
        <v>1.47228</v>
      </c>
      <c r="G4">
        <v>1.45542</v>
      </c>
      <c r="H4">
        <v>1.43699</v>
      </c>
      <c r="I4">
        <v>1.41527</v>
      </c>
      <c r="J4">
        <v>1.39261</v>
      </c>
      <c r="K4">
        <v>1.36548</v>
      </c>
    </row>
    <row r="5" spans="5:11">
      <c r="E5">
        <v>1.28708</v>
      </c>
      <c r="F5">
        <v>1.23349</v>
      </c>
      <c r="G5">
        <v>1.21655</v>
      </c>
      <c r="H5">
        <v>1.1981</v>
      </c>
      <c r="I5">
        <v>1.17631</v>
      </c>
      <c r="J5">
        <v>1.15372</v>
      </c>
      <c r="K5">
        <v>1.12654</v>
      </c>
    </row>
    <row r="6" spans="5:11">
      <c r="E6">
        <v>1.28664</v>
      </c>
      <c r="F6">
        <v>1.23465</v>
      </c>
      <c r="G6">
        <v>1.21815</v>
      </c>
      <c r="H6">
        <v>1.19995</v>
      </c>
      <c r="I6">
        <v>1.1783</v>
      </c>
      <c r="J6">
        <v>1.15555</v>
      </c>
      <c r="K6">
        <v>1.12801</v>
      </c>
    </row>
    <row r="7" spans="5:11">
      <c r="E7">
        <v>1.28693</v>
      </c>
      <c r="F7">
        <v>1.2334</v>
      </c>
      <c r="G7">
        <v>1.21649</v>
      </c>
      <c r="H7">
        <v>1.19799</v>
      </c>
      <c r="I7">
        <v>1.1762</v>
      </c>
      <c r="J7">
        <v>1.1536</v>
      </c>
      <c r="K7">
        <v>1.12639</v>
      </c>
    </row>
  </sheetData>
  <pageMargins left="0.75" right="0.75" top="1" bottom="1" header="0.511805555555556" footer="0.511805555555556"/>
  <headerFooter/>
</worksheet>
</file>

<file path=xl/worksheets/sheet1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>
  <sheetPr codeName="Sheet6"/>
  <dimension ref="A1:AF42"/>
  <sheetViews>
    <sheetView workbookViewId="0">
      <selection activeCell="A1" sqref="A1"/>
    </sheetView>
  </sheetViews>
  <sheetFormatPr defaultColWidth="9" defaultRowHeight="14.25"/>
  <sheetData>
    <row r="1" spans="1:2">
      <c r="A1" t="s">
        <v>209</v>
      </c>
      <c r="B1">
        <v>2</v>
      </c>
    </row>
    <row r="2" spans="1:19">
      <c r="A2" t="s">
        <v>210</v>
      </c>
      <c r="B2">
        <v>14</v>
      </c>
      <c r="C2" t="s">
        <v>211</v>
      </c>
      <c r="D2">
        <v>14</v>
      </c>
      <c r="E2" t="s">
        <v>212</v>
      </c>
      <c r="G2" t="s">
        <v>213</v>
      </c>
      <c r="I2" t="s">
        <v>214</v>
      </c>
      <c r="K2" t="s">
        <v>215</v>
      </c>
      <c r="M2" t="s">
        <v>216</v>
      </c>
      <c r="O2" t="s">
        <v>217</v>
      </c>
      <c r="Q2" t="s">
        <v>218</v>
      </c>
      <c r="S2" t="s">
        <v>219</v>
      </c>
    </row>
    <row r="3" spans="1:4">
      <c r="A3" t="s">
        <v>75</v>
      </c>
      <c r="B3">
        <v>1</v>
      </c>
      <c r="C3" t="s">
        <v>75</v>
      </c>
      <c r="D3">
        <v>2</v>
      </c>
    </row>
    <row r="4" spans="1:4">
      <c r="A4" s="1" t="s">
        <v>114</v>
      </c>
      <c r="B4">
        <v>42.07</v>
      </c>
      <c r="D4">
        <v>44.37</v>
      </c>
    </row>
    <row r="5" spans="1:4">
      <c r="A5" t="s">
        <v>81</v>
      </c>
      <c r="B5">
        <v>0.08</v>
      </c>
      <c r="D5">
        <v>0.07</v>
      </c>
    </row>
    <row r="6" spans="1:21">
      <c r="A6" t="s">
        <v>82</v>
      </c>
      <c r="B6">
        <v>0.87</v>
      </c>
      <c r="D6">
        <v>0.65</v>
      </c>
      <c r="J6" s="39"/>
      <c r="S6" s="39"/>
      <c r="U6" s="39" t="s">
        <v>220</v>
      </c>
    </row>
    <row r="7" spans="1:21">
      <c r="A7" s="1" t="s">
        <v>116</v>
      </c>
      <c r="B7" s="2">
        <v>0</v>
      </c>
      <c r="D7" s="2">
        <v>0</v>
      </c>
      <c r="J7" s="39"/>
      <c r="S7" s="39"/>
      <c r="U7" s="39" t="s">
        <v>119</v>
      </c>
    </row>
    <row r="8" spans="1:4">
      <c r="A8" s="1" t="s">
        <v>117</v>
      </c>
      <c r="B8" s="2">
        <v>0.186</v>
      </c>
      <c r="D8" s="2">
        <v>0.1105</v>
      </c>
    </row>
    <row r="9" spans="2:4">
      <c r="B9" s="2"/>
      <c r="D9" s="2"/>
    </row>
    <row r="10" spans="2:4">
      <c r="B10" s="2"/>
      <c r="D10" s="2"/>
    </row>
    <row r="11" customHeight="1" spans="1:32">
      <c r="A11" s="33" t="s">
        <v>120</v>
      </c>
      <c r="B11" s="33"/>
      <c r="C11" s="33"/>
      <c r="D11" s="33"/>
      <c r="E11" s="33"/>
      <c r="F11" s="33"/>
      <c r="G11" s="33"/>
      <c r="H11" s="33"/>
      <c r="L11" s="40" t="s">
        <v>122</v>
      </c>
      <c r="M11" s="40"/>
      <c r="N11" s="40"/>
      <c r="O11" s="40"/>
      <c r="P11" s="40"/>
      <c r="Q11" s="40"/>
      <c r="R11" s="40"/>
      <c r="S11" s="40"/>
      <c r="T11" s="40"/>
      <c r="U11" s="40"/>
      <c r="Y11" s="40" t="s">
        <v>85</v>
      </c>
      <c r="Z11" s="40"/>
      <c r="AA11" s="40"/>
      <c r="AB11" s="40"/>
      <c r="AC11" s="40"/>
      <c r="AD11" s="40"/>
      <c r="AE11" s="40"/>
      <c r="AF11" s="40"/>
    </row>
    <row r="12" spans="1:32">
      <c r="A12" s="34"/>
      <c r="B12" s="34"/>
      <c r="C12" s="34"/>
      <c r="D12" s="34"/>
      <c r="E12" s="34"/>
      <c r="F12" s="34"/>
      <c r="G12" s="34"/>
      <c r="H12" s="34"/>
      <c r="L12" s="34"/>
      <c r="M12" s="34"/>
      <c r="N12" s="34"/>
      <c r="O12" s="34"/>
      <c r="P12" s="34"/>
      <c r="Q12" s="34"/>
      <c r="R12" s="34"/>
      <c r="S12" s="34"/>
      <c r="T12" s="34"/>
      <c r="U12" s="34"/>
      <c r="Y12" s="34"/>
      <c r="Z12" s="34"/>
      <c r="AA12" s="34"/>
      <c r="AB12" s="34"/>
      <c r="AC12" s="34"/>
      <c r="AD12" s="34"/>
      <c r="AE12" s="34"/>
      <c r="AF12" s="34"/>
    </row>
    <row r="13" customHeight="1" spans="1:32">
      <c r="A13" s="4" t="s">
        <v>129</v>
      </c>
      <c r="B13" s="4" t="s">
        <v>87</v>
      </c>
      <c r="C13" s="4" t="s">
        <v>123</v>
      </c>
      <c r="D13" s="4"/>
      <c r="E13" s="4" t="s">
        <v>124</v>
      </c>
      <c r="F13" s="4"/>
      <c r="G13" s="4" t="s">
        <v>125</v>
      </c>
      <c r="H13" s="4"/>
      <c r="L13" s="4" t="s">
        <v>129</v>
      </c>
      <c r="M13" s="4" t="s">
        <v>87</v>
      </c>
      <c r="N13" s="41" t="s">
        <v>124</v>
      </c>
      <c r="O13" s="41"/>
      <c r="P13" s="41"/>
      <c r="Q13" s="48" t="s">
        <v>125</v>
      </c>
      <c r="R13" s="49"/>
      <c r="S13" s="50"/>
      <c r="T13" s="41" t="s">
        <v>221</v>
      </c>
      <c r="U13" s="41"/>
      <c r="Y13" s="6" t="s">
        <v>129</v>
      </c>
      <c r="Z13" s="6" t="s">
        <v>87</v>
      </c>
      <c r="AA13" s="4" t="s">
        <v>130</v>
      </c>
      <c r="AB13" s="4"/>
      <c r="AC13" s="4"/>
      <c r="AD13" s="4" t="s">
        <v>127</v>
      </c>
      <c r="AE13" s="4" t="s">
        <v>94</v>
      </c>
      <c r="AF13" s="6" t="s">
        <v>131</v>
      </c>
    </row>
    <row r="14" ht="30.75" spans="1:32">
      <c r="A14" s="4"/>
      <c r="B14" s="4"/>
      <c r="C14" s="4" t="s">
        <v>132</v>
      </c>
      <c r="D14" s="4" t="s">
        <v>133</v>
      </c>
      <c r="E14" s="4" t="s">
        <v>132</v>
      </c>
      <c r="F14" s="4" t="s">
        <v>134</v>
      </c>
      <c r="G14" s="4" t="s">
        <v>132</v>
      </c>
      <c r="H14" s="4" t="s">
        <v>134</v>
      </c>
      <c r="L14" s="4"/>
      <c r="M14" s="4"/>
      <c r="N14" s="41" t="s">
        <v>135</v>
      </c>
      <c r="O14" s="41" t="s">
        <v>136</v>
      </c>
      <c r="P14" s="41" t="s">
        <v>29</v>
      </c>
      <c r="Q14" s="41" t="s">
        <v>135</v>
      </c>
      <c r="R14" s="41" t="s">
        <v>136</v>
      </c>
      <c r="S14" s="41" t="s">
        <v>137</v>
      </c>
      <c r="T14" s="4" t="s">
        <v>222</v>
      </c>
      <c r="U14" s="4" t="s">
        <v>29</v>
      </c>
      <c r="Y14" s="58"/>
      <c r="Z14" s="58"/>
      <c r="AA14" s="4" t="s">
        <v>138</v>
      </c>
      <c r="AB14" s="4" t="s">
        <v>139</v>
      </c>
      <c r="AC14" s="4" t="s">
        <v>137</v>
      </c>
      <c r="AD14" s="4"/>
      <c r="AE14" s="4"/>
      <c r="AF14" s="58"/>
    </row>
    <row r="15" spans="1:32">
      <c r="A15" t="s">
        <v>100</v>
      </c>
      <c r="B15" s="35" t="s">
        <v>153</v>
      </c>
      <c r="C15">
        <v>650.9</v>
      </c>
      <c r="D15">
        <v>23.3</v>
      </c>
      <c r="E15">
        <v>653.5</v>
      </c>
      <c r="F15">
        <v>23</v>
      </c>
      <c r="G15">
        <v>651.5</v>
      </c>
      <c r="H15">
        <v>23</v>
      </c>
      <c r="L15" s="35"/>
      <c r="M15" s="35"/>
      <c r="N15" s="42">
        <f>E15-C15</f>
        <v>2.60000000000002</v>
      </c>
      <c r="O15" s="42">
        <f>F15-D15</f>
        <v>-0.300000000000001</v>
      </c>
      <c r="P15" s="43">
        <f t="shared" ref="P15:P42" si="0">3.7*1.020019*(N15)+1.8*(O15)</f>
        <v>9.27258278000009</v>
      </c>
      <c r="Q15" s="42">
        <f>G15-C15</f>
        <v>0.600000000000023</v>
      </c>
      <c r="R15" s="42">
        <f>H15-D15</f>
        <v>-0.300000000000001</v>
      </c>
      <c r="S15" s="43">
        <f>IF(3.7*1.020019*(Q15)+1.8*(R15)&gt;=0,3.7*1.020019*(Q15)+1.8*(R15),0)</f>
        <v>1.72444218000008</v>
      </c>
      <c r="T15" s="11">
        <v>0.3</v>
      </c>
      <c r="U15" s="35">
        <f>T15*100/3.45</f>
        <v>8.69565217391304</v>
      </c>
      <c r="Y15" s="35"/>
      <c r="Z15" s="35"/>
      <c r="AA15" s="43">
        <v>9.27258278000009</v>
      </c>
      <c r="AB15" s="59">
        <v>7.5481406</v>
      </c>
      <c r="AC15" s="59">
        <v>1.72444218000008</v>
      </c>
      <c r="AD15" s="59">
        <v>8.69565217391304</v>
      </c>
      <c r="AE15" s="60">
        <v>0.868036169</v>
      </c>
      <c r="AF15" s="61">
        <v>0.185972152626074</v>
      </c>
    </row>
    <row r="16" spans="1:32">
      <c r="A16" t="s">
        <v>100</v>
      </c>
      <c r="B16" s="35" t="s">
        <v>161</v>
      </c>
      <c r="C16">
        <v>651.9</v>
      </c>
      <c r="D16">
        <v>23.4</v>
      </c>
      <c r="E16">
        <v>653.7</v>
      </c>
      <c r="F16">
        <v>23.2</v>
      </c>
      <c r="G16">
        <v>652.3</v>
      </c>
      <c r="H16">
        <v>23.1</v>
      </c>
      <c r="L16" s="35"/>
      <c r="M16" s="35"/>
      <c r="N16" s="42">
        <f t="shared" ref="N16:O31" si="1">E16-C16</f>
        <v>1.80000000000007</v>
      </c>
      <c r="O16" s="42">
        <f t="shared" si="1"/>
        <v>-0.199999999999999</v>
      </c>
      <c r="P16" s="43">
        <f t="shared" si="0"/>
        <v>6.43332654000026</v>
      </c>
      <c r="Q16" s="42">
        <f t="shared" ref="Q16:R31" si="2">G16-C16</f>
        <v>0.399999999999977</v>
      </c>
      <c r="R16" s="42">
        <f t="shared" si="2"/>
        <v>-0.299999999999997</v>
      </c>
      <c r="S16" s="43">
        <f t="shared" ref="S16:S42" si="3">IF(3.7*1.020019*(Q16)+1.8*(R16)&gt;=0,3.7*1.020019*(Q16)+1.8*(R16),0)</f>
        <v>0.969628119999919</v>
      </c>
      <c r="T16" s="51">
        <v>0.4</v>
      </c>
      <c r="U16" s="35">
        <f t="shared" ref="U16:U42" si="4">T16*100/3.45</f>
        <v>11.5942028985507</v>
      </c>
      <c r="Y16" s="35"/>
      <c r="Z16" s="35"/>
      <c r="AA16" s="43">
        <v>6.43332654000026</v>
      </c>
      <c r="AB16" s="59">
        <v>5.46369842000034</v>
      </c>
      <c r="AC16" s="59">
        <v>0.969628119999919</v>
      </c>
      <c r="AD16" s="59">
        <v>11.5942028985507</v>
      </c>
      <c r="AE16" s="60">
        <v>0.47124398872503</v>
      </c>
      <c r="AF16" s="61">
        <v>0.150719556044777</v>
      </c>
    </row>
    <row r="17" spans="1:32">
      <c r="A17" t="s">
        <v>100</v>
      </c>
      <c r="B17" s="36" t="s">
        <v>162</v>
      </c>
      <c r="C17">
        <v>629.4</v>
      </c>
      <c r="D17">
        <v>23.3</v>
      </c>
      <c r="E17">
        <v>632.3</v>
      </c>
      <c r="F17">
        <v>23.1</v>
      </c>
      <c r="G17">
        <v>630</v>
      </c>
      <c r="H17">
        <v>23</v>
      </c>
      <c r="L17" s="36"/>
      <c r="M17" s="36"/>
      <c r="N17" s="42">
        <f t="shared" si="1"/>
        <v>2.89999999999998</v>
      </c>
      <c r="O17" s="42">
        <f t="shared" si="1"/>
        <v>-0.199999999999999</v>
      </c>
      <c r="P17" s="43">
        <f t="shared" si="0"/>
        <v>10.5848038699999</v>
      </c>
      <c r="Q17" s="42">
        <f t="shared" si="2"/>
        <v>0.600000000000023</v>
      </c>
      <c r="R17" s="42">
        <f t="shared" si="2"/>
        <v>-0.300000000000001</v>
      </c>
      <c r="S17" s="43">
        <f t="shared" si="3"/>
        <v>1.72444218000008</v>
      </c>
      <c r="T17" s="52">
        <v>0.6</v>
      </c>
      <c r="U17" s="36">
        <f t="shared" si="4"/>
        <v>17.3913043478261</v>
      </c>
      <c r="Y17" s="36"/>
      <c r="Z17" s="36"/>
      <c r="AA17" s="43">
        <v>10.5848038699999</v>
      </c>
      <c r="AB17" s="59">
        <v>8.86036168999983</v>
      </c>
      <c r="AC17" s="59">
        <v>1.72444218000008</v>
      </c>
      <c r="AD17" s="59">
        <v>17.3913043478261</v>
      </c>
      <c r="AE17" s="60">
        <v>0.50947079717499</v>
      </c>
      <c r="AF17" s="61">
        <v>0.162916781565278</v>
      </c>
    </row>
    <row r="18" spans="1:32">
      <c r="A18" t="s">
        <v>100</v>
      </c>
      <c r="B18" s="35" t="s">
        <v>177</v>
      </c>
      <c r="C18">
        <v>470</v>
      </c>
      <c r="D18">
        <v>23.3</v>
      </c>
      <c r="E18">
        <v>470.8</v>
      </c>
      <c r="F18">
        <v>23.1</v>
      </c>
      <c r="G18">
        <v>468.1</v>
      </c>
      <c r="H18">
        <v>23</v>
      </c>
      <c r="L18" s="35"/>
      <c r="M18" s="35"/>
      <c r="N18" s="42">
        <f t="shared" si="1"/>
        <v>0.800000000000011</v>
      </c>
      <c r="O18" s="42">
        <f t="shared" si="1"/>
        <v>-0.199999999999999</v>
      </c>
      <c r="P18" s="43">
        <f t="shared" si="0"/>
        <v>2.65925624000004</v>
      </c>
      <c r="Q18" s="42">
        <f t="shared" si="2"/>
        <v>-1.89999999999998</v>
      </c>
      <c r="R18" s="42">
        <f t="shared" si="2"/>
        <v>-0.300000000000001</v>
      </c>
      <c r="S18" s="43">
        <f t="shared" si="3"/>
        <v>0</v>
      </c>
      <c r="T18" s="53">
        <v>0.8</v>
      </c>
      <c r="U18" s="35">
        <f t="shared" si="4"/>
        <v>23.1884057971014</v>
      </c>
      <c r="Y18" s="35"/>
      <c r="Z18" s="35"/>
      <c r="AA18" s="43">
        <v>2.65925624000004</v>
      </c>
      <c r="AB18" s="59">
        <v>2.65925624000004</v>
      </c>
      <c r="AC18" s="59">
        <v>0</v>
      </c>
      <c r="AD18" s="59">
        <v>23.1884057971014</v>
      </c>
      <c r="AE18" s="60">
        <v>0.114680425350002</v>
      </c>
      <c r="AF18" s="61">
        <v>0</v>
      </c>
    </row>
    <row r="19" spans="1:32">
      <c r="A19" t="s">
        <v>100</v>
      </c>
      <c r="B19" s="35" t="s">
        <v>179</v>
      </c>
      <c r="C19">
        <v>671.1</v>
      </c>
      <c r="D19">
        <v>23.3</v>
      </c>
      <c r="E19">
        <v>675.2</v>
      </c>
      <c r="F19">
        <v>23.1</v>
      </c>
      <c r="G19">
        <v>669.9</v>
      </c>
      <c r="H19">
        <v>22.9</v>
      </c>
      <c r="L19" s="35"/>
      <c r="M19" s="35"/>
      <c r="N19" s="42">
        <f t="shared" si="1"/>
        <v>4.10000000000002</v>
      </c>
      <c r="O19" s="42">
        <f t="shared" si="1"/>
        <v>-0.199999999999999</v>
      </c>
      <c r="P19" s="43">
        <f t="shared" si="0"/>
        <v>15.1136882300001</v>
      </c>
      <c r="Q19" s="42">
        <f t="shared" si="2"/>
        <v>-1.20000000000005</v>
      </c>
      <c r="R19" s="42">
        <f t="shared" si="2"/>
        <v>-0.400000000000002</v>
      </c>
      <c r="S19" s="43">
        <f t="shared" si="3"/>
        <v>0</v>
      </c>
      <c r="T19" s="53">
        <v>1</v>
      </c>
      <c r="U19" s="35">
        <f t="shared" si="4"/>
        <v>28.9855072463768</v>
      </c>
      <c r="Y19" s="35"/>
      <c r="Z19" s="35"/>
      <c r="AA19" s="43">
        <v>15.1136882300001</v>
      </c>
      <c r="AB19" s="59">
        <v>15.1136882300001</v>
      </c>
      <c r="AC19" s="59">
        <v>0</v>
      </c>
      <c r="AD19" s="59">
        <v>28.9855072463768</v>
      </c>
      <c r="AE19" s="60">
        <v>0.521422243935003</v>
      </c>
      <c r="AF19" s="61">
        <v>0</v>
      </c>
    </row>
    <row r="20" spans="1:32">
      <c r="A20" t="s">
        <v>100</v>
      </c>
      <c r="B20" s="36" t="s">
        <v>181</v>
      </c>
      <c r="C20">
        <v>692.9</v>
      </c>
      <c r="D20">
        <v>23.3</v>
      </c>
      <c r="E20">
        <v>697.4</v>
      </c>
      <c r="F20">
        <v>23.1</v>
      </c>
      <c r="G20">
        <v>693.3</v>
      </c>
      <c r="H20">
        <v>23</v>
      </c>
      <c r="L20" s="36"/>
      <c r="M20" s="36"/>
      <c r="N20" s="42">
        <f t="shared" si="1"/>
        <v>4.5</v>
      </c>
      <c r="O20" s="42">
        <f t="shared" si="1"/>
        <v>-0.199999999999999</v>
      </c>
      <c r="P20" s="43">
        <f t="shared" si="0"/>
        <v>16.62331635</v>
      </c>
      <c r="Q20" s="42">
        <f t="shared" si="2"/>
        <v>0.399999999999977</v>
      </c>
      <c r="R20" s="42">
        <f t="shared" si="2"/>
        <v>-0.300000000000001</v>
      </c>
      <c r="S20" s="43">
        <f t="shared" si="3"/>
        <v>0.969628119999913</v>
      </c>
      <c r="T20" s="53">
        <v>1.4</v>
      </c>
      <c r="U20" s="35">
        <f t="shared" si="4"/>
        <v>40.5797101449275</v>
      </c>
      <c r="Y20" s="36"/>
      <c r="Z20" s="36"/>
      <c r="AA20" s="43">
        <v>16.62331635</v>
      </c>
      <c r="AB20" s="59">
        <v>15.6536882300001</v>
      </c>
      <c r="AC20" s="59">
        <v>0.969628119999913</v>
      </c>
      <c r="AD20" s="59">
        <v>40.5797101449275</v>
      </c>
      <c r="AE20" s="60">
        <v>0.385751602810717</v>
      </c>
      <c r="AF20" s="61">
        <v>0.0583294030856793</v>
      </c>
    </row>
    <row r="21" spans="1:32">
      <c r="A21" t="s">
        <v>100</v>
      </c>
      <c r="B21" s="35" t="s">
        <v>182</v>
      </c>
      <c r="C21">
        <v>355</v>
      </c>
      <c r="D21">
        <v>23.3</v>
      </c>
      <c r="E21">
        <v>356.2</v>
      </c>
      <c r="F21">
        <v>23.1</v>
      </c>
      <c r="G21">
        <v>354.8</v>
      </c>
      <c r="H21">
        <v>23</v>
      </c>
      <c r="L21" s="35"/>
      <c r="M21" s="35"/>
      <c r="N21" s="42">
        <f t="shared" si="1"/>
        <v>1.19999999999999</v>
      </c>
      <c r="O21" s="42">
        <f t="shared" si="1"/>
        <v>-0.199999999999999</v>
      </c>
      <c r="P21" s="43">
        <f t="shared" si="0"/>
        <v>4.16888435999996</v>
      </c>
      <c r="Q21" s="42">
        <f t="shared" si="2"/>
        <v>-0.199999999999989</v>
      </c>
      <c r="R21" s="42">
        <f t="shared" si="2"/>
        <v>-0.300000000000001</v>
      </c>
      <c r="S21" s="43">
        <f t="shared" si="3"/>
        <v>0</v>
      </c>
      <c r="T21" s="54">
        <v>1.9</v>
      </c>
      <c r="U21" s="37">
        <f t="shared" si="4"/>
        <v>55.0724637681159</v>
      </c>
      <c r="Y21" s="35"/>
      <c r="Z21" s="35"/>
      <c r="AA21" s="43">
        <v>4.16888435999996</v>
      </c>
      <c r="AB21" s="59">
        <v>4.16888435999996</v>
      </c>
      <c r="AC21" s="59">
        <v>0</v>
      </c>
      <c r="AD21" s="59">
        <v>55.0724637681159</v>
      </c>
      <c r="AE21" s="60">
        <v>0.0756981633789467</v>
      </c>
      <c r="AF21" s="61">
        <v>0</v>
      </c>
    </row>
    <row r="22" spans="1:32">
      <c r="A22" t="s">
        <v>100</v>
      </c>
      <c r="B22" s="35" t="s">
        <v>183</v>
      </c>
      <c r="C22">
        <v>732.4</v>
      </c>
      <c r="D22">
        <v>23.2</v>
      </c>
      <c r="E22">
        <v>738.8</v>
      </c>
      <c r="F22">
        <v>23.1</v>
      </c>
      <c r="G22">
        <v>732.5</v>
      </c>
      <c r="H22">
        <v>23</v>
      </c>
      <c r="L22" s="35"/>
      <c r="M22" s="35"/>
      <c r="N22" s="42">
        <f t="shared" si="1"/>
        <v>6.39999999999998</v>
      </c>
      <c r="O22" s="42">
        <f t="shared" si="1"/>
        <v>-0.0999999999999979</v>
      </c>
      <c r="P22" s="43">
        <f t="shared" si="0"/>
        <v>23.9740499199999</v>
      </c>
      <c r="Q22" s="42">
        <f t="shared" si="2"/>
        <v>0.100000000000023</v>
      </c>
      <c r="R22" s="42">
        <f t="shared" si="2"/>
        <v>-0.199999999999999</v>
      </c>
      <c r="S22" s="43">
        <f t="shared" si="3"/>
        <v>0.0174070300000871</v>
      </c>
      <c r="T22" s="53">
        <v>2.9</v>
      </c>
      <c r="U22" s="35">
        <f t="shared" si="4"/>
        <v>84.0579710144928</v>
      </c>
      <c r="Y22" s="35"/>
      <c r="Z22" s="35"/>
      <c r="AA22" s="43">
        <v>23.9740499199999</v>
      </c>
      <c r="AB22" s="59">
        <v>23.9566428899998</v>
      </c>
      <c r="AC22" s="59">
        <v>0.0174070300000871</v>
      </c>
      <c r="AD22" s="59">
        <v>84.0579710144928</v>
      </c>
      <c r="AE22" s="60">
        <v>0.285001441277584</v>
      </c>
      <c r="AF22" s="61">
        <v>0.00072607799091824</v>
      </c>
    </row>
    <row r="23" spans="1:32">
      <c r="A23" t="s">
        <v>100</v>
      </c>
      <c r="B23" s="35" t="s">
        <v>184</v>
      </c>
      <c r="C23">
        <v>669</v>
      </c>
      <c r="D23">
        <v>23.2</v>
      </c>
      <c r="E23">
        <v>676.8</v>
      </c>
      <c r="F23">
        <v>23.1</v>
      </c>
      <c r="G23">
        <v>669.2</v>
      </c>
      <c r="H23">
        <v>23</v>
      </c>
      <c r="L23" s="35"/>
      <c r="M23" s="35"/>
      <c r="N23" s="42">
        <f t="shared" si="1"/>
        <v>7.79999999999995</v>
      </c>
      <c r="O23" s="42">
        <f t="shared" si="1"/>
        <v>-0.0999999999999979</v>
      </c>
      <c r="P23" s="43">
        <f t="shared" si="0"/>
        <v>29.2577483399998</v>
      </c>
      <c r="Q23" s="42">
        <f t="shared" si="2"/>
        <v>0.200000000000045</v>
      </c>
      <c r="R23" s="42">
        <f t="shared" si="2"/>
        <v>-0.199999999999999</v>
      </c>
      <c r="S23" s="43">
        <f t="shared" si="3"/>
        <v>0.394814060000173</v>
      </c>
      <c r="T23" s="53">
        <v>3.2</v>
      </c>
      <c r="U23" s="35">
        <f t="shared" si="4"/>
        <v>92.7536231884058</v>
      </c>
      <c r="Y23" s="35"/>
      <c r="Z23" s="35"/>
      <c r="AA23" s="43">
        <v>29.2577483399998</v>
      </c>
      <c r="AB23" s="59">
        <v>28.8629342799997</v>
      </c>
      <c r="AC23" s="59">
        <v>0.394814060000173</v>
      </c>
      <c r="AD23" s="59">
        <v>92.7536231884058</v>
      </c>
      <c r="AE23" s="60">
        <v>0.311178510206246</v>
      </c>
      <c r="AF23" s="61">
        <v>0.013494341923107</v>
      </c>
    </row>
    <row r="24" spans="1:32">
      <c r="A24" t="s">
        <v>100</v>
      </c>
      <c r="B24" s="37" t="s">
        <v>223</v>
      </c>
      <c r="C24">
        <v>799.1</v>
      </c>
      <c r="D24">
        <v>23.3</v>
      </c>
      <c r="E24">
        <v>801.8</v>
      </c>
      <c r="F24">
        <v>23.1</v>
      </c>
      <c r="G24">
        <v>798.9</v>
      </c>
      <c r="H24">
        <v>23.1</v>
      </c>
      <c r="L24" s="37"/>
      <c r="M24" s="37"/>
      <c r="N24" s="42">
        <f t="shared" si="1"/>
        <v>2.69999999999993</v>
      </c>
      <c r="O24" s="42">
        <f t="shared" si="1"/>
        <v>-0.199999999999999</v>
      </c>
      <c r="P24" s="43">
        <f t="shared" si="0"/>
        <v>9.82998980999974</v>
      </c>
      <c r="Q24" s="42">
        <f t="shared" si="2"/>
        <v>-0.200000000000045</v>
      </c>
      <c r="R24" s="42">
        <f t="shared" si="2"/>
        <v>-0.199999999999999</v>
      </c>
      <c r="S24" s="43">
        <f t="shared" si="3"/>
        <v>0</v>
      </c>
      <c r="T24" s="54">
        <v>3.6</v>
      </c>
      <c r="U24" s="37">
        <f t="shared" si="4"/>
        <v>104.347826086957</v>
      </c>
      <c r="Y24" s="37"/>
      <c r="Z24" s="37"/>
      <c r="AA24" s="43">
        <v>9.82998980999974</v>
      </c>
      <c r="AB24" s="59">
        <v>9.82998980999974</v>
      </c>
      <c r="AC24" s="59">
        <v>0</v>
      </c>
      <c r="AD24" s="59">
        <v>104.347826086957</v>
      </c>
      <c r="AE24" s="60">
        <v>0.0942040690124971</v>
      </c>
      <c r="AF24" s="61">
        <v>0</v>
      </c>
    </row>
    <row r="25" spans="1:32">
      <c r="A25" t="s">
        <v>100</v>
      </c>
      <c r="B25" s="35" t="s">
        <v>224</v>
      </c>
      <c r="C25">
        <v>675.9</v>
      </c>
      <c r="D25">
        <v>23.2</v>
      </c>
      <c r="E25">
        <v>686.5</v>
      </c>
      <c r="F25">
        <v>23.1</v>
      </c>
      <c r="G25">
        <v>675.8</v>
      </c>
      <c r="H25">
        <v>23</v>
      </c>
      <c r="L25" s="35"/>
      <c r="M25" s="35"/>
      <c r="N25" s="42">
        <f t="shared" si="1"/>
        <v>10.6</v>
      </c>
      <c r="O25" s="42">
        <f t="shared" si="1"/>
        <v>-0.0999999999999979</v>
      </c>
      <c r="P25" s="43">
        <f t="shared" si="0"/>
        <v>39.8251451800001</v>
      </c>
      <c r="Q25" s="42">
        <f t="shared" si="2"/>
        <v>-0.100000000000023</v>
      </c>
      <c r="R25" s="42">
        <f t="shared" si="2"/>
        <v>-0.199999999999999</v>
      </c>
      <c r="S25" s="43">
        <f t="shared" si="3"/>
        <v>0</v>
      </c>
      <c r="T25" s="53">
        <v>3.5</v>
      </c>
      <c r="U25" s="35">
        <f t="shared" si="4"/>
        <v>101.449275362319</v>
      </c>
      <c r="Y25" s="35"/>
      <c r="Z25" s="35"/>
      <c r="AA25" s="43">
        <v>39.8251451800001</v>
      </c>
      <c r="AB25" s="59">
        <v>39.8251451800001</v>
      </c>
      <c r="AC25" s="59">
        <v>0</v>
      </c>
      <c r="AD25" s="59">
        <v>101.449275362319</v>
      </c>
      <c r="AE25" s="60">
        <v>0.392562145345715</v>
      </c>
      <c r="AF25" s="61">
        <v>0</v>
      </c>
    </row>
    <row r="26" spans="1:32">
      <c r="A26" t="s">
        <v>100</v>
      </c>
      <c r="B26" s="35" t="s">
        <v>225</v>
      </c>
      <c r="C26">
        <v>580</v>
      </c>
      <c r="D26">
        <v>23.3</v>
      </c>
      <c r="E26">
        <v>591.5</v>
      </c>
      <c r="F26">
        <v>23.2</v>
      </c>
      <c r="G26">
        <v>580.4</v>
      </c>
      <c r="H26">
        <v>23.1</v>
      </c>
      <c r="L26" s="35"/>
      <c r="M26" s="35"/>
      <c r="N26" s="42">
        <f t="shared" si="1"/>
        <v>11.5</v>
      </c>
      <c r="O26" s="42">
        <f t="shared" si="1"/>
        <v>-0.100000000000001</v>
      </c>
      <c r="P26" s="43">
        <f t="shared" si="0"/>
        <v>43.22180845</v>
      </c>
      <c r="Q26" s="42">
        <f t="shared" si="2"/>
        <v>0.399999999999977</v>
      </c>
      <c r="R26" s="42">
        <f t="shared" si="2"/>
        <v>-0.199999999999999</v>
      </c>
      <c r="S26" s="43">
        <f t="shared" si="3"/>
        <v>1.14962811999992</v>
      </c>
      <c r="T26" s="53">
        <v>3.6</v>
      </c>
      <c r="U26" s="35">
        <f t="shared" si="4"/>
        <v>104.347826086957</v>
      </c>
      <c r="Y26" s="35"/>
      <c r="Z26" s="35"/>
      <c r="AA26" s="43">
        <v>43.22180845</v>
      </c>
      <c r="AB26" s="59">
        <v>42.0721803300001</v>
      </c>
      <c r="AC26" s="59">
        <v>1.14962811999992</v>
      </c>
      <c r="AD26" s="59">
        <v>104.347826086957</v>
      </c>
      <c r="AE26" s="60">
        <v>0.403191728162499</v>
      </c>
      <c r="AF26" s="61">
        <v>0.0265983345266506</v>
      </c>
    </row>
    <row r="27" spans="1:32">
      <c r="A27" t="s">
        <v>100</v>
      </c>
      <c r="B27" s="37" t="s">
        <v>226</v>
      </c>
      <c r="C27">
        <v>710.2</v>
      </c>
      <c r="D27">
        <v>23.2</v>
      </c>
      <c r="E27">
        <v>719.3</v>
      </c>
      <c r="F27">
        <v>23</v>
      </c>
      <c r="G27">
        <v>710.4</v>
      </c>
      <c r="H27">
        <v>22.9</v>
      </c>
      <c r="L27" s="37"/>
      <c r="M27" s="37"/>
      <c r="N27" s="42">
        <f t="shared" si="1"/>
        <v>9.09999999999991</v>
      </c>
      <c r="O27" s="42">
        <f t="shared" si="1"/>
        <v>-0.199999999999999</v>
      </c>
      <c r="P27" s="43">
        <f t="shared" si="0"/>
        <v>33.9840397299997</v>
      </c>
      <c r="Q27" s="42">
        <f t="shared" si="2"/>
        <v>0.199999999999932</v>
      </c>
      <c r="R27" s="42">
        <f t="shared" si="2"/>
        <v>-0.300000000000001</v>
      </c>
      <c r="S27" s="43">
        <f t="shared" si="3"/>
        <v>0.214814059999741</v>
      </c>
      <c r="T27" s="54">
        <v>3.1</v>
      </c>
      <c r="U27" s="37">
        <f t="shared" si="4"/>
        <v>89.8550724637681</v>
      </c>
      <c r="Y27" s="37"/>
      <c r="Z27" s="37"/>
      <c r="AA27" s="43">
        <v>33.9840397299997</v>
      </c>
      <c r="AB27" s="59">
        <v>33.7692256699999</v>
      </c>
      <c r="AC27" s="59">
        <v>0.214814059999741</v>
      </c>
      <c r="AD27" s="59">
        <v>89.8550724637681</v>
      </c>
      <c r="AE27" s="60">
        <v>0.37581880181129</v>
      </c>
      <c r="AF27" s="61">
        <v>0.00632102780324002</v>
      </c>
    </row>
    <row r="28" ht="15" spans="1:32">
      <c r="A28" t="s">
        <v>100</v>
      </c>
      <c r="B28" s="36" t="s">
        <v>227</v>
      </c>
      <c r="C28">
        <v>594.7</v>
      </c>
      <c r="D28">
        <v>23.3</v>
      </c>
      <c r="E28">
        <v>605.5</v>
      </c>
      <c r="F28">
        <v>23.2</v>
      </c>
      <c r="G28">
        <v>594.3</v>
      </c>
      <c r="H28">
        <v>23.1</v>
      </c>
      <c r="L28" s="36"/>
      <c r="M28" s="36"/>
      <c r="N28" s="44">
        <f t="shared" si="1"/>
        <v>10.8</v>
      </c>
      <c r="O28" s="44">
        <f t="shared" si="1"/>
        <v>-0.100000000000001</v>
      </c>
      <c r="P28" s="45">
        <f t="shared" si="0"/>
        <v>40.5799592399998</v>
      </c>
      <c r="Q28" s="44">
        <f t="shared" si="2"/>
        <v>-0.400000000000091</v>
      </c>
      <c r="R28" s="44">
        <f t="shared" si="2"/>
        <v>-0.199999999999999</v>
      </c>
      <c r="S28" s="43">
        <f t="shared" si="3"/>
        <v>0</v>
      </c>
      <c r="T28" s="55">
        <v>2.9</v>
      </c>
      <c r="U28" s="36">
        <f t="shared" si="4"/>
        <v>84.0579710144928</v>
      </c>
      <c r="Y28" s="36"/>
      <c r="Z28" s="36"/>
      <c r="AA28" s="62">
        <v>40.5799592399998</v>
      </c>
      <c r="AB28" s="63">
        <v>40.5799592399998</v>
      </c>
      <c r="AC28" s="63">
        <v>0</v>
      </c>
      <c r="AD28" s="63">
        <v>84.0579710144928</v>
      </c>
      <c r="AE28" s="64">
        <v>0.482761584062067</v>
      </c>
      <c r="AF28" s="65">
        <v>0</v>
      </c>
    </row>
    <row r="29" spans="1:32">
      <c r="A29" t="s">
        <v>103</v>
      </c>
      <c r="B29" s="38" t="s">
        <v>153</v>
      </c>
      <c r="C29">
        <v>650.9</v>
      </c>
      <c r="D29">
        <v>23.3</v>
      </c>
      <c r="E29">
        <v>663</v>
      </c>
      <c r="F29">
        <v>22.8</v>
      </c>
      <c r="G29">
        <v>651.9</v>
      </c>
      <c r="H29">
        <v>22.9</v>
      </c>
      <c r="L29" s="38"/>
      <c r="M29" s="38"/>
      <c r="N29" s="46">
        <f t="shared" si="1"/>
        <v>12.1</v>
      </c>
      <c r="O29" s="46">
        <f t="shared" si="1"/>
        <v>-0.5</v>
      </c>
      <c r="P29" s="47">
        <f t="shared" si="0"/>
        <v>44.7662506300001</v>
      </c>
      <c r="Q29" s="46">
        <f t="shared" si="2"/>
        <v>1</v>
      </c>
      <c r="R29" s="46">
        <f t="shared" si="2"/>
        <v>-0.400000000000002</v>
      </c>
      <c r="S29" s="56">
        <f t="shared" si="3"/>
        <v>3.0540703</v>
      </c>
      <c r="T29" s="57">
        <v>2.9</v>
      </c>
      <c r="U29" s="38">
        <f t="shared" si="4"/>
        <v>84.0579710144928</v>
      </c>
      <c r="Y29" s="38"/>
      <c r="Z29" s="38"/>
      <c r="AA29" s="66">
        <v>44.7662506300001</v>
      </c>
      <c r="AB29" s="67">
        <v>41.7121803300001</v>
      </c>
      <c r="AC29" s="67">
        <v>3.0540703</v>
      </c>
      <c r="AD29" s="67">
        <v>84.0579710144928</v>
      </c>
      <c r="AE29" s="68">
        <v>0.496231110822415</v>
      </c>
      <c r="AF29" s="69">
        <v>0.0682226064729511</v>
      </c>
    </row>
    <row r="30" spans="1:32">
      <c r="A30" t="s">
        <v>103</v>
      </c>
      <c r="B30" s="35" t="s">
        <v>161</v>
      </c>
      <c r="C30">
        <v>651.9</v>
      </c>
      <c r="D30">
        <v>23.4</v>
      </c>
      <c r="E30">
        <v>661.7</v>
      </c>
      <c r="F30">
        <v>23</v>
      </c>
      <c r="G30">
        <v>652.3</v>
      </c>
      <c r="H30">
        <v>23.1</v>
      </c>
      <c r="L30" s="35"/>
      <c r="M30" s="35"/>
      <c r="N30" s="42">
        <f t="shared" si="1"/>
        <v>9.80000000000007</v>
      </c>
      <c r="O30" s="42">
        <f t="shared" si="1"/>
        <v>-0.399999999999999</v>
      </c>
      <c r="P30" s="43">
        <f t="shared" si="0"/>
        <v>36.2658889400003</v>
      </c>
      <c r="Q30" s="42">
        <f t="shared" si="2"/>
        <v>0.399999999999977</v>
      </c>
      <c r="R30" s="42">
        <f t="shared" si="2"/>
        <v>-0.299999999999997</v>
      </c>
      <c r="S30" s="43">
        <f t="shared" si="3"/>
        <v>0.969628119999919</v>
      </c>
      <c r="T30" s="54">
        <v>3</v>
      </c>
      <c r="U30" s="37">
        <f t="shared" si="4"/>
        <v>86.9565217391304</v>
      </c>
      <c r="Y30" s="35"/>
      <c r="Z30" s="35"/>
      <c r="AA30" s="43">
        <v>36.2658889400003</v>
      </c>
      <c r="AB30" s="59">
        <v>35.2962608200003</v>
      </c>
      <c r="AC30" s="59">
        <v>0.969628119999919</v>
      </c>
      <c r="AD30" s="59">
        <v>86.9565217391304</v>
      </c>
      <c r="AE30" s="60">
        <v>0.405906999430004</v>
      </c>
      <c r="AF30" s="61">
        <v>0.0267366428437508</v>
      </c>
    </row>
    <row r="31" spans="1:32">
      <c r="A31" t="s">
        <v>103</v>
      </c>
      <c r="B31" s="36" t="s">
        <v>162</v>
      </c>
      <c r="C31">
        <v>629.4</v>
      </c>
      <c r="D31">
        <v>23.3</v>
      </c>
      <c r="E31">
        <v>642</v>
      </c>
      <c r="F31">
        <v>22.9</v>
      </c>
      <c r="G31">
        <v>630.1</v>
      </c>
      <c r="H31">
        <v>23.2</v>
      </c>
      <c r="L31" s="36"/>
      <c r="M31" s="36"/>
      <c r="N31" s="42">
        <f t="shared" si="1"/>
        <v>12.6</v>
      </c>
      <c r="O31" s="42">
        <f t="shared" si="1"/>
        <v>-0.400000000000002</v>
      </c>
      <c r="P31" s="43">
        <f t="shared" si="0"/>
        <v>46.8332857800001</v>
      </c>
      <c r="Q31" s="42">
        <f t="shared" si="2"/>
        <v>0.700000000000045</v>
      </c>
      <c r="R31" s="42">
        <f t="shared" si="2"/>
        <v>-0.100000000000001</v>
      </c>
      <c r="S31" s="43">
        <f t="shared" si="3"/>
        <v>2.46184921000017</v>
      </c>
      <c r="T31" s="53">
        <v>3.6</v>
      </c>
      <c r="U31" s="35">
        <f t="shared" si="4"/>
        <v>104.347826086957</v>
      </c>
      <c r="Y31" s="36"/>
      <c r="Z31" s="36"/>
      <c r="AA31" s="43">
        <v>46.8332857800001</v>
      </c>
      <c r="AB31" s="59">
        <v>44.3714365699999</v>
      </c>
      <c r="AC31" s="59">
        <v>2.46184921000017</v>
      </c>
      <c r="AD31" s="59">
        <v>104.347826086957</v>
      </c>
      <c r="AE31" s="60">
        <v>0.425226267129164</v>
      </c>
      <c r="AF31" s="61">
        <v>0.0525662286768589</v>
      </c>
    </row>
    <row r="32" spans="1:32">
      <c r="A32" t="s">
        <v>103</v>
      </c>
      <c r="B32" s="35" t="s">
        <v>177</v>
      </c>
      <c r="C32">
        <v>470</v>
      </c>
      <c r="D32">
        <v>23.3</v>
      </c>
      <c r="E32">
        <v>477</v>
      </c>
      <c r="F32">
        <v>22.9</v>
      </c>
      <c r="G32">
        <v>466.1</v>
      </c>
      <c r="H32">
        <v>23</v>
      </c>
      <c r="L32" s="35"/>
      <c r="M32" s="35"/>
      <c r="N32" s="42">
        <f t="shared" ref="N32:O42" si="5">E32-C32</f>
        <v>7</v>
      </c>
      <c r="O32" s="42">
        <f t="shared" si="5"/>
        <v>-0.400000000000002</v>
      </c>
      <c r="P32" s="43">
        <f t="shared" si="0"/>
        <v>25.6984921</v>
      </c>
      <c r="Q32" s="42">
        <f t="shared" ref="Q32:R42" si="6">G32-C32</f>
        <v>-3.89999999999998</v>
      </c>
      <c r="R32" s="42">
        <f t="shared" si="6"/>
        <v>-0.300000000000001</v>
      </c>
      <c r="S32" s="43">
        <f t="shared" si="3"/>
        <v>0</v>
      </c>
      <c r="T32" s="53">
        <v>3.4</v>
      </c>
      <c r="U32" s="35">
        <f t="shared" si="4"/>
        <v>98.5507246376812</v>
      </c>
      <c r="Y32" s="35"/>
      <c r="Z32" s="35"/>
      <c r="AA32" s="43">
        <v>25.6984921</v>
      </c>
      <c r="AB32" s="59">
        <v>25.6984921</v>
      </c>
      <c r="AC32" s="59">
        <v>0</v>
      </c>
      <c r="AD32" s="59">
        <v>98.5507246376812</v>
      </c>
      <c r="AE32" s="60">
        <v>0.260764111014706</v>
      </c>
      <c r="AF32" s="61">
        <v>0</v>
      </c>
    </row>
    <row r="33" spans="1:32">
      <c r="A33" t="s">
        <v>103</v>
      </c>
      <c r="B33" s="35" t="s">
        <v>179</v>
      </c>
      <c r="C33">
        <v>671.1</v>
      </c>
      <c r="D33">
        <v>23.3</v>
      </c>
      <c r="E33">
        <v>681.8</v>
      </c>
      <c r="F33">
        <v>22.9</v>
      </c>
      <c r="G33">
        <v>668.9</v>
      </c>
      <c r="H33">
        <v>23</v>
      </c>
      <c r="L33" s="35"/>
      <c r="M33" s="35"/>
      <c r="N33" s="42">
        <f t="shared" si="5"/>
        <v>10.6999999999999</v>
      </c>
      <c r="O33" s="42">
        <f t="shared" si="5"/>
        <v>-0.400000000000002</v>
      </c>
      <c r="P33" s="43">
        <f t="shared" si="0"/>
        <v>39.6625522099997</v>
      </c>
      <c r="Q33" s="42">
        <f t="shared" si="6"/>
        <v>-2.20000000000005</v>
      </c>
      <c r="R33" s="42">
        <f t="shared" si="6"/>
        <v>-0.300000000000001</v>
      </c>
      <c r="S33" s="43">
        <f t="shared" si="3"/>
        <v>0</v>
      </c>
      <c r="T33" s="54">
        <v>3.6</v>
      </c>
      <c r="U33" s="37">
        <f t="shared" si="4"/>
        <v>104.347826086957</v>
      </c>
      <c r="Y33" s="35"/>
      <c r="Z33" s="35"/>
      <c r="AA33" s="43">
        <v>39.6625522099997</v>
      </c>
      <c r="AB33" s="59">
        <v>39.6625522099997</v>
      </c>
      <c r="AC33" s="59">
        <v>0</v>
      </c>
      <c r="AD33" s="59">
        <v>104.347826086957</v>
      </c>
      <c r="AE33" s="60">
        <v>0.380099458679162</v>
      </c>
      <c r="AF33" s="61">
        <v>0</v>
      </c>
    </row>
    <row r="34" spans="1:32">
      <c r="A34" t="s">
        <v>103</v>
      </c>
      <c r="B34" s="36" t="s">
        <v>181</v>
      </c>
      <c r="C34">
        <v>692.9</v>
      </c>
      <c r="D34">
        <v>23.3</v>
      </c>
      <c r="E34">
        <v>702.5</v>
      </c>
      <c r="F34">
        <v>22.9</v>
      </c>
      <c r="G34">
        <v>693.4</v>
      </c>
      <c r="H34">
        <v>23</v>
      </c>
      <c r="L34" s="36"/>
      <c r="M34" s="36"/>
      <c r="N34" s="42">
        <f t="shared" si="5"/>
        <v>9.60000000000002</v>
      </c>
      <c r="O34" s="42">
        <f t="shared" si="5"/>
        <v>-0.400000000000002</v>
      </c>
      <c r="P34" s="43">
        <f t="shared" si="0"/>
        <v>35.5110748800001</v>
      </c>
      <c r="Q34" s="42">
        <f t="shared" si="6"/>
        <v>0.5</v>
      </c>
      <c r="R34" s="42">
        <f t="shared" si="6"/>
        <v>-0.300000000000001</v>
      </c>
      <c r="S34" s="43">
        <f t="shared" si="3"/>
        <v>1.34703515</v>
      </c>
      <c r="T34" s="53">
        <v>3.2</v>
      </c>
      <c r="U34" s="35">
        <f t="shared" si="4"/>
        <v>92.7536231884058</v>
      </c>
      <c r="Y34" s="36"/>
      <c r="Z34" s="36"/>
      <c r="AA34" s="43">
        <v>35.5110748800001</v>
      </c>
      <c r="AB34" s="59">
        <v>34.1640397300001</v>
      </c>
      <c r="AC34" s="59">
        <v>1.34703515</v>
      </c>
      <c r="AD34" s="59">
        <v>92.7536231884058</v>
      </c>
      <c r="AE34" s="60">
        <v>0.368331053339063</v>
      </c>
      <c r="AF34" s="61">
        <v>0.0379328182701294</v>
      </c>
    </row>
    <row r="35" spans="1:32">
      <c r="A35" t="s">
        <v>103</v>
      </c>
      <c r="B35" s="35" t="s">
        <v>182</v>
      </c>
      <c r="C35">
        <v>355</v>
      </c>
      <c r="D35">
        <v>23.3</v>
      </c>
      <c r="E35">
        <v>357.9</v>
      </c>
      <c r="F35">
        <v>22.9</v>
      </c>
      <c r="G35">
        <v>354.6</v>
      </c>
      <c r="H35">
        <v>23</v>
      </c>
      <c r="L35" s="35"/>
      <c r="M35" s="35"/>
      <c r="N35" s="42">
        <f t="shared" si="5"/>
        <v>2.89999999999998</v>
      </c>
      <c r="O35" s="42">
        <f t="shared" si="5"/>
        <v>-0.400000000000002</v>
      </c>
      <c r="P35" s="43">
        <f t="shared" si="0"/>
        <v>10.2248038699999</v>
      </c>
      <c r="Q35" s="42">
        <f t="shared" si="6"/>
        <v>-0.399999999999977</v>
      </c>
      <c r="R35" s="42">
        <f t="shared" si="6"/>
        <v>-0.300000000000001</v>
      </c>
      <c r="S35" s="43">
        <f t="shared" si="3"/>
        <v>0</v>
      </c>
      <c r="T35" s="53">
        <v>3</v>
      </c>
      <c r="U35" s="35">
        <f t="shared" si="4"/>
        <v>86.9565217391304</v>
      </c>
      <c r="Y35" s="35"/>
      <c r="Z35" s="35"/>
      <c r="AA35" s="43">
        <v>10.2248038699999</v>
      </c>
      <c r="AB35" s="59">
        <v>10.2248038699999</v>
      </c>
      <c r="AC35" s="59">
        <v>0</v>
      </c>
      <c r="AD35" s="59">
        <v>86.9565217391304</v>
      </c>
      <c r="AE35" s="60">
        <v>0.117585244504999</v>
      </c>
      <c r="AF35" s="61">
        <v>0</v>
      </c>
    </row>
    <row r="36" spans="1:32">
      <c r="A36" t="s">
        <v>103</v>
      </c>
      <c r="B36" s="35" t="s">
        <v>183</v>
      </c>
      <c r="C36">
        <v>732.4</v>
      </c>
      <c r="D36">
        <v>23.2</v>
      </c>
      <c r="E36">
        <v>737.5</v>
      </c>
      <c r="F36">
        <v>22.9</v>
      </c>
      <c r="G36">
        <v>732.5</v>
      </c>
      <c r="H36">
        <v>23</v>
      </c>
      <c r="L36" s="35"/>
      <c r="M36" s="35"/>
      <c r="N36" s="42">
        <f t="shared" si="5"/>
        <v>5.10000000000002</v>
      </c>
      <c r="O36" s="42">
        <f t="shared" si="5"/>
        <v>-0.300000000000001</v>
      </c>
      <c r="P36" s="43">
        <f t="shared" si="0"/>
        <v>18.7077585300001</v>
      </c>
      <c r="Q36" s="42">
        <f t="shared" si="6"/>
        <v>0.100000000000023</v>
      </c>
      <c r="R36" s="42">
        <f t="shared" si="6"/>
        <v>-0.199999999999999</v>
      </c>
      <c r="S36" s="43">
        <f t="shared" si="3"/>
        <v>0.0174070300000871</v>
      </c>
      <c r="T36" s="54">
        <v>2</v>
      </c>
      <c r="U36" s="37">
        <f t="shared" si="4"/>
        <v>57.9710144927536</v>
      </c>
      <c r="Y36" s="35"/>
      <c r="Z36" s="35"/>
      <c r="AA36" s="43">
        <v>18.7077585300001</v>
      </c>
      <c r="AB36" s="59">
        <v>18.6903515</v>
      </c>
      <c r="AC36" s="59">
        <v>0.0174070300000871</v>
      </c>
      <c r="AD36" s="59">
        <v>57.9710144927536</v>
      </c>
      <c r="AE36" s="60">
        <v>0.322408563375</v>
      </c>
      <c r="AF36" s="61">
        <v>0.000930471171742618</v>
      </c>
    </row>
    <row r="37" spans="1:32">
      <c r="A37" t="s">
        <v>103</v>
      </c>
      <c r="B37" s="35" t="s">
        <v>184</v>
      </c>
      <c r="C37">
        <v>669</v>
      </c>
      <c r="D37">
        <v>23.2</v>
      </c>
      <c r="E37">
        <v>673.9</v>
      </c>
      <c r="F37">
        <v>22.9</v>
      </c>
      <c r="G37">
        <v>669.2</v>
      </c>
      <c r="H37">
        <v>23</v>
      </c>
      <c r="L37" s="35"/>
      <c r="M37" s="35"/>
      <c r="N37" s="42">
        <f t="shared" si="5"/>
        <v>4.89999999999998</v>
      </c>
      <c r="O37" s="42">
        <f t="shared" si="5"/>
        <v>-0.300000000000001</v>
      </c>
      <c r="P37" s="43">
        <f t="shared" si="0"/>
        <v>17.9529444699999</v>
      </c>
      <c r="Q37" s="42">
        <f t="shared" si="6"/>
        <v>0.200000000000045</v>
      </c>
      <c r="R37" s="42">
        <f t="shared" si="6"/>
        <v>-0.199999999999999</v>
      </c>
      <c r="S37" s="43">
        <f t="shared" si="3"/>
        <v>0.394814060000173</v>
      </c>
      <c r="T37" s="53">
        <v>1.4</v>
      </c>
      <c r="U37" s="35">
        <f t="shared" si="4"/>
        <v>40.5797101449275</v>
      </c>
      <c r="Y37" s="35"/>
      <c r="Z37" s="35"/>
      <c r="AA37" s="43">
        <v>17.9529444699999</v>
      </c>
      <c r="AB37" s="59">
        <v>17.5581304099997</v>
      </c>
      <c r="AC37" s="59">
        <v>0.394814060000173</v>
      </c>
      <c r="AD37" s="59">
        <v>40.5797101449275</v>
      </c>
      <c r="AE37" s="60">
        <v>0.43268249938928</v>
      </c>
      <c r="AF37" s="61">
        <v>0.0219916048122314</v>
      </c>
    </row>
    <row r="38" spans="1:32">
      <c r="A38" t="s">
        <v>103</v>
      </c>
      <c r="B38" s="37" t="s">
        <v>223</v>
      </c>
      <c r="C38">
        <v>799.1</v>
      </c>
      <c r="D38">
        <v>23.3</v>
      </c>
      <c r="E38">
        <v>799.9</v>
      </c>
      <c r="F38">
        <v>22.9</v>
      </c>
      <c r="G38">
        <v>798.8</v>
      </c>
      <c r="H38">
        <v>23</v>
      </c>
      <c r="L38" s="37"/>
      <c r="M38" s="37"/>
      <c r="N38" s="42">
        <f t="shared" si="5"/>
        <v>0.799999999999955</v>
      </c>
      <c r="O38" s="42">
        <f t="shared" si="5"/>
        <v>-0.400000000000002</v>
      </c>
      <c r="P38" s="43">
        <f t="shared" si="0"/>
        <v>2.29925623999982</v>
      </c>
      <c r="Q38" s="42">
        <f t="shared" si="6"/>
        <v>-0.300000000000068</v>
      </c>
      <c r="R38" s="42">
        <f t="shared" si="6"/>
        <v>-0.300000000000001</v>
      </c>
      <c r="S38" s="43">
        <f t="shared" si="3"/>
        <v>0</v>
      </c>
      <c r="T38" s="53">
        <v>1.1</v>
      </c>
      <c r="U38" s="35">
        <f t="shared" si="4"/>
        <v>31.8840579710145</v>
      </c>
      <c r="Y38" s="37"/>
      <c r="Z38" s="37"/>
      <c r="AA38" s="43">
        <v>2.29925623999982</v>
      </c>
      <c r="AB38" s="59">
        <v>2.29925623999982</v>
      </c>
      <c r="AC38" s="59">
        <v>0</v>
      </c>
      <c r="AD38" s="59">
        <v>31.8840579710145</v>
      </c>
      <c r="AE38" s="60">
        <v>0.0721130366181763</v>
      </c>
      <c r="AF38" s="61">
        <v>0</v>
      </c>
    </row>
    <row r="39" spans="1:32">
      <c r="A39" t="s">
        <v>103</v>
      </c>
      <c r="B39" s="35" t="s">
        <v>224</v>
      </c>
      <c r="C39">
        <v>675.9</v>
      </c>
      <c r="D39">
        <v>23.2</v>
      </c>
      <c r="E39">
        <v>678.2</v>
      </c>
      <c r="F39">
        <v>22.9</v>
      </c>
      <c r="G39">
        <v>675.7</v>
      </c>
      <c r="H39">
        <v>23</v>
      </c>
      <c r="L39" s="35"/>
      <c r="M39" s="35"/>
      <c r="N39" s="42">
        <f t="shared" si="5"/>
        <v>2.30000000000007</v>
      </c>
      <c r="O39" s="42">
        <f t="shared" si="5"/>
        <v>-0.300000000000001</v>
      </c>
      <c r="P39" s="43">
        <f t="shared" si="0"/>
        <v>8.14036169000026</v>
      </c>
      <c r="Q39" s="42">
        <f t="shared" si="6"/>
        <v>-0.199999999999932</v>
      </c>
      <c r="R39" s="42">
        <f t="shared" si="6"/>
        <v>-0.199999999999999</v>
      </c>
      <c r="S39" s="43">
        <f t="shared" si="3"/>
        <v>0</v>
      </c>
      <c r="T39" s="54">
        <v>0.8</v>
      </c>
      <c r="U39" s="37">
        <f t="shared" si="4"/>
        <v>23.1884057971014</v>
      </c>
      <c r="Y39" s="35"/>
      <c r="Z39" s="35"/>
      <c r="AA39" s="43">
        <v>8.14036169000026</v>
      </c>
      <c r="AB39" s="59">
        <v>8.14036169000026</v>
      </c>
      <c r="AC39" s="59">
        <v>0</v>
      </c>
      <c r="AD39" s="59">
        <v>23.1884057971014</v>
      </c>
      <c r="AE39" s="60">
        <v>0.351053097881262</v>
      </c>
      <c r="AF39" s="61">
        <v>0</v>
      </c>
    </row>
    <row r="40" spans="1:32">
      <c r="A40" t="s">
        <v>103</v>
      </c>
      <c r="B40" s="35" t="s">
        <v>225</v>
      </c>
      <c r="C40">
        <v>580</v>
      </c>
      <c r="D40">
        <v>23.3</v>
      </c>
      <c r="E40">
        <v>582.9</v>
      </c>
      <c r="F40">
        <v>23</v>
      </c>
      <c r="G40">
        <v>580.4</v>
      </c>
      <c r="H40">
        <v>23.1</v>
      </c>
      <c r="L40" s="35"/>
      <c r="M40" s="35"/>
      <c r="N40" s="42">
        <f t="shared" si="5"/>
        <v>2.89999999999998</v>
      </c>
      <c r="O40" s="42">
        <f t="shared" si="5"/>
        <v>-0.300000000000001</v>
      </c>
      <c r="P40" s="43">
        <f t="shared" si="0"/>
        <v>10.4048038699999</v>
      </c>
      <c r="Q40" s="42">
        <f t="shared" si="6"/>
        <v>0.399999999999977</v>
      </c>
      <c r="R40" s="42">
        <f t="shared" si="6"/>
        <v>-0.199999999999999</v>
      </c>
      <c r="S40" s="43">
        <f t="shared" si="3"/>
        <v>1.14962811999992</v>
      </c>
      <c r="T40" s="53">
        <v>0.6</v>
      </c>
      <c r="U40" s="35">
        <f t="shared" si="4"/>
        <v>17.3913043478261</v>
      </c>
      <c r="Y40" s="35"/>
      <c r="Z40" s="35"/>
      <c r="AA40" s="43">
        <v>10.4048038699999</v>
      </c>
      <c r="AB40" s="59">
        <v>9.25517575</v>
      </c>
      <c r="AC40" s="59">
        <v>1.14962811999992</v>
      </c>
      <c r="AD40" s="59">
        <v>17.3913043478261</v>
      </c>
      <c r="AE40" s="60">
        <v>0.532172605625</v>
      </c>
      <c r="AF40" s="61">
        <v>0.110490128825458</v>
      </c>
    </row>
    <row r="41" spans="1:32">
      <c r="A41" t="s">
        <v>103</v>
      </c>
      <c r="B41" s="37" t="s">
        <v>226</v>
      </c>
      <c r="C41">
        <v>710.2</v>
      </c>
      <c r="D41">
        <v>23.2</v>
      </c>
      <c r="E41">
        <v>712.2</v>
      </c>
      <c r="F41">
        <v>22.9</v>
      </c>
      <c r="G41">
        <v>710.3</v>
      </c>
      <c r="H41">
        <v>22.9</v>
      </c>
      <c r="L41" s="37"/>
      <c r="M41" s="37"/>
      <c r="N41" s="42">
        <f t="shared" si="5"/>
        <v>2</v>
      </c>
      <c r="O41" s="42">
        <f t="shared" si="5"/>
        <v>-0.300000000000001</v>
      </c>
      <c r="P41" s="43">
        <f t="shared" si="0"/>
        <v>7.0081406</v>
      </c>
      <c r="Q41" s="42">
        <f t="shared" si="6"/>
        <v>0.0999999999999091</v>
      </c>
      <c r="R41" s="42">
        <f t="shared" si="6"/>
        <v>-0.300000000000001</v>
      </c>
      <c r="S41" s="43">
        <f t="shared" si="3"/>
        <v>0</v>
      </c>
      <c r="T41" s="53">
        <v>0.4</v>
      </c>
      <c r="U41" s="35">
        <f t="shared" si="4"/>
        <v>11.5942028985507</v>
      </c>
      <c r="Y41" s="37"/>
      <c r="Z41" s="37"/>
      <c r="AA41" s="43">
        <v>7.0081406</v>
      </c>
      <c r="AB41" s="59">
        <v>7.0081406</v>
      </c>
      <c r="AC41" s="59">
        <v>0</v>
      </c>
      <c r="AD41" s="59">
        <v>11.5942028985507</v>
      </c>
      <c r="AE41" s="60">
        <v>0.604452126750001</v>
      </c>
      <c r="AF41" s="61">
        <v>0</v>
      </c>
    </row>
    <row r="42" spans="1:32">
      <c r="A42" t="s">
        <v>103</v>
      </c>
      <c r="B42" s="35" t="s">
        <v>227</v>
      </c>
      <c r="C42">
        <v>594.7</v>
      </c>
      <c r="D42">
        <v>23.3</v>
      </c>
      <c r="E42">
        <v>596.3</v>
      </c>
      <c r="F42">
        <v>23.1</v>
      </c>
      <c r="G42">
        <v>594.3</v>
      </c>
      <c r="H42">
        <v>23</v>
      </c>
      <c r="L42" s="36"/>
      <c r="M42" s="36"/>
      <c r="N42" s="42">
        <f t="shared" si="5"/>
        <v>1.59999999999991</v>
      </c>
      <c r="O42" s="42">
        <f t="shared" si="5"/>
        <v>-0.199999999999999</v>
      </c>
      <c r="P42" s="43">
        <f t="shared" si="0"/>
        <v>5.67851247999966</v>
      </c>
      <c r="Q42" s="42">
        <f t="shared" si="6"/>
        <v>-0.400000000000091</v>
      </c>
      <c r="R42" s="42">
        <f t="shared" si="6"/>
        <v>-0.300000000000001</v>
      </c>
      <c r="S42" s="43">
        <f t="shared" si="3"/>
        <v>0</v>
      </c>
      <c r="T42" s="54">
        <v>0.3</v>
      </c>
      <c r="U42" s="37">
        <f t="shared" si="4"/>
        <v>8.69565217391304</v>
      </c>
      <c r="Y42" s="36"/>
      <c r="Z42" s="36"/>
      <c r="AA42" s="43">
        <v>5.67851247999966</v>
      </c>
      <c r="AB42" s="59">
        <v>5.67851247999966</v>
      </c>
      <c r="AC42" s="59">
        <v>0</v>
      </c>
      <c r="AD42" s="59">
        <v>8.69565217391304</v>
      </c>
      <c r="AE42" s="60">
        <v>0.653028935199961</v>
      </c>
      <c r="AF42" s="61">
        <v>0</v>
      </c>
    </row>
  </sheetData>
  <mergeCells count="19">
    <mergeCell ref="C13:D13"/>
    <mergeCell ref="E13:F13"/>
    <mergeCell ref="G13:H13"/>
    <mergeCell ref="N13:P13"/>
    <mergeCell ref="Q13:S13"/>
    <mergeCell ref="T13:U13"/>
    <mergeCell ref="AA13:AC13"/>
    <mergeCell ref="A13:A14"/>
    <mergeCell ref="B13:B14"/>
    <mergeCell ref="L13:L14"/>
    <mergeCell ref="M13:M14"/>
    <mergeCell ref="Y13:Y14"/>
    <mergeCell ref="Z13:Z14"/>
    <mergeCell ref="AD13:AD14"/>
    <mergeCell ref="AE13:AE14"/>
    <mergeCell ref="AF13:AF14"/>
    <mergeCell ref="A11:H12"/>
    <mergeCell ref="Y11:AF12"/>
    <mergeCell ref="L11:U12"/>
  </mergeCells>
  <pageMargins left="0.75" right="0.75" top="1" bottom="1" header="0.511805555555556" footer="0.511805555555556"/>
  <headerFooter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6151" name="Button 7" r:id="rId3">
              <controlPr print="0" defaultSize="0">
                <anchor moveWithCells="1">
                  <from>
                    <xdr:col>8</xdr:col>
                    <xdr:colOff>419100</xdr:colOff>
                    <xdr:row>7</xdr:row>
                    <xdr:rowOff>161925</xdr:rowOff>
                  </from>
                  <to>
                    <xdr:col>10</xdr:col>
                    <xdr:colOff>95250</xdr:colOff>
                    <xdr:row>9</xdr:row>
                    <xdr:rowOff>133350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52" name="Button 8" r:id="rId4">
              <controlPr print="0" defaultSize="0">
                <anchor moveWithCells="1">
                  <from>
                    <xdr:col>8</xdr:col>
                    <xdr:colOff>419100</xdr:colOff>
                    <xdr:row>5</xdr:row>
                    <xdr:rowOff>133350</xdr:rowOff>
                  </from>
                  <to>
                    <xdr:col>10</xdr:col>
                    <xdr:colOff>9525</xdr:colOff>
                    <xdr:row>7</xdr:row>
                    <xdr:rowOff>66675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>
  <sheetPr codeName="Sheet5"/>
  <dimension ref="A1:S40"/>
  <sheetViews>
    <sheetView workbookViewId="0">
      <selection activeCell="K20" sqref="K20"/>
    </sheetView>
  </sheetViews>
  <sheetFormatPr defaultColWidth="9" defaultRowHeight="14.25"/>
  <sheetData>
    <row r="1" spans="1:2">
      <c r="A1" t="s">
        <v>228</v>
      </c>
      <c r="B1">
        <v>1</v>
      </c>
    </row>
    <row r="2" spans="1:19">
      <c r="A2" t="s">
        <v>210</v>
      </c>
      <c r="B2">
        <v>14</v>
      </c>
      <c r="C2" t="s">
        <v>211</v>
      </c>
      <c r="E2" t="s">
        <v>212</v>
      </c>
      <c r="G2" t="s">
        <v>213</v>
      </c>
      <c r="I2" t="s">
        <v>214</v>
      </c>
      <c r="K2" t="s">
        <v>215</v>
      </c>
      <c r="M2" t="s">
        <v>216</v>
      </c>
      <c r="O2" t="s">
        <v>217</v>
      </c>
      <c r="Q2" t="s">
        <v>218</v>
      </c>
      <c r="S2" t="s">
        <v>219</v>
      </c>
    </row>
    <row r="3" spans="1:2">
      <c r="A3" t="s">
        <v>75</v>
      </c>
      <c r="B3">
        <v>2</v>
      </c>
    </row>
    <row r="4" spans="1:2">
      <c r="A4" s="1" t="s">
        <v>80</v>
      </c>
      <c r="B4">
        <v>3.28</v>
      </c>
    </row>
    <row r="5" spans="1:2">
      <c r="A5" t="s">
        <v>81</v>
      </c>
      <c r="B5">
        <v>0.39</v>
      </c>
    </row>
    <row r="6" spans="1:2">
      <c r="A6" t="s">
        <v>82</v>
      </c>
      <c r="B6">
        <v>0.93</v>
      </c>
    </row>
    <row r="7" spans="1:2">
      <c r="A7" s="1" t="s">
        <v>83</v>
      </c>
      <c r="B7" s="2">
        <v>0.0244</v>
      </c>
    </row>
    <row r="8" spans="1:4">
      <c r="A8" t="s">
        <v>84</v>
      </c>
      <c r="B8" s="2">
        <v>0</v>
      </c>
      <c r="D8" s="2"/>
    </row>
    <row r="11" spans="1:12">
      <c r="A11" s="3" t="s">
        <v>129</v>
      </c>
      <c r="B11" s="3" t="s">
        <v>87</v>
      </c>
      <c r="C11" s="4" t="s">
        <v>88</v>
      </c>
      <c r="D11" s="4" t="s">
        <v>124</v>
      </c>
      <c r="E11" s="4"/>
      <c r="F11" s="4" t="s">
        <v>125</v>
      </c>
      <c r="G11" s="4"/>
      <c r="H11" s="4"/>
      <c r="I11" s="4" t="s">
        <v>98</v>
      </c>
      <c r="J11" s="4" t="s">
        <v>91</v>
      </c>
      <c r="K11" s="4" t="s">
        <v>94</v>
      </c>
      <c r="L11" s="4" t="s">
        <v>229</v>
      </c>
    </row>
    <row r="12" spans="1:12">
      <c r="A12" s="3"/>
      <c r="B12" s="5"/>
      <c r="C12" s="6"/>
      <c r="D12" s="4" t="s">
        <v>230</v>
      </c>
      <c r="E12" s="4" t="s">
        <v>97</v>
      </c>
      <c r="F12" s="4" t="s">
        <v>230</v>
      </c>
      <c r="G12" s="4" t="s">
        <v>96</v>
      </c>
      <c r="H12" s="4" t="s">
        <v>99</v>
      </c>
      <c r="I12" s="4"/>
      <c r="J12" s="4"/>
      <c r="K12" s="4"/>
      <c r="L12" s="4"/>
    </row>
    <row r="13" spans="1:12">
      <c r="A13" s="7" t="s">
        <v>100</v>
      </c>
      <c r="B13" s="8" t="s">
        <v>231</v>
      </c>
      <c r="C13" s="9">
        <v>8.74</v>
      </c>
      <c r="D13" s="9">
        <v>9.18</v>
      </c>
      <c r="E13" s="10">
        <v>0.44</v>
      </c>
      <c r="F13" s="9">
        <v>8.65</v>
      </c>
      <c r="G13" s="10">
        <v>-0.529999999999999</v>
      </c>
      <c r="H13" s="11">
        <v>0</v>
      </c>
      <c r="I13" s="21">
        <v>0.44</v>
      </c>
      <c r="J13" s="22">
        <v>0.473</v>
      </c>
      <c r="K13" s="21">
        <v>0.930232558139534</v>
      </c>
      <c r="L13" s="23">
        <v>0</v>
      </c>
    </row>
    <row r="14" spans="1:12">
      <c r="A14" s="7" t="s">
        <v>100</v>
      </c>
      <c r="B14" s="8" t="s">
        <v>232</v>
      </c>
      <c r="C14" s="9">
        <v>1.29</v>
      </c>
      <c r="D14" s="9">
        <v>1.8</v>
      </c>
      <c r="E14" s="10">
        <v>0.51</v>
      </c>
      <c r="F14" s="9">
        <v>1.15</v>
      </c>
      <c r="G14" s="10">
        <v>-0.65</v>
      </c>
      <c r="H14" s="11">
        <v>0</v>
      </c>
      <c r="I14" s="21">
        <v>0.51</v>
      </c>
      <c r="J14" s="22">
        <v>0.825</v>
      </c>
      <c r="K14" s="21">
        <v>0.618181818181818</v>
      </c>
      <c r="L14" s="23">
        <v>0</v>
      </c>
    </row>
    <row r="15" spans="1:12">
      <c r="A15" s="7" t="s">
        <v>100</v>
      </c>
      <c r="B15" s="8" t="s">
        <v>233</v>
      </c>
      <c r="C15" s="9">
        <v>8.04</v>
      </c>
      <c r="D15" s="9">
        <v>8.74</v>
      </c>
      <c r="E15" s="10">
        <v>0.700000000000001</v>
      </c>
      <c r="F15" s="9">
        <v>7.95</v>
      </c>
      <c r="G15" s="10">
        <v>-0.79</v>
      </c>
      <c r="H15" s="11">
        <v>0</v>
      </c>
      <c r="I15" s="21">
        <v>0.700000000000001</v>
      </c>
      <c r="J15" s="22">
        <v>1.245</v>
      </c>
      <c r="K15" s="21">
        <v>0.562248995983937</v>
      </c>
      <c r="L15" s="23">
        <v>0</v>
      </c>
    </row>
    <row r="16" spans="1:12">
      <c r="A16" s="7" t="s">
        <v>100</v>
      </c>
      <c r="B16" s="8" t="s">
        <v>234</v>
      </c>
      <c r="C16" s="12">
        <v>2.23</v>
      </c>
      <c r="D16" s="12">
        <v>3</v>
      </c>
      <c r="E16" s="10">
        <v>0.77</v>
      </c>
      <c r="F16" s="12">
        <v>2.2</v>
      </c>
      <c r="G16" s="10">
        <v>-0.8</v>
      </c>
      <c r="H16" s="11">
        <v>0</v>
      </c>
      <c r="I16" s="21">
        <v>0.77</v>
      </c>
      <c r="J16" s="22">
        <v>1.743</v>
      </c>
      <c r="K16" s="21">
        <v>0.441767068273092</v>
      </c>
      <c r="L16" s="23">
        <v>0</v>
      </c>
    </row>
    <row r="17" spans="1:12">
      <c r="A17" s="7" t="s">
        <v>100</v>
      </c>
      <c r="B17" s="8" t="s">
        <v>199</v>
      </c>
      <c r="C17" s="9">
        <v>4.05</v>
      </c>
      <c r="D17" s="9">
        <v>5.02</v>
      </c>
      <c r="E17" s="10">
        <v>0.97</v>
      </c>
      <c r="F17" s="9">
        <v>3.93</v>
      </c>
      <c r="G17" s="10">
        <v>-1.09</v>
      </c>
      <c r="H17" s="11">
        <v>0</v>
      </c>
      <c r="I17" s="21">
        <v>0.97</v>
      </c>
      <c r="J17" s="22">
        <v>2.342</v>
      </c>
      <c r="K17" s="21">
        <v>0.414175918018787</v>
      </c>
      <c r="L17" s="23">
        <v>0</v>
      </c>
    </row>
    <row r="18" spans="1:12">
      <c r="A18" s="7" t="s">
        <v>100</v>
      </c>
      <c r="B18" s="8" t="s">
        <v>200</v>
      </c>
      <c r="C18" s="9">
        <v>6.32</v>
      </c>
      <c r="D18" s="9">
        <v>7.6</v>
      </c>
      <c r="E18" s="10">
        <v>1.28</v>
      </c>
      <c r="F18" s="13">
        <v>6.24</v>
      </c>
      <c r="G18" s="10">
        <v>-1.36</v>
      </c>
      <c r="H18" s="11">
        <v>0</v>
      </c>
      <c r="I18" s="21">
        <v>1.28</v>
      </c>
      <c r="J18" s="22">
        <v>3.079</v>
      </c>
      <c r="K18" s="21">
        <v>0.415719389412147</v>
      </c>
      <c r="L18" s="23">
        <v>0</v>
      </c>
    </row>
    <row r="19" spans="1:12">
      <c r="A19" s="7" t="s">
        <v>100</v>
      </c>
      <c r="B19" s="8" t="s">
        <v>201</v>
      </c>
      <c r="C19" s="9">
        <v>7.98</v>
      </c>
      <c r="D19" s="9">
        <v>9.62</v>
      </c>
      <c r="E19" s="10">
        <v>1.64</v>
      </c>
      <c r="F19" s="13">
        <v>7.91</v>
      </c>
      <c r="G19" s="10">
        <v>-1.71</v>
      </c>
      <c r="H19" s="11">
        <v>0</v>
      </c>
      <c r="I19" s="21">
        <v>1.64</v>
      </c>
      <c r="J19" s="22">
        <v>4.008</v>
      </c>
      <c r="K19" s="21">
        <v>0.409181636726547</v>
      </c>
      <c r="L19" s="23">
        <v>0</v>
      </c>
    </row>
    <row r="20" spans="1:12">
      <c r="A20" s="7" t="s">
        <v>100</v>
      </c>
      <c r="B20" s="8" t="s">
        <v>202</v>
      </c>
      <c r="C20" s="9">
        <v>14.28</v>
      </c>
      <c r="D20" s="9">
        <v>16.31</v>
      </c>
      <c r="E20" s="10">
        <v>2.03</v>
      </c>
      <c r="F20" s="13">
        <v>14.19</v>
      </c>
      <c r="G20" s="10">
        <v>-2.12</v>
      </c>
      <c r="H20" s="11">
        <v>0</v>
      </c>
      <c r="I20" s="21">
        <v>2.03</v>
      </c>
      <c r="J20" s="22">
        <v>5.16</v>
      </c>
      <c r="K20" s="21">
        <v>0.393410852713178</v>
      </c>
      <c r="L20" s="23">
        <v>0</v>
      </c>
    </row>
    <row r="21" spans="1:12">
      <c r="A21" s="7" t="s">
        <v>100</v>
      </c>
      <c r="B21" s="8" t="s">
        <v>203</v>
      </c>
      <c r="C21" s="9">
        <v>12.58</v>
      </c>
      <c r="D21" s="9">
        <v>15.08</v>
      </c>
      <c r="E21" s="10">
        <v>2.5</v>
      </c>
      <c r="F21" s="13">
        <v>12.55</v>
      </c>
      <c r="G21" s="10">
        <v>-2.53</v>
      </c>
      <c r="H21" s="11">
        <v>0</v>
      </c>
      <c r="I21" s="21">
        <v>2.5</v>
      </c>
      <c r="J21" s="22">
        <v>5.953</v>
      </c>
      <c r="K21" s="21">
        <v>0.419956324542248</v>
      </c>
      <c r="L21" s="23">
        <v>0</v>
      </c>
    </row>
    <row r="22" spans="1:12">
      <c r="A22" s="7" t="s">
        <v>100</v>
      </c>
      <c r="B22" s="8" t="s">
        <v>204</v>
      </c>
      <c r="C22" s="9">
        <v>6.85</v>
      </c>
      <c r="D22" s="9">
        <v>9.65</v>
      </c>
      <c r="E22" s="10">
        <v>2.8</v>
      </c>
      <c r="F22" s="13">
        <v>6.8</v>
      </c>
      <c r="G22" s="10">
        <v>-2.85</v>
      </c>
      <c r="H22" s="11">
        <v>0</v>
      </c>
      <c r="I22" s="21">
        <v>2.8</v>
      </c>
      <c r="J22" s="22">
        <v>6.742</v>
      </c>
      <c r="K22" s="21">
        <v>0.415307030554732</v>
      </c>
      <c r="L22" s="23">
        <v>0</v>
      </c>
    </row>
    <row r="23" spans="1:12">
      <c r="A23" s="7" t="s">
        <v>100</v>
      </c>
      <c r="B23" s="8" t="s">
        <v>205</v>
      </c>
      <c r="C23" s="9">
        <v>11.92</v>
      </c>
      <c r="D23" s="9">
        <v>15.21</v>
      </c>
      <c r="E23" s="10">
        <v>3.29</v>
      </c>
      <c r="F23" s="13">
        <v>11.93</v>
      </c>
      <c r="G23" s="10">
        <v>-3.28</v>
      </c>
      <c r="H23" s="11">
        <v>0.00999999999999979</v>
      </c>
      <c r="I23" s="21">
        <v>3.28</v>
      </c>
      <c r="J23" s="22">
        <v>7.048</v>
      </c>
      <c r="K23" s="21">
        <v>0.465380249716232</v>
      </c>
      <c r="L23" s="23">
        <v>0.00303951367781148</v>
      </c>
    </row>
    <row r="24" spans="1:12">
      <c r="A24" s="7" t="s">
        <v>100</v>
      </c>
      <c r="B24" s="8" t="s">
        <v>206</v>
      </c>
      <c r="C24" s="9">
        <v>16.9</v>
      </c>
      <c r="D24" s="9">
        <v>20</v>
      </c>
      <c r="E24" s="10">
        <v>3.1</v>
      </c>
      <c r="F24" s="13">
        <v>16.78</v>
      </c>
      <c r="G24" s="10">
        <v>-3.22</v>
      </c>
      <c r="H24" s="11">
        <v>0</v>
      </c>
      <c r="I24" s="21">
        <v>3.1</v>
      </c>
      <c r="J24" s="22">
        <v>7.268</v>
      </c>
      <c r="K24" s="21">
        <v>0.42652724270776</v>
      </c>
      <c r="L24" s="23">
        <v>0</v>
      </c>
    </row>
    <row r="25" spans="1:12">
      <c r="A25" s="7" t="s">
        <v>100</v>
      </c>
      <c r="B25" s="8" t="s">
        <v>207</v>
      </c>
      <c r="C25" s="9">
        <v>12.43</v>
      </c>
      <c r="D25" s="9">
        <v>15.34</v>
      </c>
      <c r="E25" s="10">
        <v>2.91</v>
      </c>
      <c r="F25" s="13">
        <v>12.57</v>
      </c>
      <c r="G25" s="10">
        <v>-2.77</v>
      </c>
      <c r="H25" s="11">
        <v>0.140000000000001</v>
      </c>
      <c r="I25" s="21">
        <v>2.77</v>
      </c>
      <c r="J25" s="22">
        <v>6.793</v>
      </c>
      <c r="K25" s="21">
        <v>0.407772707198587</v>
      </c>
      <c r="L25" s="23">
        <v>0.048109965635739</v>
      </c>
    </row>
    <row r="26" ht="15" spans="1:12">
      <c r="A26" s="7" t="s">
        <v>100</v>
      </c>
      <c r="B26" s="14" t="s">
        <v>208</v>
      </c>
      <c r="C26" s="15">
        <v>13.65</v>
      </c>
      <c r="D26" s="15">
        <v>16.52</v>
      </c>
      <c r="E26" s="10">
        <v>2.87</v>
      </c>
      <c r="F26" s="16">
        <v>13.72</v>
      </c>
      <c r="G26" s="10">
        <v>-2.8</v>
      </c>
      <c r="H26" s="11">
        <v>0.0700000000000003</v>
      </c>
      <c r="I26" s="21">
        <v>2.8</v>
      </c>
      <c r="J26" s="22">
        <v>6.702</v>
      </c>
      <c r="K26" s="21">
        <v>0.417785735601313</v>
      </c>
      <c r="L26" s="23">
        <v>0.0243902439024391</v>
      </c>
    </row>
    <row r="27" spans="1:12">
      <c r="A27" s="7"/>
      <c r="B27" s="8" t="s">
        <v>231</v>
      </c>
      <c r="C27" s="9">
        <v>8.74</v>
      </c>
      <c r="D27" s="17">
        <v>11.47</v>
      </c>
      <c r="E27" s="18">
        <v>2.73</v>
      </c>
      <c r="F27" s="17">
        <v>8.7</v>
      </c>
      <c r="G27" s="18">
        <v>-2.77</v>
      </c>
      <c r="H27" s="11">
        <v>0</v>
      </c>
      <c r="I27" s="24">
        <v>2.73</v>
      </c>
      <c r="J27" s="25">
        <v>6.632</v>
      </c>
      <c r="K27" s="24">
        <v>0.411640530759952</v>
      </c>
      <c r="L27" s="26">
        <v>0</v>
      </c>
    </row>
    <row r="28" spans="1:12">
      <c r="A28" s="7"/>
      <c r="B28" s="8" t="s">
        <v>232</v>
      </c>
      <c r="C28" s="9">
        <v>1.29</v>
      </c>
      <c r="D28" s="9">
        <v>4.19</v>
      </c>
      <c r="E28" s="10">
        <v>2.9</v>
      </c>
      <c r="F28" s="9">
        <v>1.23</v>
      </c>
      <c r="G28" s="10">
        <v>-2.96</v>
      </c>
      <c r="H28" s="11">
        <v>0</v>
      </c>
      <c r="I28" s="21">
        <v>2.9</v>
      </c>
      <c r="J28" s="22">
        <v>6.725</v>
      </c>
      <c r="K28" s="21">
        <v>0.431226765799257</v>
      </c>
      <c r="L28" s="23">
        <v>0</v>
      </c>
    </row>
    <row r="29" spans="1:12">
      <c r="A29" s="7"/>
      <c r="B29" s="8" t="s">
        <v>233</v>
      </c>
      <c r="C29" s="9">
        <v>8.04</v>
      </c>
      <c r="D29" s="9">
        <v>11.15</v>
      </c>
      <c r="E29" s="19">
        <v>3.11</v>
      </c>
      <c r="F29" s="9">
        <v>8</v>
      </c>
      <c r="G29" s="10">
        <v>-3.15</v>
      </c>
      <c r="H29" s="11">
        <v>0</v>
      </c>
      <c r="I29" s="27">
        <v>3.11</v>
      </c>
      <c r="J29" s="28">
        <v>7.195</v>
      </c>
      <c r="K29" s="27">
        <v>0.432244614315497</v>
      </c>
      <c r="L29" s="29">
        <v>0</v>
      </c>
    </row>
    <row r="30" spans="1:12">
      <c r="A30" s="7"/>
      <c r="B30" s="8" t="s">
        <v>234</v>
      </c>
      <c r="C30" s="12">
        <v>2.23</v>
      </c>
      <c r="D30" s="12">
        <v>5.35</v>
      </c>
      <c r="E30" s="10">
        <v>3.12</v>
      </c>
      <c r="F30" s="12">
        <v>2.25</v>
      </c>
      <c r="G30" s="20">
        <v>-3.1</v>
      </c>
      <c r="H30" s="11">
        <v>0.02</v>
      </c>
      <c r="I30" s="21">
        <v>3.1</v>
      </c>
      <c r="J30" s="22">
        <v>7</v>
      </c>
      <c r="K30" s="21">
        <v>0.442857142857143</v>
      </c>
      <c r="L30" s="23">
        <v>0.00641025641025642</v>
      </c>
    </row>
    <row r="31" spans="1:12">
      <c r="A31" s="7"/>
      <c r="B31" s="8" t="s">
        <v>199</v>
      </c>
      <c r="C31" s="9">
        <v>4.05</v>
      </c>
      <c r="D31" s="9">
        <v>6.97</v>
      </c>
      <c r="E31" s="10">
        <v>2.92</v>
      </c>
      <c r="F31" s="9">
        <v>3.96</v>
      </c>
      <c r="G31" s="10">
        <v>-3.01</v>
      </c>
      <c r="H31" s="11">
        <v>0</v>
      </c>
      <c r="I31" s="21">
        <v>2.92</v>
      </c>
      <c r="J31" s="22">
        <v>6.728</v>
      </c>
      <c r="K31" s="21">
        <v>0.434007134363853</v>
      </c>
      <c r="L31" s="23">
        <v>0</v>
      </c>
    </row>
    <row r="32" spans="1:12">
      <c r="A32" s="7"/>
      <c r="B32" s="8" t="s">
        <v>200</v>
      </c>
      <c r="C32" s="9">
        <v>6.32</v>
      </c>
      <c r="D32" s="9">
        <v>8.71</v>
      </c>
      <c r="E32" s="10">
        <v>2.39</v>
      </c>
      <c r="F32" s="13">
        <v>6.25</v>
      </c>
      <c r="G32" s="10">
        <v>-2.46</v>
      </c>
      <c r="H32" s="11">
        <v>0</v>
      </c>
      <c r="I32" s="21">
        <v>2.39</v>
      </c>
      <c r="J32" s="22">
        <v>5.975</v>
      </c>
      <c r="K32" s="21">
        <v>0.4</v>
      </c>
      <c r="L32" s="23">
        <v>0</v>
      </c>
    </row>
    <row r="33" spans="1:12">
      <c r="A33" s="7"/>
      <c r="B33" s="8" t="s">
        <v>201</v>
      </c>
      <c r="C33" s="9">
        <v>7.98</v>
      </c>
      <c r="D33" s="9">
        <v>10.17</v>
      </c>
      <c r="E33" s="20">
        <v>2.19</v>
      </c>
      <c r="F33" s="13">
        <v>7.92</v>
      </c>
      <c r="G33" s="10">
        <v>-2.25</v>
      </c>
      <c r="H33" s="11">
        <v>0</v>
      </c>
      <c r="I33" s="30">
        <v>2.19</v>
      </c>
      <c r="J33" s="31">
        <v>5.203</v>
      </c>
      <c r="K33" s="30">
        <v>0.420911012877186</v>
      </c>
      <c r="L33" s="32">
        <v>0</v>
      </c>
    </row>
    <row r="34" spans="1:12">
      <c r="A34" s="7"/>
      <c r="B34" s="8" t="s">
        <v>202</v>
      </c>
      <c r="C34" s="9">
        <v>14.28</v>
      </c>
      <c r="D34" s="9">
        <v>15.97</v>
      </c>
      <c r="E34" s="10">
        <v>1.69</v>
      </c>
      <c r="F34" s="13">
        <v>14.17</v>
      </c>
      <c r="G34" s="10">
        <v>-1.8</v>
      </c>
      <c r="H34" s="11">
        <v>0</v>
      </c>
      <c r="I34" s="21">
        <v>1.69</v>
      </c>
      <c r="J34" s="22">
        <v>4.043</v>
      </c>
      <c r="K34" s="21">
        <v>0.418006430868168</v>
      </c>
      <c r="L34" s="23">
        <v>0</v>
      </c>
    </row>
    <row r="35" spans="1:12">
      <c r="A35" s="7"/>
      <c r="B35" s="8" t="s">
        <v>203</v>
      </c>
      <c r="C35" s="9">
        <v>12.58</v>
      </c>
      <c r="D35" s="9">
        <v>13.91</v>
      </c>
      <c r="E35" s="19">
        <v>1.33</v>
      </c>
      <c r="F35" s="13">
        <v>12.53</v>
      </c>
      <c r="G35" s="10">
        <v>-1.38</v>
      </c>
      <c r="H35" s="11">
        <v>0</v>
      </c>
      <c r="I35" s="27">
        <v>1.33</v>
      </c>
      <c r="J35" s="28">
        <v>3.11</v>
      </c>
      <c r="K35" s="27">
        <v>0.427652733118971</v>
      </c>
      <c r="L35" s="29">
        <v>0</v>
      </c>
    </row>
    <row r="36" spans="1:12">
      <c r="A36" s="7"/>
      <c r="B36" s="8" t="s">
        <v>204</v>
      </c>
      <c r="C36" s="9">
        <v>6.85</v>
      </c>
      <c r="D36" s="9">
        <v>7.72</v>
      </c>
      <c r="E36" s="10">
        <v>0.87</v>
      </c>
      <c r="F36" s="13">
        <v>6.78</v>
      </c>
      <c r="G36" s="10">
        <v>-0.94</v>
      </c>
      <c r="H36" s="11">
        <v>0</v>
      </c>
      <c r="I36" s="21">
        <v>0.87</v>
      </c>
      <c r="J36" s="22">
        <v>2.369</v>
      </c>
      <c r="K36" s="21">
        <v>0.367243562684677</v>
      </c>
      <c r="L36" s="23">
        <v>0</v>
      </c>
    </row>
    <row r="37" spans="1:12">
      <c r="A37" s="7"/>
      <c r="B37" s="8" t="s">
        <v>205</v>
      </c>
      <c r="C37" s="9">
        <v>11.92</v>
      </c>
      <c r="D37" s="9">
        <v>12.73</v>
      </c>
      <c r="E37" s="10">
        <v>0.81</v>
      </c>
      <c r="F37" s="13">
        <v>11.9</v>
      </c>
      <c r="G37" s="10">
        <v>-0.83</v>
      </c>
      <c r="H37" s="11">
        <v>0</v>
      </c>
      <c r="I37" s="21">
        <v>0.81</v>
      </c>
      <c r="J37" s="22">
        <v>1.769</v>
      </c>
      <c r="K37" s="21">
        <v>0.457885811192765</v>
      </c>
      <c r="L37" s="23">
        <v>0</v>
      </c>
    </row>
    <row r="38" spans="1:12">
      <c r="A38" s="7"/>
      <c r="B38" s="8" t="s">
        <v>206</v>
      </c>
      <c r="C38" s="9">
        <v>16.9</v>
      </c>
      <c r="D38" s="9">
        <v>17.41</v>
      </c>
      <c r="E38" s="10">
        <v>0.510000000000002</v>
      </c>
      <c r="F38" s="13">
        <v>16.74</v>
      </c>
      <c r="G38" s="10">
        <v>-0.670000000000002</v>
      </c>
      <c r="H38" s="11">
        <v>0</v>
      </c>
      <c r="I38" s="21">
        <v>0.510000000000002</v>
      </c>
      <c r="J38" s="22">
        <v>1.271</v>
      </c>
      <c r="K38" s="21">
        <v>0.401258851298192</v>
      </c>
      <c r="L38" s="23">
        <v>0</v>
      </c>
    </row>
    <row r="39" spans="1:12">
      <c r="A39" s="7"/>
      <c r="B39" s="8" t="s">
        <v>207</v>
      </c>
      <c r="C39" s="9">
        <v>12.43</v>
      </c>
      <c r="D39" s="9">
        <v>12.84</v>
      </c>
      <c r="E39" s="20">
        <v>0.41</v>
      </c>
      <c r="F39" s="13">
        <v>12.5</v>
      </c>
      <c r="G39" s="10">
        <v>-0.34</v>
      </c>
      <c r="H39" s="11">
        <v>0.0700000000000003</v>
      </c>
      <c r="I39" s="30">
        <v>0.34</v>
      </c>
      <c r="J39" s="31">
        <v>0.852</v>
      </c>
      <c r="K39" s="30">
        <v>0.39906103286385</v>
      </c>
      <c r="L39" s="32">
        <v>0.170731707317074</v>
      </c>
    </row>
    <row r="40" ht="15" spans="1:12">
      <c r="A40" s="7"/>
      <c r="B40" s="14" t="s">
        <v>208</v>
      </c>
      <c r="C40" s="15">
        <v>13.65</v>
      </c>
      <c r="D40" s="9">
        <v>14.18</v>
      </c>
      <c r="E40" s="10">
        <v>0.529999999999999</v>
      </c>
      <c r="F40" s="13">
        <v>13.68</v>
      </c>
      <c r="G40" s="10">
        <v>-0.5</v>
      </c>
      <c r="H40" s="11">
        <v>0.0299999999999994</v>
      </c>
      <c r="I40" s="21">
        <v>0.5</v>
      </c>
      <c r="J40" s="22">
        <v>0.499</v>
      </c>
      <c r="K40" s="21">
        <v>1.00200400801603</v>
      </c>
      <c r="L40" s="23">
        <v>0.0566037735849045</v>
      </c>
    </row>
  </sheetData>
  <mergeCells count="9">
    <mergeCell ref="D11:E11"/>
    <mergeCell ref="F11:H11"/>
    <mergeCell ref="A11:A12"/>
    <mergeCell ref="B11:B12"/>
    <mergeCell ref="C11:C12"/>
    <mergeCell ref="I11:I12"/>
    <mergeCell ref="J11:J12"/>
    <mergeCell ref="K11:K12"/>
    <mergeCell ref="L11:L12"/>
  </mergeCells>
  <pageMargins left="0.75" right="0.75" top="1" bottom="1" header="0.511805555555556" footer="0.511805555555556"/>
  <pageSetup paperSize="9" orientation="portrait"/>
  <headerFooter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HeadingPairs>
    <vt:vector size="2" baseType="variant">
      <vt:variant>
        <vt:lpstr>工作表</vt:lpstr>
      </vt:variant>
      <vt:variant>
        <vt:i4>12</vt:i4>
      </vt:variant>
    </vt:vector>
  </HeadingPairs>
  <TitlesOfParts>
    <vt:vector size="12" baseType="lpstr">
      <vt:lpstr>首页</vt:lpstr>
      <vt:lpstr>仪器管理</vt:lpstr>
      <vt:lpstr>挠度</vt:lpstr>
      <vt:lpstr>应变</vt:lpstr>
      <vt:lpstr>栏杆推力</vt:lpstr>
      <vt:lpstr>生成Word报告</vt:lpstr>
      <vt:lpstr>原始记录</vt:lpstr>
      <vt:lpstr>水准测量转换</vt:lpstr>
      <vt:lpstr>草稿</vt:lpstr>
      <vt:lpstr>水准测量草稿</vt:lpstr>
      <vt:lpstr>应变测试</vt:lpstr>
      <vt:lpstr>挠度测试</vt:lpstr>
    </vt:vector>
  </TitlesOfParts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cp:lastModifiedBy>Administrator</cp:lastModifiedBy>
  <dcterms:created xsi:type="dcterms:W3CDTF">2015-06-05T18:19:00Z</dcterms:created>
  <dcterms:modified xsi:type="dcterms:W3CDTF">2019-05-04T01:23:33Z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KSOProductBuildVer">
    <vt:lpwstr>2052-10.8.0.6308</vt:lpwstr>
  </property>
</Properties>
</file>