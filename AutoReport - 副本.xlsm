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/>
  </bookViews>
  <sheets>
    <sheet name="应变" sheetId="2" r:id="rId1"/>
    <sheet name="挠度" sheetId="1" r:id="rId2"/>
    <sheet name="生成Word报告" sheetId="4" r:id="rId3"/>
    <sheet name="草稿" sheetId="3" r:id="rId4"/>
    <sheet name="挠度测试" sheetId="5" r:id="rId5"/>
    <sheet name="应变测试" sheetId="6" r:id="rId6"/>
  </sheets>
  <calcPr calcId="144525" refMode="R1C1"/>
</workbook>
</file>

<file path=xl/sharedStrings.xml><?xml version="1.0" encoding="utf-8"?>
<sst xmlns="http://schemas.openxmlformats.org/spreadsheetml/2006/main" count="85">
  <si>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</si>
  <si>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</si>
  <si>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</si>
  <si>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</si>
  <si>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</si>
  <si>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</si>
  <si>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</si>
  <si>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</si>
  <si>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</si>
  <si>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</si>
  <si>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</si>
  <si>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</si>
  <si>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最小校验系数</t>
  </si>
  <si>
    <t>应变计算公式</t>
  </si>
  <si>
    <t>最大校验系数</t>
  </si>
  <si>
    <t>其中G=3.7，C=1.020019</t>
  </si>
  <si>
    <t>最大相对残余应变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</si>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</sst>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_ "/>
    <numFmt numFmtId="177" formatCode="0_ "/>
    <numFmt numFmtId="178" formatCode="0.00_ "/>
  </numFmts>
  <fonts count="23">
    <font>
      <sz val="11"/>
      <color theme="1"/>
      <name val="等线"/>
      <charset val="134"/>
      <scheme val="minor"/>
    </font>
    <font>
      <sz val="12"/>
      <color indexed="16"/>
      <name val="宋体"/>
      <charset val="134"/>
    </font>
    <font>
      <sz val="12"/>
      <color indexed="60"/>
      <name val="宋体"/>
      <charset val="134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13" fillId="17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31" borderId="18" applyNumberFormat="0" applyFont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20" fillId="0" borderId="12" applyNumberFormat="0" applyFill="0" applyAlignment="0" applyProtection="0">
      <alignment vertical="center"/>
    </xf>
    <xf numFmtId="0" fontId="9" fillId="0" borderId="12" applyNumberFormat="0" applyFill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5" fillId="0" borderId="16" applyNumberFormat="0" applyFill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9" fillId="20" borderId="17" applyNumberFormat="0" applyAlignment="0" applyProtection="0">
      <alignment vertical="center"/>
    </xf>
    <xf numFmtId="0" fontId="14" fillId="20" borderId="13" applyNumberFormat="0" applyAlignment="0" applyProtection="0">
      <alignment vertical="center"/>
    </xf>
    <xf numFmtId="0" fontId="8" fillId="11" borderId="11" applyNumberFormat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5" fillId="0" borderId="14" applyNumberFormat="0" applyFill="0" applyAlignment="0" applyProtection="0">
      <alignment vertical="center"/>
    </xf>
    <xf numFmtId="0" fontId="16" fillId="0" borderId="15" applyNumberFormat="0" applyFill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</cellStyleXfs>
  <cellXfs count="69">
    <xf numFmtId="0" fontId="0" fillId="0" borderId="0" xfId="0"/>
    <xf numFmtId="10" fontId="0" fillId="0" borderId="0" xfId="0" applyNumberFormat="1"/>
    <xf numFmtId="0" fontId="0" fillId="2" borderId="0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4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176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6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6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7" fontId="0" fillId="0" borderId="9" xfId="0" applyNumberFormat="1" applyFont="1" applyBorder="1" applyAlignment="1">
      <alignment horizontal="center" vertical="center" wrapText="1"/>
    </xf>
    <xf numFmtId="178" fontId="0" fillId="0" borderId="5" xfId="0" applyNumberForma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177" fontId="0" fillId="0" borderId="2" xfId="0" applyNumberFormat="1" applyFont="1" applyFill="1" applyBorder="1" applyAlignment="1">
      <alignment horizontal="center" vertical="center" wrapText="1"/>
    </xf>
    <xf numFmtId="178" fontId="0" fillId="0" borderId="2" xfId="0" applyNumberFormat="1" applyFont="1" applyFill="1" applyBorder="1" applyAlignment="1">
      <alignment horizontal="center" vertical="center" wrapText="1"/>
    </xf>
    <xf numFmtId="10" fontId="0" fillId="0" borderId="2" xfId="0" applyNumberFormat="1" applyFont="1" applyFill="1" applyBorder="1" applyAlignment="1">
      <alignment horizontal="center" vertical="center" wrapText="1"/>
    </xf>
    <xf numFmtId="177" fontId="0" fillId="0" borderId="10" xfId="0" applyNumberFormat="1" applyFont="1" applyBorder="1" applyAlignment="1">
      <alignment horizontal="center" vertical="center" wrapText="1"/>
    </xf>
    <xf numFmtId="177" fontId="0" fillId="0" borderId="10" xfId="0" applyNumberFormat="1" applyFont="1" applyFill="1" applyBorder="1" applyAlignment="1">
      <alignment horizontal="center" vertical="center" wrapText="1"/>
    </xf>
    <xf numFmtId="178" fontId="0" fillId="0" borderId="10" xfId="0" applyNumberFormat="1" applyFont="1" applyFill="1" applyBorder="1" applyAlignment="1">
      <alignment horizontal="center" vertical="center" wrapText="1"/>
    </xf>
    <xf numFmtId="10" fontId="0" fillId="0" borderId="10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8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177" fontId="0" fillId="3" borderId="2" xfId="0" applyNumberFormat="1" applyFill="1" applyBorder="1" applyAlignment="1">
      <alignment horizontal="center" vertical="center" wrapText="1"/>
    </xf>
    <xf numFmtId="178" fontId="0" fillId="3" borderId="2" xfId="0" applyNumberFormat="1" applyFill="1" applyBorder="1" applyAlignment="1">
      <alignment horizontal="center" vertical="center" wrapText="1"/>
    </xf>
    <xf numFmtId="178" fontId="0" fillId="4" borderId="2" xfId="0" applyNumberFormat="1" applyFill="1" applyBorder="1" applyAlignment="1">
      <alignment horizontal="center" vertical="center" wrapText="1"/>
    </xf>
    <xf numFmtId="178" fontId="0" fillId="3" borderId="4" xfId="0" applyNumberForma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177" fontId="0" fillId="3" borderId="10" xfId="0" applyNumberFormat="1" applyFill="1" applyBorder="1" applyAlignment="1">
      <alignment horizontal="center" vertical="center" wrapText="1"/>
    </xf>
    <xf numFmtId="178" fontId="0" fillId="3" borderId="10" xfId="0" applyNumberForma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178" fontId="0" fillId="3" borderId="5" xfId="0" applyNumberFormat="1" applyFill="1" applyBorder="1" applyAlignment="1">
      <alignment horizontal="center" vertical="center" wrapText="1"/>
    </xf>
    <xf numFmtId="178" fontId="0" fillId="4" borderId="5" xfId="0" applyNumberFormat="1" applyFill="1" applyBorder="1" applyAlignment="1">
      <alignment horizontal="center" vertical="center" wrapText="1"/>
    </xf>
    <xf numFmtId="178" fontId="0" fillId="4" borderId="3" xfId="0" applyNumberFormat="1" applyFill="1" applyBorder="1" applyAlignment="1">
      <alignment horizontal="center" vertical="center" wrapText="1"/>
    </xf>
    <xf numFmtId="178" fontId="0" fillId="4" borderId="4" xfId="0" applyNumberFormat="1" applyFill="1" applyBorder="1" applyAlignment="1">
      <alignment horizontal="center" vertical="center" wrapText="1"/>
    </xf>
    <xf numFmtId="178" fontId="0" fillId="0" borderId="2" xfId="0" applyNumberFormat="1" applyBorder="1"/>
    <xf numFmtId="0" fontId="0" fillId="3" borderId="2" xfId="0" applyFill="1" applyBorder="1"/>
    <xf numFmtId="10" fontId="0" fillId="0" borderId="2" xfId="0" applyNumberFormat="1" applyBorder="1"/>
    <xf numFmtId="178" fontId="0" fillId="0" borderId="5" xfId="0" applyNumberFormat="1" applyBorder="1"/>
    <xf numFmtId="0" fontId="0" fillId="3" borderId="5" xfId="0" applyFill="1" applyBorder="1"/>
    <xf numFmtId="10" fontId="0" fillId="0" borderId="5" xfId="0" applyNumberFormat="1" applyBorder="1"/>
    <xf numFmtId="178" fontId="0" fillId="0" borderId="3" xfId="0" applyNumberFormat="1" applyBorder="1"/>
    <xf numFmtId="0" fontId="0" fillId="3" borderId="3" xfId="0" applyFill="1" applyBorder="1"/>
    <xf numFmtId="10" fontId="0" fillId="0" borderId="3" xfId="0" applyNumberFormat="1" applyBorder="1"/>
    <xf numFmtId="178" fontId="0" fillId="0" borderId="4" xfId="0" applyNumberFormat="1" applyBorder="1"/>
    <xf numFmtId="0" fontId="0" fillId="3" borderId="4" xfId="0" applyFill="1" applyBorder="1"/>
    <xf numFmtId="10" fontId="0" fillId="0" borderId="4" xfId="0" applyNumberFormat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161925</xdr:rowOff>
        </xdr:from>
        <xdr:to>
          <xdr:col>10</xdr:col>
          <xdr:colOff>95250</xdr:colOff>
          <xdr:row>7</xdr:row>
          <xdr:rowOff>133350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467475" y="10191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3</xdr:row>
          <xdr:rowOff>133350</xdr:rowOff>
        </xdr:from>
        <xdr:to>
          <xdr:col>10</xdr:col>
          <xdr:colOff>9525</xdr:colOff>
          <xdr:row>5</xdr:row>
          <xdr:rowOff>66675</xdr:rowOff>
        </xdr:to>
        <xdr:sp macro="[0]!GenerateStrainRows_Click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6467475" y="6477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8</xdr:row>
          <xdr:rowOff>152400</xdr:rowOff>
        </xdr:from>
        <xdr:to>
          <xdr:col>14</xdr:col>
          <xdr:colOff>304800</xdr:colOff>
          <xdr:row>10</xdr:row>
          <xdr:rowOff>85725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44000" y="152400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5</xdr:row>
          <xdr:rowOff>57150</xdr:rowOff>
        </xdr:from>
        <xdr:to>
          <xdr:col>14</xdr:col>
          <xdr:colOff>285750</xdr:colOff>
          <xdr:row>6</xdr:row>
          <xdr:rowOff>161925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144000" y="9144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[0]!AutoWordDisp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等线"/>
                  <a:ea typeface="等线"/>
                  <a:cs typeface="等线"/>
                  <a:sym typeface="等线"/>
                </a:rPr>
                <a:t>导出Word报告</a:t>
              </a:r>
              <a:endParaRPr lang="zh-CN" altLang="en-US" sz="1100">
                <a:solidFill>
                  <a:srgbClr val="000000"/>
                </a:solidFill>
                <a:latin typeface="等线"/>
                <a:ea typeface="等线"/>
                <a:cs typeface="等线"/>
                <a:sym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11</xdr:row>
          <xdr:rowOff>133350</xdr:rowOff>
        </xdr:from>
        <xdr:to>
          <xdr:col>10</xdr:col>
          <xdr:colOff>38100</xdr:colOff>
          <xdr:row>12</xdr:row>
          <xdr:rowOff>57150</xdr:rowOff>
        </xdr:to>
        <xdr:sp macro="[0]!AutoStrain_Click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5848350" y="202882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9</xdr:row>
          <xdr:rowOff>47625</xdr:rowOff>
        </xdr:from>
        <xdr:to>
          <xdr:col>9</xdr:col>
          <xdr:colOff>647700</xdr:colOff>
          <xdr:row>10</xdr:row>
          <xdr:rowOff>152400</xdr:rowOff>
        </xdr:to>
        <xdr:sp macro="[0]!GenerateStrainRows_Click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5857875" y="1590675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161925</xdr:rowOff>
        </xdr:from>
        <xdr:to>
          <xdr:col>10</xdr:col>
          <xdr:colOff>95250</xdr:colOff>
          <xdr:row>7</xdr:row>
          <xdr:rowOff>133350</xdr:rowOff>
        </xdr:to>
        <xdr:sp macro="[0]!AutoStrain_Click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5905500" y="10191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3</xdr:row>
          <xdr:rowOff>133350</xdr:rowOff>
        </xdr:from>
        <xdr:to>
          <xdr:col>10</xdr:col>
          <xdr:colOff>9525</xdr:colOff>
          <xdr:row>5</xdr:row>
          <xdr:rowOff>66675</xdr:rowOff>
        </xdr:to>
        <xdr:sp macro="[0]!GenerateStrainRows_Click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5905500" y="6477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.xml"/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0"/>
  <sheetViews>
    <sheetView tabSelected="1" workbookViewId="0">
      <selection activeCell="A1" sqref="A1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21">
      <c r="A4" t="s">
        <v>12</v>
      </c>
      <c r="B4">
        <v>0.08</v>
      </c>
      <c r="D4">
        <v>0.07</v>
      </c>
      <c r="J4" s="9"/>
      <c r="S4" s="9"/>
      <c r="U4" s="9" t="s">
        <v>13</v>
      </c>
    </row>
    <row r="5" spans="1:21">
      <c r="A5" t="s">
        <v>14</v>
      </c>
      <c r="B5">
        <v>0.87</v>
      </c>
      <c r="D5">
        <v>0.65</v>
      </c>
      <c r="J5" s="9"/>
      <c r="S5" s="9"/>
      <c r="U5" s="9" t="s">
        <v>15</v>
      </c>
    </row>
    <row r="6" spans="1:4">
      <c r="A6" t="s">
        <v>16</v>
      </c>
      <c r="B6" s="1">
        <v>0.186</v>
      </c>
      <c r="D6" s="1">
        <v>0.1105</v>
      </c>
    </row>
    <row r="7" spans="2:4">
      <c r="B7" s="1"/>
      <c r="D7" s="1"/>
    </row>
    <row r="8" spans="2:4">
      <c r="B8" s="1"/>
      <c r="D8" s="1"/>
    </row>
    <row r="9" spans="1:32">
      <c r="A9" s="2" t="s">
        <v>17</v>
      </c>
      <c r="B9" s="2"/>
      <c r="C9" s="2"/>
      <c r="D9" s="2"/>
      <c r="E9" s="2"/>
      <c r="F9" s="2"/>
      <c r="G9" s="2"/>
      <c r="H9" s="2"/>
      <c r="L9" s="10" t="s">
        <v>18</v>
      </c>
      <c r="M9" s="10"/>
      <c r="N9" s="10"/>
      <c r="O9" s="10"/>
      <c r="P9" s="10"/>
      <c r="Q9" s="10"/>
      <c r="R9" s="10"/>
      <c r="S9" s="10"/>
      <c r="T9" s="10"/>
      <c r="U9" s="10"/>
      <c r="Y9" s="10" t="s">
        <v>19</v>
      </c>
      <c r="Z9" s="10"/>
      <c r="AA9" s="10"/>
      <c r="AB9" s="10"/>
      <c r="AC9" s="10"/>
      <c r="AD9" s="10"/>
      <c r="AE9" s="10"/>
      <c r="AF9" s="10"/>
    </row>
    <row r="10" spans="1:32">
      <c r="A10" s="3"/>
      <c r="B10" s="3"/>
      <c r="C10" s="3"/>
      <c r="D10" s="3"/>
      <c r="E10" s="3"/>
      <c r="F10" s="3"/>
      <c r="G10" s="3"/>
      <c r="H10" s="3"/>
      <c r="L10" s="3"/>
      <c r="M10" s="3"/>
      <c r="N10" s="3"/>
      <c r="O10" s="3"/>
      <c r="P10" s="3"/>
      <c r="Q10" s="3"/>
      <c r="R10" s="3"/>
      <c r="S10" s="3"/>
      <c r="T10" s="3"/>
      <c r="U10" s="3"/>
      <c r="Y10" s="3"/>
      <c r="Z10" s="3"/>
      <c r="AA10" s="3"/>
      <c r="AB10" s="3"/>
      <c r="AC10" s="3"/>
      <c r="AD10" s="3"/>
      <c r="AE10" s="3"/>
      <c r="AF10" s="3"/>
    </row>
    <row r="11" ht="14.25" spans="1:32">
      <c r="A11" s="4" t="s">
        <v>20</v>
      </c>
      <c r="B11" s="4" t="s">
        <v>21</v>
      </c>
      <c r="C11" s="4" t="s">
        <v>22</v>
      </c>
      <c r="D11" s="4"/>
      <c r="E11" s="4" t="s">
        <v>23</v>
      </c>
      <c r="F11" s="4"/>
      <c r="G11" s="4" t="s">
        <v>24</v>
      </c>
      <c r="H11" s="4"/>
      <c r="L11" s="4" t="s">
        <v>20</v>
      </c>
      <c r="M11" s="4" t="s">
        <v>21</v>
      </c>
      <c r="N11" s="11" t="s">
        <v>23</v>
      </c>
      <c r="O11" s="11"/>
      <c r="P11" s="11"/>
      <c r="Q11" s="18" t="s">
        <v>24</v>
      </c>
      <c r="R11" s="19"/>
      <c r="S11" s="20"/>
      <c r="T11" s="11" t="s">
        <v>25</v>
      </c>
      <c r="U11" s="11"/>
      <c r="Y11" s="29" t="s">
        <v>20</v>
      </c>
      <c r="Z11" s="29" t="s">
        <v>21</v>
      </c>
      <c r="AA11" s="4" t="s">
        <v>26</v>
      </c>
      <c r="AB11" s="4"/>
      <c r="AC11" s="4"/>
      <c r="AD11" s="4" t="s">
        <v>27</v>
      </c>
      <c r="AE11" s="4" t="s">
        <v>28</v>
      </c>
      <c r="AF11" s="29" t="s">
        <v>29</v>
      </c>
    </row>
    <row r="12" ht="30.75" spans="1:32">
      <c r="A12" s="4"/>
      <c r="B12" s="4"/>
      <c r="C12" s="4" t="s">
        <v>30</v>
      </c>
      <c r="D12" s="4" t="s">
        <v>31</v>
      </c>
      <c r="E12" s="4" t="s">
        <v>30</v>
      </c>
      <c r="F12" s="4" t="s">
        <v>32</v>
      </c>
      <c r="G12" s="4" t="s">
        <v>30</v>
      </c>
      <c r="H12" s="4" t="s">
        <v>32</v>
      </c>
      <c r="L12" s="4"/>
      <c r="M12" s="4"/>
      <c r="N12" s="11" t="s">
        <v>33</v>
      </c>
      <c r="O12" s="11" t="s">
        <v>34</v>
      </c>
      <c r="P12" s="11" t="s">
        <v>35</v>
      </c>
      <c r="Q12" s="11" t="s">
        <v>33</v>
      </c>
      <c r="R12" s="11" t="s">
        <v>34</v>
      </c>
      <c r="S12" s="11" t="s">
        <v>36</v>
      </c>
      <c r="T12" s="4" t="s">
        <v>37</v>
      </c>
      <c r="U12" s="4" t="s">
        <v>35</v>
      </c>
      <c r="Y12" s="30"/>
      <c r="Z12" s="30"/>
      <c r="AA12" s="4" t="s">
        <v>38</v>
      </c>
      <c r="AB12" s="4" t="s">
        <v>39</v>
      </c>
      <c r="AC12" s="4" t="s">
        <v>36</v>
      </c>
      <c r="AD12" s="4"/>
      <c r="AE12" s="4"/>
      <c r="AF12" s="30"/>
    </row>
    <row r="13" spans="1:32">
      <c r="A13" t="s">
        <v>40</v>
      </c>
      <c r="B13" s="5" t="s">
        <v>41</v>
      </c>
      <c r="C13">
        <v>650.9</v>
      </c>
      <c r="D13">
        <v>23.3</v>
      </c>
      <c r="E13">
        <v>653.5</v>
      </c>
      <c r="F13">
        <v>23</v>
      </c>
      <c r="G13">
        <v>651.5</v>
      </c>
      <c r="H13">
        <v>23</v>
      </c>
      <c r="L13" s="5"/>
      <c r="M13" s="5"/>
      <c r="N13" s="12">
        <f>E13-C13</f>
        <v>2.60000000000002</v>
      </c>
      <c r="O13" s="12">
        <f>F13-D13</f>
        <v>-0.300000000000001</v>
      </c>
      <c r="P13" s="13">
        <f t="shared" ref="P13:P40" si="0">3.7*1.020019*(N13)+1.8*(O13)</f>
        <v>9.27258278000009</v>
      </c>
      <c r="Q13" s="12">
        <f>G13-C13</f>
        <v>0.600000000000023</v>
      </c>
      <c r="R13" s="12">
        <f>H13-D13</f>
        <v>-0.300000000000001</v>
      </c>
      <c r="S13" s="13">
        <f>IF(3.7*1.020019*(Q13)+1.8*(R13)&gt;=0,3.7*1.020019*(Q13)+1.8*(R13),0)</f>
        <v>1.72444218000008</v>
      </c>
      <c r="T13" s="21">
        <v>0.3</v>
      </c>
      <c r="U13" s="5">
        <f>T13*100/3.45</f>
        <v>8.69565217391304</v>
      </c>
      <c r="Y13" s="5"/>
      <c r="Z13" s="5"/>
      <c r="AA13" s="13">
        <v>9.27258278000009</v>
      </c>
      <c r="AB13" s="31">
        <v>7.5481406</v>
      </c>
      <c r="AC13" s="31">
        <v>1.72444218000008</v>
      </c>
      <c r="AD13" s="31">
        <v>8.69565217391304</v>
      </c>
      <c r="AE13" s="32">
        <v>0.868036169</v>
      </c>
      <c r="AF13" s="33">
        <v>0.185972152626074</v>
      </c>
    </row>
    <row r="14" spans="1:32">
      <c r="A14" t="s">
        <v>40</v>
      </c>
      <c r="B14" s="5" t="s">
        <v>42</v>
      </c>
      <c r="C14">
        <v>651.9</v>
      </c>
      <c r="D14">
        <v>23.4</v>
      </c>
      <c r="E14">
        <v>653.7</v>
      </c>
      <c r="F14">
        <v>23.2</v>
      </c>
      <c r="G14">
        <v>652.3</v>
      </c>
      <c r="H14">
        <v>23.1</v>
      </c>
      <c r="L14" s="5"/>
      <c r="M14" s="5"/>
      <c r="N14" s="12">
        <f t="shared" ref="N14:O29" si="1">E14-C14</f>
        <v>1.80000000000007</v>
      </c>
      <c r="O14" s="12">
        <f t="shared" si="1"/>
        <v>-0.199999999999999</v>
      </c>
      <c r="P14" s="13">
        <f t="shared" si="0"/>
        <v>6.43332654000026</v>
      </c>
      <c r="Q14" s="12">
        <f t="shared" ref="Q14:R29" si="2">G14-C14</f>
        <v>0.399999999999977</v>
      </c>
      <c r="R14" s="12">
        <f t="shared" si="2"/>
        <v>-0.299999999999997</v>
      </c>
      <c r="S14" s="13">
        <f t="shared" ref="S14:S28" si="3">IF(3.7*1.020019*(Q14)+1.8*(R14)&gt;=0,3.7*1.020019*(Q14)+1.8*(R14),0)</f>
        <v>0.969628119999919</v>
      </c>
      <c r="T14" s="22">
        <v>0.4</v>
      </c>
      <c r="U14" s="5">
        <f t="shared" ref="U14:U40" si="4">T14*100/3.45</f>
        <v>11.5942028985507</v>
      </c>
      <c r="Y14" s="5"/>
      <c r="Z14" s="5"/>
      <c r="AA14" s="13">
        <v>6.43332654000026</v>
      </c>
      <c r="AB14" s="31">
        <v>5.46369842000034</v>
      </c>
      <c r="AC14" s="31">
        <v>0.969628119999919</v>
      </c>
      <c r="AD14" s="31">
        <v>11.5942028985507</v>
      </c>
      <c r="AE14" s="32">
        <v>0.47124398872503</v>
      </c>
      <c r="AF14" s="33">
        <v>0.150719556044777</v>
      </c>
    </row>
    <row r="15" spans="1:32">
      <c r="A15" t="s">
        <v>40</v>
      </c>
      <c r="B15" s="6" t="s">
        <v>43</v>
      </c>
      <c r="C15">
        <v>629.4</v>
      </c>
      <c r="D15">
        <v>23.3</v>
      </c>
      <c r="E15">
        <v>632.3</v>
      </c>
      <c r="F15">
        <v>23.1</v>
      </c>
      <c r="G15">
        <v>630</v>
      </c>
      <c r="H15">
        <v>23</v>
      </c>
      <c r="L15" s="6"/>
      <c r="M15" s="6"/>
      <c r="N15" s="12">
        <f t="shared" si="1"/>
        <v>2.89999999999998</v>
      </c>
      <c r="O15" s="12">
        <f t="shared" si="1"/>
        <v>-0.199999999999999</v>
      </c>
      <c r="P15" s="13">
        <f t="shared" si="0"/>
        <v>10.5848038699999</v>
      </c>
      <c r="Q15" s="12">
        <f t="shared" si="2"/>
        <v>0.600000000000023</v>
      </c>
      <c r="R15" s="12">
        <f t="shared" si="2"/>
        <v>-0.300000000000001</v>
      </c>
      <c r="S15" s="13">
        <f t="shared" si="3"/>
        <v>1.72444218000008</v>
      </c>
      <c r="T15" s="23">
        <v>0.6</v>
      </c>
      <c r="U15" s="6">
        <f t="shared" si="4"/>
        <v>17.3913043478261</v>
      </c>
      <c r="Y15" s="6"/>
      <c r="Z15" s="6"/>
      <c r="AA15" s="13">
        <v>10.5848038699999</v>
      </c>
      <c r="AB15" s="31">
        <v>8.86036168999983</v>
      </c>
      <c r="AC15" s="31">
        <v>1.72444218000008</v>
      </c>
      <c r="AD15" s="31">
        <v>17.3913043478261</v>
      </c>
      <c r="AE15" s="32">
        <v>0.50947079717499</v>
      </c>
      <c r="AF15" s="33">
        <v>0.162916781565278</v>
      </c>
    </row>
    <row r="16" spans="1:32">
      <c r="A16" t="s">
        <v>40</v>
      </c>
      <c r="B16" s="5" t="s">
        <v>44</v>
      </c>
      <c r="C16">
        <v>470</v>
      </c>
      <c r="D16">
        <v>23.3</v>
      </c>
      <c r="E16">
        <v>470.8</v>
      </c>
      <c r="F16">
        <v>23.1</v>
      </c>
      <c r="G16">
        <v>468.1</v>
      </c>
      <c r="H16">
        <v>23</v>
      </c>
      <c r="L16" s="5"/>
      <c r="M16" s="5"/>
      <c r="N16" s="12">
        <f t="shared" si="1"/>
        <v>0.800000000000011</v>
      </c>
      <c r="O16" s="12">
        <f t="shared" si="1"/>
        <v>-0.199999999999999</v>
      </c>
      <c r="P16" s="13">
        <f t="shared" si="0"/>
        <v>2.65925624000004</v>
      </c>
      <c r="Q16" s="12">
        <f t="shared" si="2"/>
        <v>-1.89999999999998</v>
      </c>
      <c r="R16" s="12">
        <f t="shared" si="2"/>
        <v>-0.300000000000001</v>
      </c>
      <c r="S16" s="13">
        <f t="shared" si="3"/>
        <v>0</v>
      </c>
      <c r="T16" s="24">
        <v>0.8</v>
      </c>
      <c r="U16" s="5">
        <f t="shared" si="4"/>
        <v>23.1884057971014</v>
      </c>
      <c r="Y16" s="5"/>
      <c r="Z16" s="5"/>
      <c r="AA16" s="13">
        <v>2.65925624000004</v>
      </c>
      <c r="AB16" s="31">
        <v>2.65925624000004</v>
      </c>
      <c r="AC16" s="31">
        <v>0</v>
      </c>
      <c r="AD16" s="31">
        <v>23.1884057971014</v>
      </c>
      <c r="AE16" s="32">
        <v>0.114680425350002</v>
      </c>
      <c r="AF16" s="33">
        <v>0</v>
      </c>
    </row>
    <row r="17" spans="1:32">
      <c r="A17" t="s">
        <v>40</v>
      </c>
      <c r="B17" s="5" t="s">
        <v>45</v>
      </c>
      <c r="C17">
        <v>671.1</v>
      </c>
      <c r="D17">
        <v>23.3</v>
      </c>
      <c r="E17">
        <v>675.2</v>
      </c>
      <c r="F17">
        <v>23.1</v>
      </c>
      <c r="G17">
        <v>669.9</v>
      </c>
      <c r="H17">
        <v>22.9</v>
      </c>
      <c r="L17" s="5"/>
      <c r="M17" s="5"/>
      <c r="N17" s="12">
        <f t="shared" si="1"/>
        <v>4.10000000000002</v>
      </c>
      <c r="O17" s="12">
        <f t="shared" si="1"/>
        <v>-0.199999999999999</v>
      </c>
      <c r="P17" s="13">
        <f t="shared" si="0"/>
        <v>15.1136882300001</v>
      </c>
      <c r="Q17" s="12">
        <f t="shared" si="2"/>
        <v>-1.20000000000005</v>
      </c>
      <c r="R17" s="12">
        <f t="shared" si="2"/>
        <v>-0.400000000000002</v>
      </c>
      <c r="S17" s="13">
        <f t="shared" si="3"/>
        <v>0</v>
      </c>
      <c r="T17" s="24">
        <v>1</v>
      </c>
      <c r="U17" s="5">
        <f t="shared" si="4"/>
        <v>28.9855072463768</v>
      </c>
      <c r="Y17" s="5"/>
      <c r="Z17" s="5"/>
      <c r="AA17" s="13">
        <v>15.1136882300001</v>
      </c>
      <c r="AB17" s="31">
        <v>15.1136882300001</v>
      </c>
      <c r="AC17" s="31">
        <v>0</v>
      </c>
      <c r="AD17" s="31">
        <v>28.9855072463768</v>
      </c>
      <c r="AE17" s="32">
        <v>0.521422243935003</v>
      </c>
      <c r="AF17" s="33">
        <v>0</v>
      </c>
    </row>
    <row r="18" spans="1:32">
      <c r="A18" t="s">
        <v>40</v>
      </c>
      <c r="B18" s="6" t="s">
        <v>46</v>
      </c>
      <c r="C18">
        <v>692.9</v>
      </c>
      <c r="D18">
        <v>23.3</v>
      </c>
      <c r="E18">
        <v>697.4</v>
      </c>
      <c r="F18">
        <v>23.1</v>
      </c>
      <c r="G18">
        <v>693.3</v>
      </c>
      <c r="H18">
        <v>23</v>
      </c>
      <c r="L18" s="6"/>
      <c r="M18" s="6"/>
      <c r="N18" s="12">
        <f t="shared" si="1"/>
        <v>4.5</v>
      </c>
      <c r="O18" s="12">
        <f t="shared" si="1"/>
        <v>-0.199999999999999</v>
      </c>
      <c r="P18" s="13">
        <f t="shared" si="0"/>
        <v>16.62331635</v>
      </c>
      <c r="Q18" s="12">
        <f t="shared" si="2"/>
        <v>0.399999999999977</v>
      </c>
      <c r="R18" s="12">
        <f t="shared" si="2"/>
        <v>-0.300000000000001</v>
      </c>
      <c r="S18" s="13">
        <f t="shared" si="3"/>
        <v>0.969628119999913</v>
      </c>
      <c r="T18" s="24">
        <v>1.4</v>
      </c>
      <c r="U18" s="5">
        <f t="shared" si="4"/>
        <v>40.5797101449275</v>
      </c>
      <c r="Y18" s="6"/>
      <c r="Z18" s="6"/>
      <c r="AA18" s="13">
        <v>16.62331635</v>
      </c>
      <c r="AB18" s="31">
        <v>15.6536882300001</v>
      </c>
      <c r="AC18" s="31">
        <v>0.969628119999913</v>
      </c>
      <c r="AD18" s="31">
        <v>40.5797101449275</v>
      </c>
      <c r="AE18" s="32">
        <v>0.385751602810717</v>
      </c>
      <c r="AF18" s="33">
        <v>0.0583294030856793</v>
      </c>
    </row>
    <row r="19" spans="1:32">
      <c r="A19" t="s">
        <v>40</v>
      </c>
      <c r="B19" s="5" t="s">
        <v>47</v>
      </c>
      <c r="C19">
        <v>355</v>
      </c>
      <c r="D19">
        <v>23.3</v>
      </c>
      <c r="E19">
        <v>356.2</v>
      </c>
      <c r="F19">
        <v>23.1</v>
      </c>
      <c r="G19">
        <v>354.8</v>
      </c>
      <c r="H19">
        <v>23</v>
      </c>
      <c r="L19" s="5"/>
      <c r="M19" s="5"/>
      <c r="N19" s="12">
        <f t="shared" si="1"/>
        <v>1.19999999999999</v>
      </c>
      <c r="O19" s="12">
        <f t="shared" si="1"/>
        <v>-0.199999999999999</v>
      </c>
      <c r="P19" s="13">
        <f t="shared" si="0"/>
        <v>4.16888435999996</v>
      </c>
      <c r="Q19" s="12">
        <f t="shared" si="2"/>
        <v>-0.199999999999989</v>
      </c>
      <c r="R19" s="12">
        <f t="shared" si="2"/>
        <v>-0.300000000000001</v>
      </c>
      <c r="S19" s="13">
        <f t="shared" si="3"/>
        <v>0</v>
      </c>
      <c r="T19" s="25">
        <v>1.9</v>
      </c>
      <c r="U19" s="7">
        <f t="shared" si="4"/>
        <v>55.0724637681159</v>
      </c>
      <c r="Y19" s="5"/>
      <c r="Z19" s="5"/>
      <c r="AA19" s="13">
        <v>4.16888435999996</v>
      </c>
      <c r="AB19" s="31">
        <v>4.16888435999996</v>
      </c>
      <c r="AC19" s="31">
        <v>0</v>
      </c>
      <c r="AD19" s="31">
        <v>55.0724637681159</v>
      </c>
      <c r="AE19" s="32">
        <v>0.0756981633789467</v>
      </c>
      <c r="AF19" s="33">
        <v>0</v>
      </c>
    </row>
    <row r="20" spans="1:32">
      <c r="A20" t="s">
        <v>40</v>
      </c>
      <c r="B20" s="5" t="s">
        <v>48</v>
      </c>
      <c r="C20">
        <v>732.4</v>
      </c>
      <c r="D20">
        <v>23.2</v>
      </c>
      <c r="E20">
        <v>738.8</v>
      </c>
      <c r="F20">
        <v>23.1</v>
      </c>
      <c r="G20">
        <v>732.5</v>
      </c>
      <c r="H20">
        <v>23</v>
      </c>
      <c r="L20" s="5"/>
      <c r="M20" s="5"/>
      <c r="N20" s="12">
        <f t="shared" si="1"/>
        <v>6.39999999999998</v>
      </c>
      <c r="O20" s="12">
        <f t="shared" si="1"/>
        <v>-0.0999999999999979</v>
      </c>
      <c r="P20" s="13">
        <f t="shared" si="0"/>
        <v>23.9740499199999</v>
      </c>
      <c r="Q20" s="12">
        <f t="shared" si="2"/>
        <v>0.100000000000023</v>
      </c>
      <c r="R20" s="12">
        <f t="shared" si="2"/>
        <v>-0.199999999999999</v>
      </c>
      <c r="S20" s="13">
        <f t="shared" si="3"/>
        <v>0.0174070300000871</v>
      </c>
      <c r="T20" s="24">
        <v>2.9</v>
      </c>
      <c r="U20" s="5">
        <f t="shared" si="4"/>
        <v>84.0579710144928</v>
      </c>
      <c r="Y20" s="5"/>
      <c r="Z20" s="5"/>
      <c r="AA20" s="13">
        <v>23.9740499199999</v>
      </c>
      <c r="AB20" s="31">
        <v>23.9566428899998</v>
      </c>
      <c r="AC20" s="31">
        <v>0.0174070300000871</v>
      </c>
      <c r="AD20" s="31">
        <v>84.0579710144928</v>
      </c>
      <c r="AE20" s="32">
        <v>0.285001441277584</v>
      </c>
      <c r="AF20" s="33">
        <v>0.00072607799091824</v>
      </c>
    </row>
    <row r="21" spans="1:32">
      <c r="A21" t="s">
        <v>40</v>
      </c>
      <c r="B21" s="5" t="s">
        <v>49</v>
      </c>
      <c r="C21">
        <v>669</v>
      </c>
      <c r="D21">
        <v>23.2</v>
      </c>
      <c r="E21">
        <v>676.8</v>
      </c>
      <c r="F21">
        <v>23.1</v>
      </c>
      <c r="G21">
        <v>669.2</v>
      </c>
      <c r="H21">
        <v>23</v>
      </c>
      <c r="L21" s="5"/>
      <c r="M21" s="5"/>
      <c r="N21" s="12">
        <f t="shared" si="1"/>
        <v>7.79999999999995</v>
      </c>
      <c r="O21" s="12">
        <f t="shared" si="1"/>
        <v>-0.0999999999999979</v>
      </c>
      <c r="P21" s="13">
        <f t="shared" si="0"/>
        <v>29.2577483399998</v>
      </c>
      <c r="Q21" s="12">
        <f t="shared" si="2"/>
        <v>0.200000000000045</v>
      </c>
      <c r="R21" s="12">
        <f t="shared" si="2"/>
        <v>-0.199999999999999</v>
      </c>
      <c r="S21" s="13">
        <f t="shared" si="3"/>
        <v>0.394814060000173</v>
      </c>
      <c r="T21" s="24">
        <v>3.2</v>
      </c>
      <c r="U21" s="5">
        <f t="shared" si="4"/>
        <v>92.7536231884058</v>
      </c>
      <c r="Y21" s="5"/>
      <c r="Z21" s="5"/>
      <c r="AA21" s="13">
        <v>29.2577483399998</v>
      </c>
      <c r="AB21" s="31">
        <v>28.8629342799997</v>
      </c>
      <c r="AC21" s="31">
        <v>0.394814060000173</v>
      </c>
      <c r="AD21" s="31">
        <v>92.7536231884058</v>
      </c>
      <c r="AE21" s="32">
        <v>0.311178510206246</v>
      </c>
      <c r="AF21" s="33">
        <v>0.013494341923107</v>
      </c>
    </row>
    <row r="22" spans="1:32">
      <c r="A22" t="s">
        <v>40</v>
      </c>
      <c r="B22" s="7" t="s">
        <v>50</v>
      </c>
      <c r="C22">
        <v>799.1</v>
      </c>
      <c r="D22">
        <v>23.3</v>
      </c>
      <c r="E22">
        <v>801.8</v>
      </c>
      <c r="F22">
        <v>23.1</v>
      </c>
      <c r="G22">
        <v>798.9</v>
      </c>
      <c r="H22">
        <v>23.1</v>
      </c>
      <c r="L22" s="7"/>
      <c r="M22" s="7"/>
      <c r="N22" s="12">
        <f t="shared" si="1"/>
        <v>2.69999999999993</v>
      </c>
      <c r="O22" s="12">
        <f t="shared" si="1"/>
        <v>-0.199999999999999</v>
      </c>
      <c r="P22" s="13">
        <f t="shared" si="0"/>
        <v>9.82998980999974</v>
      </c>
      <c r="Q22" s="12">
        <f t="shared" si="2"/>
        <v>-0.200000000000045</v>
      </c>
      <c r="R22" s="12">
        <f t="shared" si="2"/>
        <v>-0.199999999999999</v>
      </c>
      <c r="S22" s="13">
        <f t="shared" si="3"/>
        <v>0</v>
      </c>
      <c r="T22" s="25">
        <v>3.6</v>
      </c>
      <c r="U22" s="7">
        <f t="shared" si="4"/>
        <v>104.347826086957</v>
      </c>
      <c r="Y22" s="7"/>
      <c r="Z22" s="7"/>
      <c r="AA22" s="13">
        <v>9.82998980999974</v>
      </c>
      <c r="AB22" s="31">
        <v>9.82998980999974</v>
      </c>
      <c r="AC22" s="31">
        <v>0</v>
      </c>
      <c r="AD22" s="31">
        <v>104.347826086957</v>
      </c>
      <c r="AE22" s="32">
        <v>0.0942040690124971</v>
      </c>
      <c r="AF22" s="33">
        <v>0</v>
      </c>
    </row>
    <row r="23" spans="1:32">
      <c r="A23" t="s">
        <v>40</v>
      </c>
      <c r="B23" s="5" t="s">
        <v>51</v>
      </c>
      <c r="C23">
        <v>675.9</v>
      </c>
      <c r="D23">
        <v>23.2</v>
      </c>
      <c r="E23">
        <v>686.5</v>
      </c>
      <c r="F23">
        <v>23.1</v>
      </c>
      <c r="G23">
        <v>675.8</v>
      </c>
      <c r="H23">
        <v>23</v>
      </c>
      <c r="L23" s="5"/>
      <c r="M23" s="5"/>
      <c r="N23" s="12">
        <f t="shared" si="1"/>
        <v>10.6</v>
      </c>
      <c r="O23" s="12">
        <f t="shared" si="1"/>
        <v>-0.0999999999999979</v>
      </c>
      <c r="P23" s="13">
        <f t="shared" si="0"/>
        <v>39.8251451800001</v>
      </c>
      <c r="Q23" s="12">
        <f t="shared" si="2"/>
        <v>-0.100000000000023</v>
      </c>
      <c r="R23" s="12">
        <f t="shared" si="2"/>
        <v>-0.199999999999999</v>
      </c>
      <c r="S23" s="13">
        <f t="shared" si="3"/>
        <v>0</v>
      </c>
      <c r="T23" s="24">
        <v>3.5</v>
      </c>
      <c r="U23" s="5">
        <f t="shared" si="4"/>
        <v>101.449275362319</v>
      </c>
      <c r="Y23" s="5"/>
      <c r="Z23" s="5"/>
      <c r="AA23" s="13">
        <v>39.8251451800001</v>
      </c>
      <c r="AB23" s="31">
        <v>39.8251451800001</v>
      </c>
      <c r="AC23" s="31">
        <v>0</v>
      </c>
      <c r="AD23" s="31">
        <v>101.449275362319</v>
      </c>
      <c r="AE23" s="32">
        <v>0.392562145345715</v>
      </c>
      <c r="AF23" s="33">
        <v>0</v>
      </c>
    </row>
    <row r="24" spans="1:32">
      <c r="A24" t="s">
        <v>40</v>
      </c>
      <c r="B24" s="5" t="s">
        <v>52</v>
      </c>
      <c r="C24">
        <v>580</v>
      </c>
      <c r="D24">
        <v>23.3</v>
      </c>
      <c r="E24">
        <v>591.5</v>
      </c>
      <c r="F24">
        <v>23.2</v>
      </c>
      <c r="G24">
        <v>580.4</v>
      </c>
      <c r="H24">
        <v>23.1</v>
      </c>
      <c r="L24" s="5"/>
      <c r="M24" s="5"/>
      <c r="N24" s="12">
        <f t="shared" si="1"/>
        <v>11.5</v>
      </c>
      <c r="O24" s="12">
        <f t="shared" si="1"/>
        <v>-0.100000000000001</v>
      </c>
      <c r="P24" s="13">
        <f t="shared" si="0"/>
        <v>43.22180845</v>
      </c>
      <c r="Q24" s="12">
        <f t="shared" si="2"/>
        <v>0.399999999999977</v>
      </c>
      <c r="R24" s="12">
        <f t="shared" si="2"/>
        <v>-0.199999999999999</v>
      </c>
      <c r="S24" s="13">
        <f t="shared" si="3"/>
        <v>1.14962811999992</v>
      </c>
      <c r="T24" s="24">
        <v>3.6</v>
      </c>
      <c r="U24" s="5">
        <f t="shared" si="4"/>
        <v>104.347826086957</v>
      </c>
      <c r="Y24" s="5"/>
      <c r="Z24" s="5"/>
      <c r="AA24" s="13">
        <v>43.22180845</v>
      </c>
      <c r="AB24" s="31">
        <v>42.0721803300001</v>
      </c>
      <c r="AC24" s="31">
        <v>1.14962811999992</v>
      </c>
      <c r="AD24" s="31">
        <v>104.347826086957</v>
      </c>
      <c r="AE24" s="32">
        <v>0.403191728162499</v>
      </c>
      <c r="AF24" s="33">
        <v>0.0265983345266506</v>
      </c>
    </row>
    <row r="25" spans="1:32">
      <c r="A25" t="s">
        <v>40</v>
      </c>
      <c r="B25" s="7" t="s">
        <v>53</v>
      </c>
      <c r="C25">
        <v>710.2</v>
      </c>
      <c r="D25">
        <v>23.2</v>
      </c>
      <c r="E25">
        <v>719.3</v>
      </c>
      <c r="F25">
        <v>23</v>
      </c>
      <c r="G25">
        <v>710.4</v>
      </c>
      <c r="H25">
        <v>22.9</v>
      </c>
      <c r="L25" s="7"/>
      <c r="M25" s="7"/>
      <c r="N25" s="12">
        <f t="shared" si="1"/>
        <v>9.09999999999991</v>
      </c>
      <c r="O25" s="12">
        <f t="shared" si="1"/>
        <v>-0.199999999999999</v>
      </c>
      <c r="P25" s="13">
        <f t="shared" si="0"/>
        <v>33.9840397299997</v>
      </c>
      <c r="Q25" s="12">
        <f t="shared" si="2"/>
        <v>0.199999999999932</v>
      </c>
      <c r="R25" s="12">
        <f t="shared" si="2"/>
        <v>-0.300000000000001</v>
      </c>
      <c r="S25" s="13">
        <f t="shared" si="3"/>
        <v>0.214814059999741</v>
      </c>
      <c r="T25" s="25">
        <v>3.1</v>
      </c>
      <c r="U25" s="7">
        <f t="shared" si="4"/>
        <v>89.8550724637681</v>
      </c>
      <c r="Y25" s="7"/>
      <c r="Z25" s="7"/>
      <c r="AA25" s="13">
        <v>33.9840397299997</v>
      </c>
      <c r="AB25" s="31">
        <v>33.7692256699999</v>
      </c>
      <c r="AC25" s="31">
        <v>0.214814059999741</v>
      </c>
      <c r="AD25" s="31">
        <v>89.8550724637681</v>
      </c>
      <c r="AE25" s="32">
        <v>0.37581880181129</v>
      </c>
      <c r="AF25" s="33">
        <v>0.00632102780324002</v>
      </c>
    </row>
    <row r="26" ht="14.25" spans="1:32">
      <c r="A26" t="s">
        <v>40</v>
      </c>
      <c r="B26" s="6" t="s">
        <v>54</v>
      </c>
      <c r="C26">
        <v>594.7</v>
      </c>
      <c r="D26">
        <v>23.3</v>
      </c>
      <c r="E26">
        <v>605.5</v>
      </c>
      <c r="F26">
        <v>23.2</v>
      </c>
      <c r="G26">
        <v>594.3</v>
      </c>
      <c r="H26">
        <v>23.1</v>
      </c>
      <c r="L26" s="6"/>
      <c r="M26" s="6"/>
      <c r="N26" s="14">
        <f t="shared" si="1"/>
        <v>10.8</v>
      </c>
      <c r="O26" s="14">
        <f t="shared" si="1"/>
        <v>-0.100000000000001</v>
      </c>
      <c r="P26" s="15">
        <f t="shared" si="0"/>
        <v>40.5799592399998</v>
      </c>
      <c r="Q26" s="14">
        <f t="shared" si="2"/>
        <v>-0.400000000000091</v>
      </c>
      <c r="R26" s="14">
        <f t="shared" si="2"/>
        <v>-0.199999999999999</v>
      </c>
      <c r="S26" s="13">
        <f t="shared" si="3"/>
        <v>0</v>
      </c>
      <c r="T26" s="26">
        <v>2.9</v>
      </c>
      <c r="U26" s="6">
        <f t="shared" si="4"/>
        <v>84.0579710144928</v>
      </c>
      <c r="Y26" s="6"/>
      <c r="Z26" s="6"/>
      <c r="AA26" s="34">
        <v>40.5799592399998</v>
      </c>
      <c r="AB26" s="35">
        <v>40.5799592399998</v>
      </c>
      <c r="AC26" s="35">
        <v>0</v>
      </c>
      <c r="AD26" s="35">
        <v>84.0579710144928</v>
      </c>
      <c r="AE26" s="36">
        <v>0.482761584062067</v>
      </c>
      <c r="AF26" s="37">
        <v>0</v>
      </c>
    </row>
    <row r="27" spans="1:32">
      <c r="A27" t="s">
        <v>55</v>
      </c>
      <c r="B27" s="8" t="s">
        <v>41</v>
      </c>
      <c r="C27">
        <v>650.9</v>
      </c>
      <c r="D27">
        <v>23.3</v>
      </c>
      <c r="E27">
        <v>663</v>
      </c>
      <c r="F27">
        <v>22.8</v>
      </c>
      <c r="G27">
        <v>651.9</v>
      </c>
      <c r="H27">
        <v>22.9</v>
      </c>
      <c r="L27" s="8"/>
      <c r="M27" s="8"/>
      <c r="N27" s="16">
        <f t="shared" si="1"/>
        <v>12.1</v>
      </c>
      <c r="O27" s="16">
        <f t="shared" si="1"/>
        <v>-0.5</v>
      </c>
      <c r="P27" s="17">
        <f t="shared" si="0"/>
        <v>44.7662506300001</v>
      </c>
      <c r="Q27" s="16">
        <f t="shared" si="2"/>
        <v>1</v>
      </c>
      <c r="R27" s="16">
        <f t="shared" si="2"/>
        <v>-0.400000000000002</v>
      </c>
      <c r="S27" s="27">
        <f t="shared" si="3"/>
        <v>3.0540703</v>
      </c>
      <c r="T27" s="28">
        <v>2.9</v>
      </c>
      <c r="U27" s="8">
        <f t="shared" si="4"/>
        <v>84.0579710144928</v>
      </c>
      <c r="Y27" s="8"/>
      <c r="Z27" s="8"/>
      <c r="AA27" s="38">
        <v>44.7662506300001</v>
      </c>
      <c r="AB27" s="39">
        <v>41.7121803300001</v>
      </c>
      <c r="AC27" s="39">
        <v>3.0540703</v>
      </c>
      <c r="AD27" s="39">
        <v>84.0579710144928</v>
      </c>
      <c r="AE27" s="40">
        <v>0.496231110822415</v>
      </c>
      <c r="AF27" s="41">
        <v>0.0682226064729511</v>
      </c>
    </row>
    <row r="28" spans="1:32">
      <c r="A28" t="s">
        <v>55</v>
      </c>
      <c r="B28" s="5" t="s">
        <v>42</v>
      </c>
      <c r="C28">
        <v>651.9</v>
      </c>
      <c r="D28">
        <v>23.4</v>
      </c>
      <c r="E28">
        <v>661.7</v>
      </c>
      <c r="F28">
        <v>23</v>
      </c>
      <c r="G28">
        <v>652.3</v>
      </c>
      <c r="H28">
        <v>23.1</v>
      </c>
      <c r="L28" s="5"/>
      <c r="M28" s="5"/>
      <c r="N28" s="12">
        <f t="shared" si="1"/>
        <v>9.80000000000007</v>
      </c>
      <c r="O28" s="12">
        <f t="shared" si="1"/>
        <v>-0.399999999999999</v>
      </c>
      <c r="P28" s="13">
        <f t="shared" si="0"/>
        <v>36.2658889400003</v>
      </c>
      <c r="Q28" s="12">
        <f t="shared" si="2"/>
        <v>0.399999999999977</v>
      </c>
      <c r="R28" s="12">
        <f t="shared" si="2"/>
        <v>-0.299999999999997</v>
      </c>
      <c r="S28" s="13">
        <f t="shared" si="3"/>
        <v>0.969628119999919</v>
      </c>
      <c r="T28" s="25">
        <v>3</v>
      </c>
      <c r="U28" s="7">
        <f t="shared" si="4"/>
        <v>86.9565217391304</v>
      </c>
      <c r="Y28" s="5"/>
      <c r="Z28" s="5"/>
      <c r="AA28" s="13">
        <v>36.2658889400003</v>
      </c>
      <c r="AB28" s="31">
        <v>35.2962608200003</v>
      </c>
      <c r="AC28" s="31">
        <v>0.969628119999919</v>
      </c>
      <c r="AD28" s="31">
        <v>86.9565217391304</v>
      </c>
      <c r="AE28" s="32">
        <v>0.405906999430004</v>
      </c>
      <c r="AF28" s="33">
        <v>0.0267366428437508</v>
      </c>
    </row>
    <row r="29" spans="1:32">
      <c r="A29" t="s">
        <v>55</v>
      </c>
      <c r="B29" s="6" t="s">
        <v>43</v>
      </c>
      <c r="C29">
        <v>629.4</v>
      </c>
      <c r="D29">
        <v>23.3</v>
      </c>
      <c r="E29">
        <v>642</v>
      </c>
      <c r="F29">
        <v>22.9</v>
      </c>
      <c r="G29">
        <v>630.1</v>
      </c>
      <c r="H29">
        <v>23.2</v>
      </c>
      <c r="L29" s="6"/>
      <c r="M29" s="6"/>
      <c r="N29" s="12">
        <f t="shared" si="1"/>
        <v>12.6</v>
      </c>
      <c r="O29" s="12">
        <f t="shared" si="1"/>
        <v>-0.400000000000002</v>
      </c>
      <c r="P29" s="13">
        <f t="shared" si="0"/>
        <v>46.8332857800001</v>
      </c>
      <c r="Q29" s="12">
        <f t="shared" si="2"/>
        <v>0.700000000000045</v>
      </c>
      <c r="R29" s="12">
        <f t="shared" si="2"/>
        <v>-0.100000000000001</v>
      </c>
      <c r="S29" s="13">
        <f t="shared" ref="S29:S40" si="5">IF(3.7*1.020019*(Q29)+1.8*(R29)&gt;=0,3.7*1.020019*(Q29)+1.8*(R29),0)</f>
        <v>2.46184921000017</v>
      </c>
      <c r="T29" s="24">
        <v>3.6</v>
      </c>
      <c r="U29" s="5">
        <f t="shared" si="4"/>
        <v>104.347826086957</v>
      </c>
      <c r="Y29" s="6"/>
      <c r="Z29" s="6"/>
      <c r="AA29" s="13">
        <v>46.8332857800001</v>
      </c>
      <c r="AB29" s="31">
        <v>44.3714365699999</v>
      </c>
      <c r="AC29" s="31">
        <v>2.46184921000017</v>
      </c>
      <c r="AD29" s="31">
        <v>104.347826086957</v>
      </c>
      <c r="AE29" s="32">
        <v>0.425226267129164</v>
      </c>
      <c r="AF29" s="33">
        <v>0.0525662286768589</v>
      </c>
    </row>
    <row r="30" spans="1:32">
      <c r="A30" t="s">
        <v>55</v>
      </c>
      <c r="B30" s="5" t="s">
        <v>44</v>
      </c>
      <c r="C30">
        <v>470</v>
      </c>
      <c r="D30">
        <v>23.3</v>
      </c>
      <c r="E30">
        <v>477</v>
      </c>
      <c r="F30">
        <v>22.9</v>
      </c>
      <c r="G30">
        <v>466.1</v>
      </c>
      <c r="H30">
        <v>23</v>
      </c>
      <c r="L30" s="5"/>
      <c r="M30" s="5"/>
      <c r="N30" s="12">
        <f t="shared" ref="N30:O40" si="6">E30-C30</f>
        <v>7</v>
      </c>
      <c r="O30" s="12">
        <f t="shared" si="6"/>
        <v>-0.400000000000002</v>
      </c>
      <c r="P30" s="13">
        <f t="shared" si="0"/>
        <v>25.6984921</v>
      </c>
      <c r="Q30" s="12">
        <f t="shared" ref="Q30:R40" si="7">G30-C30</f>
        <v>-3.89999999999998</v>
      </c>
      <c r="R30" s="12">
        <f t="shared" si="7"/>
        <v>-0.300000000000001</v>
      </c>
      <c r="S30" s="13">
        <f t="shared" si="5"/>
        <v>0</v>
      </c>
      <c r="T30" s="24">
        <v>3.4</v>
      </c>
      <c r="U30" s="5">
        <f t="shared" si="4"/>
        <v>98.5507246376812</v>
      </c>
      <c r="Y30" s="5"/>
      <c r="Z30" s="5"/>
      <c r="AA30" s="13">
        <v>25.6984921</v>
      </c>
      <c r="AB30" s="31">
        <v>25.6984921</v>
      </c>
      <c r="AC30" s="31">
        <v>0</v>
      </c>
      <c r="AD30" s="31">
        <v>98.5507246376812</v>
      </c>
      <c r="AE30" s="32">
        <v>0.260764111014706</v>
      </c>
      <c r="AF30" s="33">
        <v>0</v>
      </c>
    </row>
    <row r="31" spans="1:32">
      <c r="A31" t="s">
        <v>55</v>
      </c>
      <c r="B31" s="5" t="s">
        <v>45</v>
      </c>
      <c r="C31">
        <v>671.1</v>
      </c>
      <c r="D31">
        <v>23.3</v>
      </c>
      <c r="E31">
        <v>681.8</v>
      </c>
      <c r="F31">
        <v>22.9</v>
      </c>
      <c r="G31">
        <v>668.9</v>
      </c>
      <c r="H31">
        <v>23</v>
      </c>
      <c r="L31" s="5"/>
      <c r="M31" s="5"/>
      <c r="N31" s="12">
        <f t="shared" si="6"/>
        <v>10.6999999999999</v>
      </c>
      <c r="O31" s="12">
        <f t="shared" si="6"/>
        <v>-0.400000000000002</v>
      </c>
      <c r="P31" s="13">
        <f t="shared" si="0"/>
        <v>39.6625522099997</v>
      </c>
      <c r="Q31" s="12">
        <f t="shared" si="7"/>
        <v>-2.20000000000005</v>
      </c>
      <c r="R31" s="12">
        <f t="shared" si="7"/>
        <v>-0.300000000000001</v>
      </c>
      <c r="S31" s="13">
        <f t="shared" si="5"/>
        <v>0</v>
      </c>
      <c r="T31" s="25">
        <v>3.6</v>
      </c>
      <c r="U31" s="7">
        <f t="shared" si="4"/>
        <v>104.347826086957</v>
      </c>
      <c r="Y31" s="5"/>
      <c r="Z31" s="5"/>
      <c r="AA31" s="13">
        <v>39.6625522099997</v>
      </c>
      <c r="AB31" s="31">
        <v>39.6625522099997</v>
      </c>
      <c r="AC31" s="31">
        <v>0</v>
      </c>
      <c r="AD31" s="31">
        <v>104.347826086957</v>
      </c>
      <c r="AE31" s="32">
        <v>0.380099458679162</v>
      </c>
      <c r="AF31" s="33">
        <v>0</v>
      </c>
    </row>
    <row r="32" spans="1:32">
      <c r="A32" t="s">
        <v>55</v>
      </c>
      <c r="B32" s="6" t="s">
        <v>46</v>
      </c>
      <c r="C32">
        <v>692.9</v>
      </c>
      <c r="D32">
        <v>23.3</v>
      </c>
      <c r="E32">
        <v>702.5</v>
      </c>
      <c r="F32">
        <v>22.9</v>
      </c>
      <c r="G32">
        <v>693.4</v>
      </c>
      <c r="H32">
        <v>23</v>
      </c>
      <c r="L32" s="6"/>
      <c r="M32" s="6"/>
      <c r="N32" s="12">
        <f t="shared" si="6"/>
        <v>9.60000000000002</v>
      </c>
      <c r="O32" s="12">
        <f t="shared" si="6"/>
        <v>-0.400000000000002</v>
      </c>
      <c r="P32" s="13">
        <f t="shared" si="0"/>
        <v>35.5110748800001</v>
      </c>
      <c r="Q32" s="12">
        <f t="shared" si="7"/>
        <v>0.5</v>
      </c>
      <c r="R32" s="12">
        <f t="shared" si="7"/>
        <v>-0.300000000000001</v>
      </c>
      <c r="S32" s="13">
        <f t="shared" si="5"/>
        <v>1.34703515</v>
      </c>
      <c r="T32" s="24">
        <v>3.2</v>
      </c>
      <c r="U32" s="5">
        <f t="shared" si="4"/>
        <v>92.7536231884058</v>
      </c>
      <c r="Y32" s="6"/>
      <c r="Z32" s="6"/>
      <c r="AA32" s="13">
        <v>35.5110748800001</v>
      </c>
      <c r="AB32" s="31">
        <v>34.1640397300001</v>
      </c>
      <c r="AC32" s="31">
        <v>1.34703515</v>
      </c>
      <c r="AD32" s="31">
        <v>92.7536231884058</v>
      </c>
      <c r="AE32" s="32">
        <v>0.368331053339063</v>
      </c>
      <c r="AF32" s="33">
        <v>0.0379328182701294</v>
      </c>
    </row>
    <row r="33" spans="1:32">
      <c r="A33" t="s">
        <v>55</v>
      </c>
      <c r="B33" s="5" t="s">
        <v>47</v>
      </c>
      <c r="C33">
        <v>355</v>
      </c>
      <c r="D33">
        <v>23.3</v>
      </c>
      <c r="E33">
        <v>357.9</v>
      </c>
      <c r="F33">
        <v>22.9</v>
      </c>
      <c r="G33">
        <v>354.6</v>
      </c>
      <c r="H33">
        <v>23</v>
      </c>
      <c r="L33" s="5"/>
      <c r="M33" s="5"/>
      <c r="N33" s="12">
        <f t="shared" si="6"/>
        <v>2.89999999999998</v>
      </c>
      <c r="O33" s="12">
        <f t="shared" si="6"/>
        <v>-0.400000000000002</v>
      </c>
      <c r="P33" s="13">
        <f t="shared" si="0"/>
        <v>10.2248038699999</v>
      </c>
      <c r="Q33" s="12">
        <f t="shared" si="7"/>
        <v>-0.399999999999977</v>
      </c>
      <c r="R33" s="12">
        <f t="shared" si="7"/>
        <v>-0.300000000000001</v>
      </c>
      <c r="S33" s="13">
        <f t="shared" si="5"/>
        <v>0</v>
      </c>
      <c r="T33" s="24">
        <v>3</v>
      </c>
      <c r="U33" s="5">
        <f t="shared" si="4"/>
        <v>86.9565217391304</v>
      </c>
      <c r="Y33" s="5"/>
      <c r="Z33" s="5"/>
      <c r="AA33" s="13">
        <v>10.2248038699999</v>
      </c>
      <c r="AB33" s="31">
        <v>10.2248038699999</v>
      </c>
      <c r="AC33" s="31">
        <v>0</v>
      </c>
      <c r="AD33" s="31">
        <v>86.9565217391304</v>
      </c>
      <c r="AE33" s="32">
        <v>0.117585244504999</v>
      </c>
      <c r="AF33" s="33">
        <v>0</v>
      </c>
    </row>
    <row r="34" spans="1:32">
      <c r="A34" t="s">
        <v>55</v>
      </c>
      <c r="B34" s="5" t="s">
        <v>48</v>
      </c>
      <c r="C34">
        <v>732.4</v>
      </c>
      <c r="D34">
        <v>23.2</v>
      </c>
      <c r="E34">
        <v>737.5</v>
      </c>
      <c r="F34">
        <v>22.9</v>
      </c>
      <c r="G34">
        <v>732.5</v>
      </c>
      <c r="H34">
        <v>23</v>
      </c>
      <c r="L34" s="5"/>
      <c r="M34" s="5"/>
      <c r="N34" s="12">
        <f t="shared" si="6"/>
        <v>5.10000000000002</v>
      </c>
      <c r="O34" s="12">
        <f t="shared" si="6"/>
        <v>-0.300000000000001</v>
      </c>
      <c r="P34" s="13">
        <f t="shared" si="0"/>
        <v>18.7077585300001</v>
      </c>
      <c r="Q34" s="12">
        <f t="shared" si="7"/>
        <v>0.100000000000023</v>
      </c>
      <c r="R34" s="12">
        <f t="shared" si="7"/>
        <v>-0.199999999999999</v>
      </c>
      <c r="S34" s="13">
        <f t="shared" si="5"/>
        <v>0.0174070300000871</v>
      </c>
      <c r="T34" s="25">
        <v>2</v>
      </c>
      <c r="U34" s="7">
        <f t="shared" si="4"/>
        <v>57.9710144927536</v>
      </c>
      <c r="Y34" s="5"/>
      <c r="Z34" s="5"/>
      <c r="AA34" s="13">
        <v>18.7077585300001</v>
      </c>
      <c r="AB34" s="31">
        <v>18.6903515</v>
      </c>
      <c r="AC34" s="31">
        <v>0.0174070300000871</v>
      </c>
      <c r="AD34" s="31">
        <v>57.9710144927536</v>
      </c>
      <c r="AE34" s="32">
        <v>0.322408563375</v>
      </c>
      <c r="AF34" s="33">
        <v>0.000930471171742618</v>
      </c>
    </row>
    <row r="35" spans="1:32">
      <c r="A35" t="s">
        <v>55</v>
      </c>
      <c r="B35" s="5" t="s">
        <v>49</v>
      </c>
      <c r="C35">
        <v>669</v>
      </c>
      <c r="D35">
        <v>23.2</v>
      </c>
      <c r="E35">
        <v>673.9</v>
      </c>
      <c r="F35">
        <v>22.9</v>
      </c>
      <c r="G35">
        <v>669.2</v>
      </c>
      <c r="H35">
        <v>23</v>
      </c>
      <c r="L35" s="5"/>
      <c r="M35" s="5"/>
      <c r="N35" s="12">
        <f t="shared" si="6"/>
        <v>4.89999999999998</v>
      </c>
      <c r="O35" s="12">
        <f t="shared" si="6"/>
        <v>-0.300000000000001</v>
      </c>
      <c r="P35" s="13">
        <f t="shared" si="0"/>
        <v>17.9529444699999</v>
      </c>
      <c r="Q35" s="12">
        <f t="shared" si="7"/>
        <v>0.200000000000045</v>
      </c>
      <c r="R35" s="12">
        <f t="shared" si="7"/>
        <v>-0.199999999999999</v>
      </c>
      <c r="S35" s="13">
        <f t="shared" si="5"/>
        <v>0.394814060000173</v>
      </c>
      <c r="T35" s="24">
        <v>1.4</v>
      </c>
      <c r="U35" s="5">
        <f t="shared" si="4"/>
        <v>40.5797101449275</v>
      </c>
      <c r="Y35" s="5"/>
      <c r="Z35" s="5"/>
      <c r="AA35" s="13">
        <v>17.9529444699999</v>
      </c>
      <c r="AB35" s="31">
        <v>17.5581304099997</v>
      </c>
      <c r="AC35" s="31">
        <v>0.394814060000173</v>
      </c>
      <c r="AD35" s="31">
        <v>40.5797101449275</v>
      </c>
      <c r="AE35" s="32">
        <v>0.43268249938928</v>
      </c>
      <c r="AF35" s="33">
        <v>0.0219916048122314</v>
      </c>
    </row>
    <row r="36" spans="1:32">
      <c r="A36" t="s">
        <v>55</v>
      </c>
      <c r="B36" s="7" t="s">
        <v>50</v>
      </c>
      <c r="C36">
        <v>799.1</v>
      </c>
      <c r="D36">
        <v>23.3</v>
      </c>
      <c r="E36">
        <v>799.9</v>
      </c>
      <c r="F36">
        <v>22.9</v>
      </c>
      <c r="G36">
        <v>798.8</v>
      </c>
      <c r="H36">
        <v>23</v>
      </c>
      <c r="L36" s="7"/>
      <c r="M36" s="7"/>
      <c r="N36" s="12">
        <f t="shared" si="6"/>
        <v>0.799999999999955</v>
      </c>
      <c r="O36" s="12">
        <f t="shared" si="6"/>
        <v>-0.400000000000002</v>
      </c>
      <c r="P36" s="13">
        <f t="shared" si="0"/>
        <v>2.29925623999982</v>
      </c>
      <c r="Q36" s="12">
        <f t="shared" si="7"/>
        <v>-0.300000000000068</v>
      </c>
      <c r="R36" s="12">
        <f t="shared" si="7"/>
        <v>-0.300000000000001</v>
      </c>
      <c r="S36" s="13">
        <f t="shared" si="5"/>
        <v>0</v>
      </c>
      <c r="T36" s="24">
        <v>1.1</v>
      </c>
      <c r="U36" s="5">
        <f t="shared" si="4"/>
        <v>31.8840579710145</v>
      </c>
      <c r="Y36" s="7"/>
      <c r="Z36" s="7"/>
      <c r="AA36" s="13">
        <v>2.29925623999982</v>
      </c>
      <c r="AB36" s="31">
        <v>2.29925623999982</v>
      </c>
      <c r="AC36" s="31">
        <v>0</v>
      </c>
      <c r="AD36" s="31">
        <v>31.8840579710145</v>
      </c>
      <c r="AE36" s="32">
        <v>0.0721130366181763</v>
      </c>
      <c r="AF36" s="33">
        <v>0</v>
      </c>
    </row>
    <row r="37" spans="1:32">
      <c r="A37" t="s">
        <v>55</v>
      </c>
      <c r="B37" s="5" t="s">
        <v>51</v>
      </c>
      <c r="C37">
        <v>675.9</v>
      </c>
      <c r="D37">
        <v>23.2</v>
      </c>
      <c r="E37">
        <v>678.2</v>
      </c>
      <c r="F37">
        <v>22.9</v>
      </c>
      <c r="G37">
        <v>675.7</v>
      </c>
      <c r="H37">
        <v>23</v>
      </c>
      <c r="L37" s="5"/>
      <c r="M37" s="5"/>
      <c r="N37" s="12">
        <f t="shared" si="6"/>
        <v>2.30000000000007</v>
      </c>
      <c r="O37" s="12">
        <f t="shared" si="6"/>
        <v>-0.300000000000001</v>
      </c>
      <c r="P37" s="13">
        <f t="shared" si="0"/>
        <v>8.14036169000026</v>
      </c>
      <c r="Q37" s="12">
        <f t="shared" si="7"/>
        <v>-0.199999999999932</v>
      </c>
      <c r="R37" s="12">
        <f t="shared" si="7"/>
        <v>-0.199999999999999</v>
      </c>
      <c r="S37" s="13">
        <f t="shared" si="5"/>
        <v>0</v>
      </c>
      <c r="T37" s="25">
        <v>0.8</v>
      </c>
      <c r="U37" s="7">
        <f t="shared" si="4"/>
        <v>23.1884057971014</v>
      </c>
      <c r="Y37" s="5"/>
      <c r="Z37" s="5"/>
      <c r="AA37" s="13">
        <v>8.14036169000026</v>
      </c>
      <c r="AB37" s="31">
        <v>8.14036169000026</v>
      </c>
      <c r="AC37" s="31">
        <v>0</v>
      </c>
      <c r="AD37" s="31">
        <v>23.1884057971014</v>
      </c>
      <c r="AE37" s="32">
        <v>0.351053097881262</v>
      </c>
      <c r="AF37" s="33">
        <v>0</v>
      </c>
    </row>
    <row r="38" spans="1:32">
      <c r="A38" t="s">
        <v>55</v>
      </c>
      <c r="B38" s="5" t="s">
        <v>52</v>
      </c>
      <c r="C38">
        <v>580</v>
      </c>
      <c r="D38">
        <v>23.3</v>
      </c>
      <c r="E38">
        <v>582.9</v>
      </c>
      <c r="F38">
        <v>23</v>
      </c>
      <c r="G38">
        <v>580.4</v>
      </c>
      <c r="H38">
        <v>23.1</v>
      </c>
      <c r="L38" s="5"/>
      <c r="M38" s="5"/>
      <c r="N38" s="12">
        <f t="shared" si="6"/>
        <v>2.89999999999998</v>
      </c>
      <c r="O38" s="12">
        <f t="shared" si="6"/>
        <v>-0.300000000000001</v>
      </c>
      <c r="P38" s="13">
        <f t="shared" si="0"/>
        <v>10.4048038699999</v>
      </c>
      <c r="Q38" s="12">
        <f t="shared" si="7"/>
        <v>0.399999999999977</v>
      </c>
      <c r="R38" s="12">
        <f t="shared" si="7"/>
        <v>-0.199999999999999</v>
      </c>
      <c r="S38" s="13">
        <f t="shared" si="5"/>
        <v>1.14962811999992</v>
      </c>
      <c r="T38" s="24">
        <v>0.6</v>
      </c>
      <c r="U38" s="5">
        <f t="shared" si="4"/>
        <v>17.3913043478261</v>
      </c>
      <c r="Y38" s="5"/>
      <c r="Z38" s="5"/>
      <c r="AA38" s="13">
        <v>10.4048038699999</v>
      </c>
      <c r="AB38" s="31">
        <v>9.25517575</v>
      </c>
      <c r="AC38" s="31">
        <v>1.14962811999992</v>
      </c>
      <c r="AD38" s="31">
        <v>17.3913043478261</v>
      </c>
      <c r="AE38" s="32">
        <v>0.532172605625</v>
      </c>
      <c r="AF38" s="33">
        <v>0.110490128825458</v>
      </c>
    </row>
    <row r="39" spans="1:32">
      <c r="A39" t="s">
        <v>55</v>
      </c>
      <c r="B39" s="7" t="s">
        <v>53</v>
      </c>
      <c r="C39">
        <v>710.2</v>
      </c>
      <c r="D39">
        <v>23.2</v>
      </c>
      <c r="E39">
        <v>712.2</v>
      </c>
      <c r="F39">
        <v>22.9</v>
      </c>
      <c r="G39">
        <v>710.3</v>
      </c>
      <c r="H39">
        <v>22.9</v>
      </c>
      <c r="L39" s="7"/>
      <c r="M39" s="7"/>
      <c r="N39" s="12">
        <f t="shared" si="6"/>
        <v>2</v>
      </c>
      <c r="O39" s="12">
        <f t="shared" si="6"/>
        <v>-0.300000000000001</v>
      </c>
      <c r="P39" s="13">
        <f t="shared" si="0"/>
        <v>7.0081406</v>
      </c>
      <c r="Q39" s="12">
        <f t="shared" si="7"/>
        <v>0.0999999999999091</v>
      </c>
      <c r="R39" s="12">
        <f t="shared" si="7"/>
        <v>-0.300000000000001</v>
      </c>
      <c r="S39" s="13">
        <f t="shared" si="5"/>
        <v>0</v>
      </c>
      <c r="T39" s="24">
        <v>0.4</v>
      </c>
      <c r="U39" s="5">
        <f t="shared" si="4"/>
        <v>11.5942028985507</v>
      </c>
      <c r="Y39" s="7"/>
      <c r="Z39" s="7"/>
      <c r="AA39" s="13">
        <v>7.0081406</v>
      </c>
      <c r="AB39" s="31">
        <v>7.0081406</v>
      </c>
      <c r="AC39" s="31">
        <v>0</v>
      </c>
      <c r="AD39" s="31">
        <v>11.5942028985507</v>
      </c>
      <c r="AE39" s="32">
        <v>0.604452126750001</v>
      </c>
      <c r="AF39" s="33">
        <v>0</v>
      </c>
    </row>
    <row r="40" spans="1:32">
      <c r="A40" t="s">
        <v>55</v>
      </c>
      <c r="B40" s="5" t="s">
        <v>54</v>
      </c>
      <c r="C40">
        <v>594.7</v>
      </c>
      <c r="D40">
        <v>23.3</v>
      </c>
      <c r="E40">
        <v>596.3</v>
      </c>
      <c r="F40">
        <v>23.1</v>
      </c>
      <c r="G40">
        <v>594.3</v>
      </c>
      <c r="H40">
        <v>23</v>
      </c>
      <c r="L40" s="6"/>
      <c r="M40" s="6"/>
      <c r="N40" s="12">
        <f t="shared" si="6"/>
        <v>1.59999999999991</v>
      </c>
      <c r="O40" s="12">
        <f t="shared" si="6"/>
        <v>-0.199999999999999</v>
      </c>
      <c r="P40" s="13">
        <f t="shared" si="0"/>
        <v>5.67851247999966</v>
      </c>
      <c r="Q40" s="12">
        <f t="shared" si="7"/>
        <v>-0.400000000000091</v>
      </c>
      <c r="R40" s="12">
        <f t="shared" si="7"/>
        <v>-0.300000000000001</v>
      </c>
      <c r="S40" s="13">
        <f t="shared" si="5"/>
        <v>0</v>
      </c>
      <c r="T40" s="25">
        <v>0.3</v>
      </c>
      <c r="U40" s="7">
        <f t="shared" si="4"/>
        <v>8.69565217391304</v>
      </c>
      <c r="Y40" s="6"/>
      <c r="Z40" s="6"/>
      <c r="AA40" s="13">
        <v>5.67851247999966</v>
      </c>
      <c r="AB40" s="31">
        <v>5.67851247999966</v>
      </c>
      <c r="AC40" s="31">
        <v>0</v>
      </c>
      <c r="AD40" s="31">
        <v>8.69565217391304</v>
      </c>
      <c r="AE40" s="32">
        <v>0.653028935199961</v>
      </c>
      <c r="AF40" s="33">
        <v>0</v>
      </c>
    </row>
  </sheetData>
  <mergeCells count="19">
    <mergeCell ref="C11:D11"/>
    <mergeCell ref="E11:F11"/>
    <mergeCell ref="G11:H11"/>
    <mergeCell ref="N11:P11"/>
    <mergeCell ref="Q11:S11"/>
    <mergeCell ref="T11:U11"/>
    <mergeCell ref="AA11:AC11"/>
    <mergeCell ref="A11:A12"/>
    <mergeCell ref="B11:B12"/>
    <mergeCell ref="L11:L12"/>
    <mergeCell ref="M11:M12"/>
    <mergeCell ref="Y11:Y12"/>
    <mergeCell ref="Z11:Z12"/>
    <mergeCell ref="AD11:AD12"/>
    <mergeCell ref="AE11:AE12"/>
    <mergeCell ref="AF11:AF12"/>
    <mergeCell ref="A9:H10"/>
    <mergeCell ref="Y9:AF10"/>
    <mergeCell ref="L9:U1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161925</xdr:rowOff>
                  </from>
                  <to>
                    <xdr:col>10</xdr:col>
                    <xdr:colOff>95250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8</xdr:col>
                    <xdr:colOff>419100</xdr:colOff>
                    <xdr:row>3</xdr:row>
                    <xdr:rowOff>133350</xdr:rowOff>
                  </from>
                  <to>
                    <xdr:col>10</xdr:col>
                    <xdr:colOff>9525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38"/>
  <sheetViews>
    <sheetView workbookViewId="0">
      <selection activeCell="A1" sqref="A1"/>
    </sheetView>
  </sheetViews>
  <sheetFormatPr defaultColWidth="9" defaultRowHeight="13.5"/>
  <cols>
    <col min="1" max="1" width="11.875" customWidth="1"/>
  </cols>
  <sheetData>
    <row r="1" spans="1:2">
      <c r="A1" t="s">
        <v>56</v>
      </c>
      <c r="B1">
        <v>1</v>
      </c>
    </row>
    <row r="2" spans="1:19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">
      <c r="A3" t="s">
        <v>11</v>
      </c>
      <c r="B3">
        <v>2</v>
      </c>
    </row>
    <row r="4" spans="1:2">
      <c r="A4" t="s">
        <v>12</v>
      </c>
      <c r="B4">
        <v>0.39</v>
      </c>
    </row>
    <row r="5" spans="1:2">
      <c r="A5" t="s">
        <v>14</v>
      </c>
      <c r="B5">
        <v>0.93</v>
      </c>
    </row>
    <row r="6" spans="1:4">
      <c r="A6" t="s">
        <v>57</v>
      </c>
      <c r="B6" s="1">
        <v>0.0481</v>
      </c>
      <c r="D6" s="1"/>
    </row>
    <row r="9" ht="14.25" spans="1:12">
      <c r="A9" s="42" t="s">
        <v>20</v>
      </c>
      <c r="B9" s="42" t="s">
        <v>21</v>
      </c>
      <c r="C9" s="4" t="s">
        <v>58</v>
      </c>
      <c r="D9" s="4" t="s">
        <v>23</v>
      </c>
      <c r="E9" s="4"/>
      <c r="F9" s="4" t="s">
        <v>24</v>
      </c>
      <c r="G9" s="4"/>
      <c r="H9" s="4"/>
      <c r="I9" s="4" t="s">
        <v>59</v>
      </c>
      <c r="J9" s="4" t="s">
        <v>60</v>
      </c>
      <c r="K9" s="4" t="s">
        <v>28</v>
      </c>
      <c r="L9" s="4" t="s">
        <v>61</v>
      </c>
    </row>
    <row r="10" ht="14.25" spans="1:16">
      <c r="A10" s="42"/>
      <c r="B10" s="43"/>
      <c r="C10" s="29"/>
      <c r="D10" s="4" t="s">
        <v>62</v>
      </c>
      <c r="E10" s="4" t="s">
        <v>63</v>
      </c>
      <c r="F10" s="4" t="s">
        <v>62</v>
      </c>
      <c r="G10" s="4" t="s">
        <v>64</v>
      </c>
      <c r="H10" s="4" t="s">
        <v>65</v>
      </c>
      <c r="I10" s="4"/>
      <c r="J10" s="4"/>
      <c r="K10" s="4"/>
      <c r="L10" s="4"/>
      <c r="P10" t="s">
        <v>66</v>
      </c>
    </row>
    <row r="11" spans="1:17">
      <c r="A11" s="44" t="s">
        <v>40</v>
      </c>
      <c r="B11" s="45" t="s">
        <v>67</v>
      </c>
      <c r="C11" s="46">
        <v>8.74</v>
      </c>
      <c r="D11" s="46">
        <v>9.18</v>
      </c>
      <c r="E11" s="47">
        <v>0.44</v>
      </c>
      <c r="F11" s="46">
        <v>8.65</v>
      </c>
      <c r="G11" s="47">
        <v>-0.529999999999999</v>
      </c>
      <c r="H11" s="21">
        <v>0</v>
      </c>
      <c r="I11" s="57">
        <v>0.44</v>
      </c>
      <c r="J11" s="58">
        <v>0.473</v>
      </c>
      <c r="K11" s="57">
        <v>0.930232558139534</v>
      </c>
      <c r="L11" s="59">
        <v>0</v>
      </c>
      <c r="P11">
        <v>1</v>
      </c>
      <c r="Q11" t="s">
        <v>68</v>
      </c>
    </row>
    <row r="12" spans="1:17">
      <c r="A12" s="44" t="s">
        <v>40</v>
      </c>
      <c r="B12" s="45" t="s">
        <v>69</v>
      </c>
      <c r="C12" s="46">
        <v>1.29</v>
      </c>
      <c r="D12" s="46">
        <v>1.8</v>
      </c>
      <c r="E12" s="47">
        <v>0.51</v>
      </c>
      <c r="F12" s="46">
        <v>1.15</v>
      </c>
      <c r="G12" s="47">
        <v>-0.65</v>
      </c>
      <c r="H12" s="21">
        <v>0</v>
      </c>
      <c r="I12" s="57">
        <v>0.51</v>
      </c>
      <c r="J12" s="58">
        <v>0.825</v>
      </c>
      <c r="K12" s="57">
        <v>0.618181818181818</v>
      </c>
      <c r="L12" s="59">
        <v>0</v>
      </c>
      <c r="P12">
        <v>2</v>
      </c>
      <c r="Q12" t="s">
        <v>70</v>
      </c>
    </row>
    <row r="13" spans="1:17">
      <c r="A13" s="44" t="s">
        <v>40</v>
      </c>
      <c r="B13" s="45" t="s">
        <v>71</v>
      </c>
      <c r="C13" s="46">
        <v>8.04</v>
      </c>
      <c r="D13" s="46">
        <v>8.74</v>
      </c>
      <c r="E13" s="47">
        <v>0.700000000000001</v>
      </c>
      <c r="F13" s="46">
        <v>7.95</v>
      </c>
      <c r="G13" s="47">
        <v>-0.79</v>
      </c>
      <c r="H13" s="21">
        <v>0</v>
      </c>
      <c r="I13" s="57">
        <v>0.700000000000001</v>
      </c>
      <c r="J13" s="58">
        <v>1.245</v>
      </c>
      <c r="K13" s="57">
        <v>0.562248995983937</v>
      </c>
      <c r="L13" s="59">
        <v>0</v>
      </c>
      <c r="P13">
        <v>3</v>
      </c>
      <c r="Q13" t="s">
        <v>72</v>
      </c>
    </row>
    <row r="14" spans="1:12">
      <c r="A14" s="44" t="s">
        <v>40</v>
      </c>
      <c r="B14" s="45" t="s">
        <v>73</v>
      </c>
      <c r="C14" s="48">
        <v>2.23</v>
      </c>
      <c r="D14" s="48">
        <v>3</v>
      </c>
      <c r="E14" s="47">
        <v>0.77</v>
      </c>
      <c r="F14" s="48">
        <v>2.2</v>
      </c>
      <c r="G14" s="47">
        <v>-0.8</v>
      </c>
      <c r="H14" s="21">
        <v>0</v>
      </c>
      <c r="I14" s="57">
        <v>0.77</v>
      </c>
      <c r="J14" s="58">
        <v>1.743</v>
      </c>
      <c r="K14" s="57">
        <v>0.441767068273092</v>
      </c>
      <c r="L14" s="59">
        <v>0</v>
      </c>
    </row>
    <row r="15" spans="1:12">
      <c r="A15" s="44" t="s">
        <v>40</v>
      </c>
      <c r="B15" s="45" t="s">
        <v>74</v>
      </c>
      <c r="C15" s="46">
        <v>4.05</v>
      </c>
      <c r="D15" s="46">
        <v>5.02</v>
      </c>
      <c r="E15" s="47">
        <v>0.97</v>
      </c>
      <c r="F15" s="46">
        <v>3.93</v>
      </c>
      <c r="G15" s="47">
        <v>-1.09</v>
      </c>
      <c r="H15" s="21">
        <v>0</v>
      </c>
      <c r="I15" s="57">
        <v>0.97</v>
      </c>
      <c r="J15" s="58">
        <v>2.342</v>
      </c>
      <c r="K15" s="57">
        <v>0.414175918018787</v>
      </c>
      <c r="L15" s="59">
        <v>0</v>
      </c>
    </row>
    <row r="16" spans="1:12">
      <c r="A16" s="44" t="s">
        <v>40</v>
      </c>
      <c r="B16" s="45" t="s">
        <v>75</v>
      </c>
      <c r="C16" s="46">
        <v>6.32</v>
      </c>
      <c r="D16" s="46">
        <v>7.6</v>
      </c>
      <c r="E16" s="47">
        <v>1.28</v>
      </c>
      <c r="F16" s="49">
        <v>6.24</v>
      </c>
      <c r="G16" s="47">
        <v>-1.36</v>
      </c>
      <c r="H16" s="21">
        <v>0</v>
      </c>
      <c r="I16" s="57">
        <v>1.28</v>
      </c>
      <c r="J16" s="58">
        <v>3.079</v>
      </c>
      <c r="K16" s="57">
        <v>0.415719389412147</v>
      </c>
      <c r="L16" s="59">
        <v>0</v>
      </c>
    </row>
    <row r="17" spans="1:12">
      <c r="A17" s="44" t="s">
        <v>40</v>
      </c>
      <c r="B17" s="45" t="s">
        <v>76</v>
      </c>
      <c r="C17" s="46">
        <v>7.98</v>
      </c>
      <c r="D17" s="46">
        <v>9.62</v>
      </c>
      <c r="E17" s="47">
        <v>1.64</v>
      </c>
      <c r="F17" s="49">
        <v>7.91</v>
      </c>
      <c r="G17" s="47">
        <v>-1.71</v>
      </c>
      <c r="H17" s="21">
        <v>0</v>
      </c>
      <c r="I17" s="57">
        <v>1.64</v>
      </c>
      <c r="J17" s="58">
        <v>4.008</v>
      </c>
      <c r="K17" s="57">
        <v>0.409181636726547</v>
      </c>
      <c r="L17" s="59">
        <v>0</v>
      </c>
    </row>
    <row r="18" spans="1:12">
      <c r="A18" s="44" t="s">
        <v>40</v>
      </c>
      <c r="B18" s="45" t="s">
        <v>77</v>
      </c>
      <c r="C18" s="46">
        <v>14.28</v>
      </c>
      <c r="D18" s="46">
        <v>16.31</v>
      </c>
      <c r="E18" s="47">
        <v>2.03</v>
      </c>
      <c r="F18" s="49">
        <v>14.19</v>
      </c>
      <c r="G18" s="47">
        <v>-2.12</v>
      </c>
      <c r="H18" s="21">
        <v>0</v>
      </c>
      <c r="I18" s="57">
        <v>2.03</v>
      </c>
      <c r="J18" s="58">
        <v>5.16</v>
      </c>
      <c r="K18" s="57">
        <v>0.393410852713178</v>
      </c>
      <c r="L18" s="59">
        <v>0</v>
      </c>
    </row>
    <row r="19" spans="1:12">
      <c r="A19" s="44" t="s">
        <v>40</v>
      </c>
      <c r="B19" s="45" t="s">
        <v>78</v>
      </c>
      <c r="C19" s="46">
        <v>12.58</v>
      </c>
      <c r="D19" s="46">
        <v>15.08</v>
      </c>
      <c r="E19" s="47">
        <v>2.5</v>
      </c>
      <c r="F19" s="49">
        <v>12.55</v>
      </c>
      <c r="G19" s="47">
        <v>-2.53</v>
      </c>
      <c r="H19" s="21">
        <v>0</v>
      </c>
      <c r="I19" s="57">
        <v>2.5</v>
      </c>
      <c r="J19" s="58">
        <v>5.953</v>
      </c>
      <c r="K19" s="57">
        <v>0.419956324542248</v>
      </c>
      <c r="L19" s="59">
        <v>0</v>
      </c>
    </row>
    <row r="20" spans="1:12">
      <c r="A20" s="44" t="s">
        <v>40</v>
      </c>
      <c r="B20" s="45" t="s">
        <v>79</v>
      </c>
      <c r="C20" s="46">
        <v>6.85</v>
      </c>
      <c r="D20" s="46">
        <v>9.65</v>
      </c>
      <c r="E20" s="47">
        <v>2.8</v>
      </c>
      <c r="F20" s="49">
        <v>6.8</v>
      </c>
      <c r="G20" s="47">
        <v>-2.85</v>
      </c>
      <c r="H20" s="21">
        <v>0</v>
      </c>
      <c r="I20" s="57">
        <v>2.8</v>
      </c>
      <c r="J20" s="58">
        <v>6.742</v>
      </c>
      <c r="K20" s="57">
        <v>0.415307030554732</v>
      </c>
      <c r="L20" s="59">
        <v>0</v>
      </c>
    </row>
    <row r="21" spans="1:12">
      <c r="A21" s="44" t="s">
        <v>40</v>
      </c>
      <c r="B21" s="45" t="s">
        <v>80</v>
      </c>
      <c r="C21" s="46">
        <v>11.92</v>
      </c>
      <c r="D21" s="46">
        <v>15.21</v>
      </c>
      <c r="E21" s="47">
        <v>3.29</v>
      </c>
      <c r="F21" s="49">
        <v>11.93</v>
      </c>
      <c r="G21" s="47">
        <v>-3.28</v>
      </c>
      <c r="H21" s="21">
        <v>0.00999999999999979</v>
      </c>
      <c r="I21" s="57">
        <v>3.28</v>
      </c>
      <c r="J21" s="58">
        <v>7.048</v>
      </c>
      <c r="K21" s="57">
        <v>0.465380249716232</v>
      </c>
      <c r="L21" s="59">
        <v>0.00303951367781148</v>
      </c>
    </row>
    <row r="22" spans="1:12">
      <c r="A22" s="44" t="s">
        <v>40</v>
      </c>
      <c r="B22" s="45" t="s">
        <v>81</v>
      </c>
      <c r="C22" s="46">
        <v>16.9</v>
      </c>
      <c r="D22" s="46">
        <v>20</v>
      </c>
      <c r="E22" s="47">
        <v>3.1</v>
      </c>
      <c r="F22" s="49">
        <v>16.78</v>
      </c>
      <c r="G22" s="47">
        <v>-3.22</v>
      </c>
      <c r="H22" s="21">
        <v>0</v>
      </c>
      <c r="I22" s="57">
        <v>3.1</v>
      </c>
      <c r="J22" s="58">
        <v>7.268</v>
      </c>
      <c r="K22" s="57">
        <v>0.42652724270776</v>
      </c>
      <c r="L22" s="59">
        <v>0</v>
      </c>
    </row>
    <row r="23" spans="1:12">
      <c r="A23" s="44" t="s">
        <v>40</v>
      </c>
      <c r="B23" s="45" t="s">
        <v>82</v>
      </c>
      <c r="C23" s="46">
        <v>12.43</v>
      </c>
      <c r="D23" s="46">
        <v>15.34</v>
      </c>
      <c r="E23" s="47">
        <v>2.91</v>
      </c>
      <c r="F23" s="49">
        <v>12.57</v>
      </c>
      <c r="G23" s="47">
        <v>-2.77</v>
      </c>
      <c r="H23" s="21">
        <v>0.140000000000001</v>
      </c>
      <c r="I23" s="57">
        <v>2.77</v>
      </c>
      <c r="J23" s="58">
        <v>6.793</v>
      </c>
      <c r="K23" s="57">
        <v>0.407772707198587</v>
      </c>
      <c r="L23" s="59">
        <v>0.048109965635739</v>
      </c>
    </row>
    <row r="24" ht="14.25" spans="1:12">
      <c r="A24" s="44" t="s">
        <v>40</v>
      </c>
      <c r="B24" s="50" t="s">
        <v>83</v>
      </c>
      <c r="C24" s="51">
        <v>13.65</v>
      </c>
      <c r="D24" s="51">
        <v>16.52</v>
      </c>
      <c r="E24" s="47">
        <v>2.87</v>
      </c>
      <c r="F24" s="52">
        <v>13.72</v>
      </c>
      <c r="G24" s="47">
        <v>-2.8</v>
      </c>
      <c r="H24" s="21">
        <v>0.0700000000000003</v>
      </c>
      <c r="I24" s="57">
        <v>2.8</v>
      </c>
      <c r="J24" s="58">
        <v>6.702</v>
      </c>
      <c r="K24" s="57">
        <v>0.417785735601313</v>
      </c>
      <c r="L24" s="59">
        <v>0.0243902439024391</v>
      </c>
    </row>
    <row r="25" spans="1:12">
      <c r="A25" s="44"/>
      <c r="B25" s="45" t="s">
        <v>67</v>
      </c>
      <c r="C25" s="46">
        <v>8.74</v>
      </c>
      <c r="D25" s="53">
        <v>11.47</v>
      </c>
      <c r="E25" s="54">
        <v>2.73</v>
      </c>
      <c r="F25" s="53">
        <v>8.7</v>
      </c>
      <c r="G25" s="54">
        <v>-2.77</v>
      </c>
      <c r="H25" s="21">
        <v>0</v>
      </c>
      <c r="I25" s="60">
        <v>2.73</v>
      </c>
      <c r="J25" s="61">
        <v>6.632</v>
      </c>
      <c r="K25" s="60">
        <v>0.411640530759952</v>
      </c>
      <c r="L25" s="62">
        <v>0</v>
      </c>
    </row>
    <row r="26" spans="1:12">
      <c r="A26" s="44"/>
      <c r="B26" s="45" t="s">
        <v>69</v>
      </c>
      <c r="C26" s="46">
        <v>1.29</v>
      </c>
      <c r="D26" s="46">
        <v>4.19</v>
      </c>
      <c r="E26" s="47">
        <v>2.9</v>
      </c>
      <c r="F26" s="46">
        <v>1.23</v>
      </c>
      <c r="G26" s="47">
        <v>-2.96</v>
      </c>
      <c r="H26" s="21">
        <v>0</v>
      </c>
      <c r="I26" s="57">
        <v>2.9</v>
      </c>
      <c r="J26" s="58">
        <v>6.725</v>
      </c>
      <c r="K26" s="57">
        <v>0.431226765799257</v>
      </c>
      <c r="L26" s="59">
        <v>0</v>
      </c>
    </row>
    <row r="27" spans="1:12">
      <c r="A27" s="44"/>
      <c r="B27" s="45" t="s">
        <v>71</v>
      </c>
      <c r="C27" s="46">
        <v>8.04</v>
      </c>
      <c r="D27" s="46">
        <v>11.15</v>
      </c>
      <c r="E27" s="55">
        <v>3.11</v>
      </c>
      <c r="F27" s="46">
        <v>8</v>
      </c>
      <c r="G27" s="47">
        <v>-3.15</v>
      </c>
      <c r="H27" s="21">
        <v>0</v>
      </c>
      <c r="I27" s="63">
        <v>3.11</v>
      </c>
      <c r="J27" s="64">
        <v>7.195</v>
      </c>
      <c r="K27" s="63">
        <v>0.432244614315497</v>
      </c>
      <c r="L27" s="65">
        <v>0</v>
      </c>
    </row>
    <row r="28" spans="1:12">
      <c r="A28" s="44"/>
      <c r="B28" s="45" t="s">
        <v>73</v>
      </c>
      <c r="C28" s="48">
        <v>2.23</v>
      </c>
      <c r="D28" s="48">
        <v>5.35</v>
      </c>
      <c r="E28" s="47">
        <v>3.12</v>
      </c>
      <c r="F28" s="48">
        <v>2.25</v>
      </c>
      <c r="G28" s="56">
        <v>-3.1</v>
      </c>
      <c r="H28" s="21">
        <v>0.02</v>
      </c>
      <c r="I28" s="57">
        <v>3.1</v>
      </c>
      <c r="J28" s="58">
        <v>7</v>
      </c>
      <c r="K28" s="57">
        <v>0.442857142857143</v>
      </c>
      <c r="L28" s="59">
        <v>0.00641025641025642</v>
      </c>
    </row>
    <row r="29" spans="1:12">
      <c r="A29" s="44"/>
      <c r="B29" s="45" t="s">
        <v>74</v>
      </c>
      <c r="C29" s="46">
        <v>4.05</v>
      </c>
      <c r="D29" s="46">
        <v>6.97</v>
      </c>
      <c r="E29" s="47">
        <v>2.92</v>
      </c>
      <c r="F29" s="46">
        <v>3.96</v>
      </c>
      <c r="G29" s="47">
        <v>-3.01</v>
      </c>
      <c r="H29" s="21">
        <v>0</v>
      </c>
      <c r="I29" s="57">
        <v>2.92</v>
      </c>
      <c r="J29" s="58">
        <v>6.728</v>
      </c>
      <c r="K29" s="57">
        <v>0.434007134363853</v>
      </c>
      <c r="L29" s="59">
        <v>0</v>
      </c>
    </row>
    <row r="30" spans="1:12">
      <c r="A30" s="44"/>
      <c r="B30" s="45" t="s">
        <v>75</v>
      </c>
      <c r="C30" s="46">
        <v>6.32</v>
      </c>
      <c r="D30" s="46">
        <v>8.71</v>
      </c>
      <c r="E30" s="47">
        <v>2.39</v>
      </c>
      <c r="F30" s="49">
        <v>6.25</v>
      </c>
      <c r="G30" s="47">
        <v>-2.46</v>
      </c>
      <c r="H30" s="21">
        <v>0</v>
      </c>
      <c r="I30" s="57">
        <v>2.39</v>
      </c>
      <c r="J30" s="58">
        <v>5.975</v>
      </c>
      <c r="K30" s="57">
        <v>0.4</v>
      </c>
      <c r="L30" s="59">
        <v>0</v>
      </c>
    </row>
    <row r="31" spans="1:12">
      <c r="A31" s="44"/>
      <c r="B31" s="45" t="s">
        <v>76</v>
      </c>
      <c r="C31" s="46">
        <v>7.98</v>
      </c>
      <c r="D31" s="46">
        <v>10.17</v>
      </c>
      <c r="E31" s="56">
        <v>2.19</v>
      </c>
      <c r="F31" s="49">
        <v>7.92</v>
      </c>
      <c r="G31" s="47">
        <v>-2.25</v>
      </c>
      <c r="H31" s="21">
        <v>0</v>
      </c>
      <c r="I31" s="66">
        <v>2.19</v>
      </c>
      <c r="J31" s="67">
        <v>5.203</v>
      </c>
      <c r="K31" s="66">
        <v>0.420911012877186</v>
      </c>
      <c r="L31" s="68">
        <v>0</v>
      </c>
    </row>
    <row r="32" spans="1:12">
      <c r="A32" s="44"/>
      <c r="B32" s="45" t="s">
        <v>77</v>
      </c>
      <c r="C32" s="46">
        <v>14.28</v>
      </c>
      <c r="D32" s="46">
        <v>15.97</v>
      </c>
      <c r="E32" s="47">
        <v>1.69</v>
      </c>
      <c r="F32" s="49">
        <v>14.17</v>
      </c>
      <c r="G32" s="47">
        <v>-1.8</v>
      </c>
      <c r="H32" s="21">
        <v>0</v>
      </c>
      <c r="I32" s="57">
        <v>1.69</v>
      </c>
      <c r="J32" s="58">
        <v>4.043</v>
      </c>
      <c r="K32" s="57">
        <v>0.418006430868168</v>
      </c>
      <c r="L32" s="59">
        <v>0</v>
      </c>
    </row>
    <row r="33" spans="1:12">
      <c r="A33" s="44"/>
      <c r="B33" s="45" t="s">
        <v>78</v>
      </c>
      <c r="C33" s="46">
        <v>12.58</v>
      </c>
      <c r="D33" s="46">
        <v>13.91</v>
      </c>
      <c r="E33" s="55">
        <v>1.33</v>
      </c>
      <c r="F33" s="49">
        <v>12.53</v>
      </c>
      <c r="G33" s="47">
        <v>-1.38</v>
      </c>
      <c r="H33" s="21">
        <v>0</v>
      </c>
      <c r="I33" s="63">
        <v>1.33</v>
      </c>
      <c r="J33" s="64">
        <v>3.11</v>
      </c>
      <c r="K33" s="63">
        <v>0.427652733118971</v>
      </c>
      <c r="L33" s="65">
        <v>0</v>
      </c>
    </row>
    <row r="34" spans="1:12">
      <c r="A34" s="44"/>
      <c r="B34" s="45" t="s">
        <v>79</v>
      </c>
      <c r="C34" s="46">
        <v>6.85</v>
      </c>
      <c r="D34" s="46">
        <v>7.72</v>
      </c>
      <c r="E34" s="47">
        <v>0.87</v>
      </c>
      <c r="F34" s="49">
        <v>6.78</v>
      </c>
      <c r="G34" s="47">
        <v>-0.94</v>
      </c>
      <c r="H34" s="21">
        <v>0</v>
      </c>
      <c r="I34" s="57">
        <v>0.87</v>
      </c>
      <c r="J34" s="58">
        <v>2.369</v>
      </c>
      <c r="K34" s="57">
        <v>0.367243562684677</v>
      </c>
      <c r="L34" s="59">
        <v>0</v>
      </c>
    </row>
    <row r="35" spans="1:12">
      <c r="A35" s="44"/>
      <c r="B35" s="45" t="s">
        <v>80</v>
      </c>
      <c r="C35" s="46">
        <v>11.92</v>
      </c>
      <c r="D35" s="46">
        <v>12.73</v>
      </c>
      <c r="E35" s="47">
        <v>0.81</v>
      </c>
      <c r="F35" s="49">
        <v>11.9</v>
      </c>
      <c r="G35" s="47">
        <v>-0.83</v>
      </c>
      <c r="H35" s="21">
        <v>0</v>
      </c>
      <c r="I35" s="57">
        <v>0.81</v>
      </c>
      <c r="J35" s="58">
        <v>1.769</v>
      </c>
      <c r="K35" s="57">
        <v>0.457885811192765</v>
      </c>
      <c r="L35" s="59">
        <v>0</v>
      </c>
    </row>
    <row r="36" spans="1:12">
      <c r="A36" s="44"/>
      <c r="B36" s="45" t="s">
        <v>81</v>
      </c>
      <c r="C36" s="46">
        <v>16.9</v>
      </c>
      <c r="D36" s="46">
        <v>17.41</v>
      </c>
      <c r="E36" s="47">
        <v>0.510000000000002</v>
      </c>
      <c r="F36" s="49">
        <v>16.74</v>
      </c>
      <c r="G36" s="47">
        <v>-0.670000000000002</v>
      </c>
      <c r="H36" s="21">
        <v>0</v>
      </c>
      <c r="I36" s="57">
        <v>0.510000000000002</v>
      </c>
      <c r="J36" s="58">
        <v>1.271</v>
      </c>
      <c r="K36" s="57">
        <v>0.401258851298192</v>
      </c>
      <c r="L36" s="59">
        <v>0</v>
      </c>
    </row>
    <row r="37" spans="1:12">
      <c r="A37" s="44"/>
      <c r="B37" s="45" t="s">
        <v>82</v>
      </c>
      <c r="C37" s="46">
        <v>12.43</v>
      </c>
      <c r="D37" s="46">
        <v>12.84</v>
      </c>
      <c r="E37" s="56">
        <v>0.41</v>
      </c>
      <c r="F37" s="49">
        <v>12.5</v>
      </c>
      <c r="G37" s="47">
        <v>-0.34</v>
      </c>
      <c r="H37" s="21">
        <v>0.0700000000000003</v>
      </c>
      <c r="I37" s="66">
        <v>0.34</v>
      </c>
      <c r="J37" s="67">
        <v>0.852</v>
      </c>
      <c r="K37" s="66">
        <v>0.39906103286385</v>
      </c>
      <c r="L37" s="68">
        <v>0.170731707317074</v>
      </c>
    </row>
    <row r="38" ht="14.25" spans="1:12">
      <c r="A38" s="44"/>
      <c r="B38" s="50" t="s">
        <v>83</v>
      </c>
      <c r="C38" s="51">
        <v>13.65</v>
      </c>
      <c r="D38" s="46">
        <v>14.18</v>
      </c>
      <c r="E38" s="47">
        <v>0.529999999999999</v>
      </c>
      <c r="F38" s="49">
        <v>13.68</v>
      </c>
      <c r="G38" s="47">
        <v>-0.5</v>
      </c>
      <c r="H38" s="21">
        <v>0.0299999999999994</v>
      </c>
      <c r="I38" s="57">
        <v>0.5</v>
      </c>
      <c r="J38" s="58">
        <v>0.499</v>
      </c>
      <c r="K38" s="57">
        <v>1.00200400801603</v>
      </c>
      <c r="L38" s="59">
        <v>0.0566037735849045</v>
      </c>
    </row>
  </sheetData>
  <mergeCells count="9">
    <mergeCell ref="D9:E9"/>
    <mergeCell ref="F9:H9"/>
    <mergeCell ref="A9:A10"/>
    <mergeCell ref="B9:B10"/>
    <mergeCell ref="C9:C10"/>
    <mergeCell ref="I9:I10"/>
    <mergeCell ref="J9:J10"/>
    <mergeCell ref="K9:K10"/>
    <mergeCell ref="L9:L10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9525</xdr:colOff>
                    <xdr:row>8</xdr:row>
                    <xdr:rowOff>152400</xdr:rowOff>
                  </from>
                  <to>
                    <xdr:col>14</xdr:col>
                    <xdr:colOff>304800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9525</xdr:colOff>
                    <xdr:row>5</xdr:row>
                    <xdr:rowOff>57150</xdr:rowOff>
                  </from>
                  <to>
                    <xdr:col>14</xdr:col>
                    <xdr:colOff>285750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"/>
  <sheetViews>
    <sheetView workbookViewId="0">
      <selection activeCell="A1" sqref="A1"/>
    </sheetView>
  </sheetViews>
  <sheetFormatPr defaultColWidth="9" defaultRowHeight="13.5" outlineLevelRow="2" outlineLevelCol="6"/>
  <sheetData>
    <row r="3" spans="7:7">
      <c r="G3" t="s">
        <v>84</v>
      </c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A1" sqref="A1"/>
    </sheetView>
  </sheetViews>
  <sheetFormatPr defaultColWidth="9" defaultRowHeight="13.5" outlineLevelCol="5"/>
  <sheetData>
    <row r="1" spans="2:6">
      <c r="B1" t="s">
        <v>59</v>
      </c>
      <c r="C1" t="s">
        <v>60</v>
      </c>
      <c r="E1" t="s">
        <v>59</v>
      </c>
      <c r="F1" t="s">
        <v>60</v>
      </c>
    </row>
    <row r="2" spans="1:6">
      <c r="A2" t="s">
        <v>74</v>
      </c>
      <c r="B2">
        <v>0.97</v>
      </c>
      <c r="C2">
        <v>2.342</v>
      </c>
      <c r="D2" t="s">
        <v>74</v>
      </c>
      <c r="E2">
        <v>0.97</v>
      </c>
      <c r="F2">
        <v>2.342</v>
      </c>
    </row>
    <row r="3" spans="1:6">
      <c r="A3" t="s">
        <v>75</v>
      </c>
      <c r="B3">
        <v>1.28</v>
      </c>
      <c r="C3">
        <v>3.079</v>
      </c>
      <c r="D3" t="s">
        <v>75</v>
      </c>
      <c r="E3">
        <v>1.28</v>
      </c>
      <c r="F3">
        <v>3.079</v>
      </c>
    </row>
    <row r="4" spans="1:6">
      <c r="A4" t="s">
        <v>76</v>
      </c>
      <c r="B4">
        <v>1.64</v>
      </c>
      <c r="C4">
        <v>4.008</v>
      </c>
      <c r="D4" t="s">
        <v>76</v>
      </c>
      <c r="E4">
        <v>1.64</v>
      </c>
      <c r="F4">
        <v>4.008</v>
      </c>
    </row>
    <row r="5" spans="1:6">
      <c r="A5" t="s">
        <v>77</v>
      </c>
      <c r="B5">
        <v>2.03</v>
      </c>
      <c r="C5">
        <v>5.16</v>
      </c>
      <c r="D5" t="s">
        <v>77</v>
      </c>
      <c r="E5">
        <v>5</v>
      </c>
      <c r="F5">
        <v>5.16</v>
      </c>
    </row>
    <row r="6" spans="1:6">
      <c r="A6" t="s">
        <v>78</v>
      </c>
      <c r="B6">
        <v>2.5</v>
      </c>
      <c r="C6">
        <v>5.953</v>
      </c>
      <c r="D6" t="s">
        <v>78</v>
      </c>
      <c r="E6">
        <v>2.5</v>
      </c>
      <c r="F6">
        <v>5.953</v>
      </c>
    </row>
    <row r="7" spans="1:6">
      <c r="A7" t="s">
        <v>79</v>
      </c>
      <c r="B7">
        <v>2.8</v>
      </c>
      <c r="C7">
        <v>6.742</v>
      </c>
      <c r="D7" t="s">
        <v>79</v>
      </c>
      <c r="E7">
        <v>2.8</v>
      </c>
      <c r="F7">
        <v>6.742</v>
      </c>
    </row>
    <row r="8" spans="1:6">
      <c r="A8" t="s">
        <v>80</v>
      </c>
      <c r="B8">
        <v>3.28</v>
      </c>
      <c r="C8">
        <v>7.048</v>
      </c>
      <c r="D8" t="s">
        <v>80</v>
      </c>
      <c r="E8">
        <v>3.28</v>
      </c>
      <c r="F8">
        <v>7.048</v>
      </c>
    </row>
    <row r="9" spans="1:6">
      <c r="A9" t="s">
        <v>81</v>
      </c>
      <c r="B9">
        <v>3.1</v>
      </c>
      <c r="C9">
        <v>7.268</v>
      </c>
      <c r="D9" t="s">
        <v>81</v>
      </c>
      <c r="E9">
        <v>3.1</v>
      </c>
      <c r="F9">
        <v>7.268</v>
      </c>
    </row>
    <row r="10" spans="1:6">
      <c r="A10" t="s">
        <v>82</v>
      </c>
      <c r="B10">
        <v>2.77</v>
      </c>
      <c r="C10">
        <v>6.793</v>
      </c>
      <c r="D10" t="s">
        <v>82</v>
      </c>
      <c r="E10">
        <v>2.77</v>
      </c>
      <c r="F10">
        <v>6.793</v>
      </c>
    </row>
    <row r="11" spans="1:6">
      <c r="A11" t="s">
        <v>83</v>
      </c>
      <c r="B11">
        <v>2.8</v>
      </c>
      <c r="C11">
        <v>6.702</v>
      </c>
      <c r="D11" t="s">
        <v>83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38"/>
  <sheetViews>
    <sheetView workbookViewId="0">
      <selection activeCell="A1" sqref="A1"/>
    </sheetView>
  </sheetViews>
  <sheetFormatPr defaultColWidth="9" defaultRowHeight="13.5"/>
  <sheetData>
    <row r="1" spans="1:2">
      <c r="A1" t="s">
        <v>56</v>
      </c>
      <c r="B1">
        <v>1</v>
      </c>
    </row>
    <row r="2" spans="1:19">
      <c r="A2" t="s">
        <v>1</v>
      </c>
      <c r="B2">
        <v>14</v>
      </c>
      <c r="C2" t="s">
        <v>2</v>
      </c>
      <c r="D2"/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">
      <c r="A3" t="s">
        <v>11</v>
      </c>
      <c r="B3">
        <v>2</v>
      </c>
    </row>
    <row r="4" spans="1:2">
      <c r="A4" t="s">
        <v>12</v>
      </c>
      <c r="B4">
        <v>0.39</v>
      </c>
    </row>
    <row r="5" spans="1:2">
      <c r="A5" t="s">
        <v>14</v>
      </c>
      <c r="B5">
        <v>0.93</v>
      </c>
    </row>
    <row r="6" spans="1:4">
      <c r="A6" t="s">
        <v>57</v>
      </c>
      <c r="B6" s="1">
        <v>0.0481</v>
      </c>
      <c r="D6" s="1"/>
    </row>
    <row r="9" ht="14.25" spans="1:12">
      <c r="A9" s="42" t="s">
        <v>20</v>
      </c>
      <c r="B9" s="42" t="s">
        <v>21</v>
      </c>
      <c r="C9" s="4" t="s">
        <v>58</v>
      </c>
      <c r="D9" s="4" t="s">
        <v>23</v>
      </c>
      <c r="E9" s="4"/>
      <c r="F9" s="4" t="s">
        <v>24</v>
      </c>
      <c r="G9" s="4"/>
      <c r="H9" s="4"/>
      <c r="I9" s="4" t="s">
        <v>59</v>
      </c>
      <c r="J9" s="4" t="s">
        <v>60</v>
      </c>
      <c r="K9" s="4" t="s">
        <v>28</v>
      </c>
      <c r="L9" s="4" t="s">
        <v>61</v>
      </c>
    </row>
    <row r="10" ht="14.25" spans="1:12">
      <c r="A10" s="42"/>
      <c r="B10" s="43"/>
      <c r="C10" s="29"/>
      <c r="D10" s="4" t="s">
        <v>62</v>
      </c>
      <c r="E10" s="4" t="s">
        <v>63</v>
      </c>
      <c r="F10" s="4" t="s">
        <v>62</v>
      </c>
      <c r="G10" s="4" t="s">
        <v>64</v>
      </c>
      <c r="H10" s="4" t="s">
        <v>65</v>
      </c>
      <c r="I10" s="4"/>
      <c r="J10" s="4"/>
      <c r="K10" s="4"/>
      <c r="L10" s="4"/>
    </row>
    <row r="11" spans="1:12">
      <c r="A11" s="44" t="s">
        <v>40</v>
      </c>
      <c r="B11" s="45" t="s">
        <v>67</v>
      </c>
      <c r="C11" s="46">
        <v>8.74</v>
      </c>
      <c r="D11" s="46">
        <v>9.18</v>
      </c>
      <c r="E11" s="47">
        <v>0.44</v>
      </c>
      <c r="F11" s="46">
        <v>8.65</v>
      </c>
      <c r="G11" s="47">
        <v>-0.529999999999999</v>
      </c>
      <c r="H11" s="21">
        <v>0</v>
      </c>
      <c r="I11" s="57">
        <v>0.44</v>
      </c>
      <c r="J11" s="58">
        <v>0.473</v>
      </c>
      <c r="K11" s="57">
        <v>0.930232558139534</v>
      </c>
      <c r="L11" s="59">
        <v>0</v>
      </c>
    </row>
    <row r="12" spans="1:12">
      <c r="A12" s="44" t="s">
        <v>40</v>
      </c>
      <c r="B12" s="45" t="s">
        <v>69</v>
      </c>
      <c r="C12" s="46">
        <v>1.29</v>
      </c>
      <c r="D12" s="46">
        <v>1.8</v>
      </c>
      <c r="E12" s="47">
        <v>0.51</v>
      </c>
      <c r="F12" s="46">
        <v>1.15</v>
      </c>
      <c r="G12" s="47">
        <v>-0.65</v>
      </c>
      <c r="H12" s="21">
        <v>0</v>
      </c>
      <c r="I12" s="57">
        <v>0.51</v>
      </c>
      <c r="J12" s="58">
        <v>0.825</v>
      </c>
      <c r="K12" s="57">
        <v>0.618181818181818</v>
      </c>
      <c r="L12" s="59">
        <v>0</v>
      </c>
    </row>
    <row r="13" spans="1:12">
      <c r="A13" s="44" t="s">
        <v>40</v>
      </c>
      <c r="B13" s="45" t="s">
        <v>71</v>
      </c>
      <c r="C13" s="46">
        <v>8.04</v>
      </c>
      <c r="D13" s="46">
        <v>8.74</v>
      </c>
      <c r="E13" s="47">
        <v>0.700000000000001</v>
      </c>
      <c r="F13" s="46">
        <v>7.95</v>
      </c>
      <c r="G13" s="47">
        <v>-0.79</v>
      </c>
      <c r="H13" s="21">
        <v>0</v>
      </c>
      <c r="I13" s="57">
        <v>0.700000000000001</v>
      </c>
      <c r="J13" s="58">
        <v>1.245</v>
      </c>
      <c r="K13" s="57">
        <v>0.562248995983937</v>
      </c>
      <c r="L13" s="59">
        <v>0</v>
      </c>
    </row>
    <row r="14" spans="1:12">
      <c r="A14" s="44" t="s">
        <v>40</v>
      </c>
      <c r="B14" s="45" t="s">
        <v>73</v>
      </c>
      <c r="C14" s="48">
        <v>2.23</v>
      </c>
      <c r="D14" s="48">
        <v>3</v>
      </c>
      <c r="E14" s="47">
        <v>0.77</v>
      </c>
      <c r="F14" s="48">
        <v>2.2</v>
      </c>
      <c r="G14" s="47">
        <v>-0.8</v>
      </c>
      <c r="H14" s="21">
        <v>0</v>
      </c>
      <c r="I14" s="57">
        <v>0.77</v>
      </c>
      <c r="J14" s="58">
        <v>1.743</v>
      </c>
      <c r="K14" s="57">
        <v>0.441767068273092</v>
      </c>
      <c r="L14" s="59">
        <v>0</v>
      </c>
    </row>
    <row r="15" spans="1:12">
      <c r="A15" s="44" t="s">
        <v>40</v>
      </c>
      <c r="B15" s="45" t="s">
        <v>74</v>
      </c>
      <c r="C15" s="46">
        <v>4.05</v>
      </c>
      <c r="D15" s="46">
        <v>5.02</v>
      </c>
      <c r="E15" s="47">
        <v>0.97</v>
      </c>
      <c r="F15" s="46">
        <v>3.93</v>
      </c>
      <c r="G15" s="47">
        <v>-1.09</v>
      </c>
      <c r="H15" s="21">
        <v>0</v>
      </c>
      <c r="I15" s="57">
        <v>0.97</v>
      </c>
      <c r="J15" s="58">
        <v>2.342</v>
      </c>
      <c r="K15" s="57">
        <v>0.414175918018787</v>
      </c>
      <c r="L15" s="59">
        <v>0</v>
      </c>
    </row>
    <row r="16" spans="1:12">
      <c r="A16" s="44" t="s">
        <v>40</v>
      </c>
      <c r="B16" s="45" t="s">
        <v>75</v>
      </c>
      <c r="C16" s="46">
        <v>6.32</v>
      </c>
      <c r="D16" s="46">
        <v>7.6</v>
      </c>
      <c r="E16" s="47">
        <v>1.28</v>
      </c>
      <c r="F16" s="49">
        <v>6.24</v>
      </c>
      <c r="G16" s="47">
        <v>-1.36</v>
      </c>
      <c r="H16" s="21">
        <v>0</v>
      </c>
      <c r="I16" s="57">
        <v>1.28</v>
      </c>
      <c r="J16" s="58">
        <v>3.079</v>
      </c>
      <c r="K16" s="57">
        <v>0.415719389412147</v>
      </c>
      <c r="L16" s="59">
        <v>0</v>
      </c>
    </row>
    <row r="17" spans="1:12">
      <c r="A17" s="44" t="s">
        <v>40</v>
      </c>
      <c r="B17" s="45" t="s">
        <v>76</v>
      </c>
      <c r="C17" s="46">
        <v>7.98</v>
      </c>
      <c r="D17" s="46">
        <v>9.62</v>
      </c>
      <c r="E17" s="47">
        <v>1.64</v>
      </c>
      <c r="F17" s="49">
        <v>7.91</v>
      </c>
      <c r="G17" s="47">
        <v>-1.71</v>
      </c>
      <c r="H17" s="21">
        <v>0</v>
      </c>
      <c r="I17" s="57">
        <v>1.64</v>
      </c>
      <c r="J17" s="58">
        <v>4.008</v>
      </c>
      <c r="K17" s="57">
        <v>0.409181636726547</v>
      </c>
      <c r="L17" s="59">
        <v>0</v>
      </c>
    </row>
    <row r="18" spans="1:12">
      <c r="A18" s="44" t="s">
        <v>40</v>
      </c>
      <c r="B18" s="45" t="s">
        <v>77</v>
      </c>
      <c r="C18" s="46">
        <v>14.28</v>
      </c>
      <c r="D18" s="46">
        <v>16.31</v>
      </c>
      <c r="E18" s="47">
        <v>2.03</v>
      </c>
      <c r="F18" s="49">
        <v>14.19</v>
      </c>
      <c r="G18" s="47">
        <v>-2.12</v>
      </c>
      <c r="H18" s="21">
        <v>0</v>
      </c>
      <c r="I18" s="57">
        <v>2.03</v>
      </c>
      <c r="J18" s="58">
        <v>5.16</v>
      </c>
      <c r="K18" s="57">
        <v>0.393410852713178</v>
      </c>
      <c r="L18" s="59">
        <v>0</v>
      </c>
    </row>
    <row r="19" spans="1:12">
      <c r="A19" s="44" t="s">
        <v>40</v>
      </c>
      <c r="B19" s="45" t="s">
        <v>78</v>
      </c>
      <c r="C19" s="46">
        <v>12.58</v>
      </c>
      <c r="D19" s="46">
        <v>15.08</v>
      </c>
      <c r="E19" s="47">
        <v>2.5</v>
      </c>
      <c r="F19" s="49">
        <v>12.55</v>
      </c>
      <c r="G19" s="47">
        <v>-2.53</v>
      </c>
      <c r="H19" s="21">
        <v>0</v>
      </c>
      <c r="I19" s="57">
        <v>2.5</v>
      </c>
      <c r="J19" s="58">
        <v>5.953</v>
      </c>
      <c r="K19" s="57">
        <v>0.419956324542248</v>
      </c>
      <c r="L19" s="59">
        <v>0</v>
      </c>
    </row>
    <row r="20" spans="1:12">
      <c r="A20" s="44" t="s">
        <v>40</v>
      </c>
      <c r="B20" s="45" t="s">
        <v>79</v>
      </c>
      <c r="C20" s="46">
        <v>6.85</v>
      </c>
      <c r="D20" s="46">
        <v>9.65</v>
      </c>
      <c r="E20" s="47">
        <v>2.8</v>
      </c>
      <c r="F20" s="49">
        <v>6.8</v>
      </c>
      <c r="G20" s="47">
        <v>-2.85</v>
      </c>
      <c r="H20" s="21">
        <v>0</v>
      </c>
      <c r="I20" s="57">
        <v>2.8</v>
      </c>
      <c r="J20" s="58">
        <v>6.742</v>
      </c>
      <c r="K20" s="57">
        <v>0.415307030554732</v>
      </c>
      <c r="L20" s="59">
        <v>0</v>
      </c>
    </row>
    <row r="21" spans="1:12">
      <c r="A21" s="44" t="s">
        <v>40</v>
      </c>
      <c r="B21" s="45" t="s">
        <v>80</v>
      </c>
      <c r="C21" s="46">
        <v>11.92</v>
      </c>
      <c r="D21" s="46">
        <v>15.21</v>
      </c>
      <c r="E21" s="47">
        <v>3.29</v>
      </c>
      <c r="F21" s="49">
        <v>11.93</v>
      </c>
      <c r="G21" s="47">
        <v>-3.28</v>
      </c>
      <c r="H21" s="21">
        <v>0.00999999999999979</v>
      </c>
      <c r="I21" s="57">
        <v>3.28</v>
      </c>
      <c r="J21" s="58">
        <v>7.048</v>
      </c>
      <c r="K21" s="57">
        <v>0.465380249716232</v>
      </c>
      <c r="L21" s="59">
        <v>0.00303951367781148</v>
      </c>
    </row>
    <row r="22" spans="1:12">
      <c r="A22" s="44" t="s">
        <v>40</v>
      </c>
      <c r="B22" s="45" t="s">
        <v>81</v>
      </c>
      <c r="C22" s="46">
        <v>16.9</v>
      </c>
      <c r="D22" s="46">
        <v>20</v>
      </c>
      <c r="E22" s="47">
        <v>3.1</v>
      </c>
      <c r="F22" s="49">
        <v>16.78</v>
      </c>
      <c r="G22" s="47">
        <v>-3.22</v>
      </c>
      <c r="H22" s="21">
        <v>0</v>
      </c>
      <c r="I22" s="57">
        <v>3.1</v>
      </c>
      <c r="J22" s="58">
        <v>7.268</v>
      </c>
      <c r="K22" s="57">
        <v>0.42652724270776</v>
      </c>
      <c r="L22" s="59">
        <v>0</v>
      </c>
    </row>
    <row r="23" spans="1:12">
      <c r="A23" s="44" t="s">
        <v>40</v>
      </c>
      <c r="B23" s="45" t="s">
        <v>82</v>
      </c>
      <c r="C23" s="46">
        <v>12.43</v>
      </c>
      <c r="D23" s="46">
        <v>15.34</v>
      </c>
      <c r="E23" s="47">
        <v>2.91</v>
      </c>
      <c r="F23" s="49">
        <v>12.57</v>
      </c>
      <c r="G23" s="47">
        <v>-2.77</v>
      </c>
      <c r="H23" s="21">
        <v>0.140000000000001</v>
      </c>
      <c r="I23" s="57">
        <v>2.77</v>
      </c>
      <c r="J23" s="58">
        <v>6.793</v>
      </c>
      <c r="K23" s="57">
        <v>0.407772707198587</v>
      </c>
      <c r="L23" s="59">
        <v>0.048109965635739</v>
      </c>
    </row>
    <row r="24" ht="14.25" spans="1:12">
      <c r="A24" s="44" t="s">
        <v>40</v>
      </c>
      <c r="B24" s="50" t="s">
        <v>83</v>
      </c>
      <c r="C24" s="51">
        <v>13.65</v>
      </c>
      <c r="D24" s="51">
        <v>16.52</v>
      </c>
      <c r="E24" s="47">
        <v>2.87</v>
      </c>
      <c r="F24" s="52">
        <v>13.72</v>
      </c>
      <c r="G24" s="47">
        <v>-2.8</v>
      </c>
      <c r="H24" s="21">
        <v>0.0700000000000003</v>
      </c>
      <c r="I24" s="57">
        <v>2.8</v>
      </c>
      <c r="J24" s="58">
        <v>6.702</v>
      </c>
      <c r="K24" s="57">
        <v>0.417785735601313</v>
      </c>
      <c r="L24" s="59">
        <v>0.0243902439024391</v>
      </c>
    </row>
    <row r="25" spans="1:12">
      <c r="A25" s="44"/>
      <c r="B25" s="45" t="s">
        <v>67</v>
      </c>
      <c r="C25" s="46">
        <v>8.74</v>
      </c>
      <c r="D25" s="53">
        <v>11.47</v>
      </c>
      <c r="E25" s="54">
        <v>2.73</v>
      </c>
      <c r="F25" s="53">
        <v>8.7</v>
      </c>
      <c r="G25" s="54">
        <v>-2.77</v>
      </c>
      <c r="H25" s="21">
        <v>0</v>
      </c>
      <c r="I25" s="60">
        <v>2.73</v>
      </c>
      <c r="J25" s="61">
        <v>6.632</v>
      </c>
      <c r="K25" s="60">
        <v>0.411640530759952</v>
      </c>
      <c r="L25" s="62">
        <v>0</v>
      </c>
    </row>
    <row r="26" spans="1:12">
      <c r="A26" s="44"/>
      <c r="B26" s="45" t="s">
        <v>69</v>
      </c>
      <c r="C26" s="46">
        <v>1.29</v>
      </c>
      <c r="D26" s="46">
        <v>4.19</v>
      </c>
      <c r="E26" s="47">
        <v>2.9</v>
      </c>
      <c r="F26" s="46">
        <v>1.23</v>
      </c>
      <c r="G26" s="47">
        <v>-2.96</v>
      </c>
      <c r="H26" s="21">
        <v>0</v>
      </c>
      <c r="I26" s="57">
        <v>2.9</v>
      </c>
      <c r="J26" s="58">
        <v>6.725</v>
      </c>
      <c r="K26" s="57">
        <v>0.431226765799257</v>
      </c>
      <c r="L26" s="59">
        <v>0</v>
      </c>
    </row>
    <row r="27" spans="1:12">
      <c r="A27" s="44"/>
      <c r="B27" s="45" t="s">
        <v>71</v>
      </c>
      <c r="C27" s="46">
        <v>8.04</v>
      </c>
      <c r="D27" s="46">
        <v>11.15</v>
      </c>
      <c r="E27" s="55">
        <v>3.11</v>
      </c>
      <c r="F27" s="46">
        <v>8</v>
      </c>
      <c r="G27" s="47">
        <v>-3.15</v>
      </c>
      <c r="H27" s="21">
        <v>0</v>
      </c>
      <c r="I27" s="63">
        <v>3.11</v>
      </c>
      <c r="J27" s="64">
        <v>7.195</v>
      </c>
      <c r="K27" s="63">
        <v>0.432244614315497</v>
      </c>
      <c r="L27" s="65">
        <v>0</v>
      </c>
    </row>
    <row r="28" spans="1:12">
      <c r="A28" s="44"/>
      <c r="B28" s="45" t="s">
        <v>73</v>
      </c>
      <c r="C28" s="48">
        <v>2.23</v>
      </c>
      <c r="D28" s="48">
        <v>5.35</v>
      </c>
      <c r="E28" s="47">
        <v>3.12</v>
      </c>
      <c r="F28" s="48">
        <v>2.25</v>
      </c>
      <c r="G28" s="56">
        <v>-3.1</v>
      </c>
      <c r="H28" s="21">
        <v>0.02</v>
      </c>
      <c r="I28" s="57">
        <v>3.1</v>
      </c>
      <c r="J28" s="58">
        <v>7</v>
      </c>
      <c r="K28" s="57">
        <v>0.442857142857143</v>
      </c>
      <c r="L28" s="59">
        <v>0.00641025641025642</v>
      </c>
    </row>
    <row r="29" spans="1:12">
      <c r="A29" s="44"/>
      <c r="B29" s="45" t="s">
        <v>74</v>
      </c>
      <c r="C29" s="46">
        <v>4.05</v>
      </c>
      <c r="D29" s="46">
        <v>6.97</v>
      </c>
      <c r="E29" s="47">
        <v>2.92</v>
      </c>
      <c r="F29" s="46">
        <v>3.96</v>
      </c>
      <c r="G29" s="47">
        <v>-3.01</v>
      </c>
      <c r="H29" s="21">
        <v>0</v>
      </c>
      <c r="I29" s="57">
        <v>2.92</v>
      </c>
      <c r="J29" s="58">
        <v>6.728</v>
      </c>
      <c r="K29" s="57">
        <v>0.434007134363853</v>
      </c>
      <c r="L29" s="59">
        <v>0</v>
      </c>
    </row>
    <row r="30" spans="1:12">
      <c r="A30" s="44"/>
      <c r="B30" s="45" t="s">
        <v>75</v>
      </c>
      <c r="C30" s="46">
        <v>6.32</v>
      </c>
      <c r="D30" s="46">
        <v>8.71</v>
      </c>
      <c r="E30" s="47">
        <v>2.39</v>
      </c>
      <c r="F30" s="49">
        <v>6.25</v>
      </c>
      <c r="G30" s="47">
        <v>-2.46</v>
      </c>
      <c r="H30" s="21">
        <v>0</v>
      </c>
      <c r="I30" s="57">
        <v>2.39</v>
      </c>
      <c r="J30" s="58">
        <v>5.975</v>
      </c>
      <c r="K30" s="57">
        <v>0.4</v>
      </c>
      <c r="L30" s="59">
        <v>0</v>
      </c>
    </row>
    <row r="31" spans="1:12">
      <c r="A31" s="44"/>
      <c r="B31" s="45" t="s">
        <v>76</v>
      </c>
      <c r="C31" s="46">
        <v>7.98</v>
      </c>
      <c r="D31" s="46">
        <v>10.17</v>
      </c>
      <c r="E31" s="56">
        <v>2.19</v>
      </c>
      <c r="F31" s="49">
        <v>7.92</v>
      </c>
      <c r="G31" s="47">
        <v>-2.25</v>
      </c>
      <c r="H31" s="21">
        <v>0</v>
      </c>
      <c r="I31" s="66">
        <v>2.19</v>
      </c>
      <c r="J31" s="67">
        <v>5.203</v>
      </c>
      <c r="K31" s="66">
        <v>0.420911012877186</v>
      </c>
      <c r="L31" s="68">
        <v>0</v>
      </c>
    </row>
    <row r="32" spans="1:12">
      <c r="A32" s="44"/>
      <c r="B32" s="45" t="s">
        <v>77</v>
      </c>
      <c r="C32" s="46">
        <v>14.28</v>
      </c>
      <c r="D32" s="46">
        <v>15.97</v>
      </c>
      <c r="E32" s="47">
        <v>1.69</v>
      </c>
      <c r="F32" s="49">
        <v>14.17</v>
      </c>
      <c r="G32" s="47">
        <v>-1.8</v>
      </c>
      <c r="H32" s="21">
        <v>0</v>
      </c>
      <c r="I32" s="57">
        <v>1.69</v>
      </c>
      <c r="J32" s="58">
        <v>4.043</v>
      </c>
      <c r="K32" s="57">
        <v>0.418006430868168</v>
      </c>
      <c r="L32" s="59">
        <v>0</v>
      </c>
    </row>
    <row r="33" spans="1:12">
      <c r="A33" s="44"/>
      <c r="B33" s="45" t="s">
        <v>78</v>
      </c>
      <c r="C33" s="46">
        <v>12.58</v>
      </c>
      <c r="D33" s="46">
        <v>13.91</v>
      </c>
      <c r="E33" s="55">
        <v>1.33</v>
      </c>
      <c r="F33" s="49">
        <v>12.53</v>
      </c>
      <c r="G33" s="47">
        <v>-1.38</v>
      </c>
      <c r="H33" s="21">
        <v>0</v>
      </c>
      <c r="I33" s="63">
        <v>1.33</v>
      </c>
      <c r="J33" s="64">
        <v>3.11</v>
      </c>
      <c r="K33" s="63">
        <v>0.427652733118971</v>
      </c>
      <c r="L33" s="65">
        <v>0</v>
      </c>
    </row>
    <row r="34" spans="1:12">
      <c r="A34" s="44"/>
      <c r="B34" s="45" t="s">
        <v>79</v>
      </c>
      <c r="C34" s="46">
        <v>6.85</v>
      </c>
      <c r="D34" s="46">
        <v>7.72</v>
      </c>
      <c r="E34" s="47">
        <v>0.87</v>
      </c>
      <c r="F34" s="49">
        <v>6.78</v>
      </c>
      <c r="G34" s="47">
        <v>-0.94</v>
      </c>
      <c r="H34" s="21">
        <v>0</v>
      </c>
      <c r="I34" s="57">
        <v>0.87</v>
      </c>
      <c r="J34" s="58">
        <v>2.369</v>
      </c>
      <c r="K34" s="57">
        <v>0.367243562684677</v>
      </c>
      <c r="L34" s="59">
        <v>0</v>
      </c>
    </row>
    <row r="35" spans="1:12">
      <c r="A35" s="44"/>
      <c r="B35" s="45" t="s">
        <v>80</v>
      </c>
      <c r="C35" s="46">
        <v>11.92</v>
      </c>
      <c r="D35" s="46">
        <v>12.73</v>
      </c>
      <c r="E35" s="47">
        <v>0.81</v>
      </c>
      <c r="F35" s="49">
        <v>11.9</v>
      </c>
      <c r="G35" s="47">
        <v>-0.83</v>
      </c>
      <c r="H35" s="21">
        <v>0</v>
      </c>
      <c r="I35" s="57">
        <v>0.81</v>
      </c>
      <c r="J35" s="58">
        <v>1.769</v>
      </c>
      <c r="K35" s="57">
        <v>0.457885811192765</v>
      </c>
      <c r="L35" s="59">
        <v>0</v>
      </c>
    </row>
    <row r="36" spans="1:12">
      <c r="A36" s="44"/>
      <c r="B36" s="45" t="s">
        <v>81</v>
      </c>
      <c r="C36" s="46">
        <v>16.9</v>
      </c>
      <c r="D36" s="46">
        <v>17.41</v>
      </c>
      <c r="E36" s="47">
        <v>0.510000000000002</v>
      </c>
      <c r="F36" s="49">
        <v>16.74</v>
      </c>
      <c r="G36" s="47">
        <v>-0.670000000000002</v>
      </c>
      <c r="H36" s="21">
        <v>0</v>
      </c>
      <c r="I36" s="57">
        <v>0.510000000000002</v>
      </c>
      <c r="J36" s="58">
        <v>1.271</v>
      </c>
      <c r="K36" s="57">
        <v>0.401258851298192</v>
      </c>
      <c r="L36" s="59">
        <v>0</v>
      </c>
    </row>
    <row r="37" spans="1:12">
      <c r="A37" s="44"/>
      <c r="B37" s="45" t="s">
        <v>82</v>
      </c>
      <c r="C37" s="46">
        <v>12.43</v>
      </c>
      <c r="D37" s="46">
        <v>12.84</v>
      </c>
      <c r="E37" s="56">
        <v>0.41</v>
      </c>
      <c r="F37" s="49">
        <v>12.5</v>
      </c>
      <c r="G37" s="47">
        <v>-0.34</v>
      </c>
      <c r="H37" s="21">
        <v>0.0700000000000003</v>
      </c>
      <c r="I37" s="66">
        <v>0.34</v>
      </c>
      <c r="J37" s="67">
        <v>0.852</v>
      </c>
      <c r="K37" s="66">
        <v>0.39906103286385</v>
      </c>
      <c r="L37" s="68">
        <v>0.170731707317074</v>
      </c>
    </row>
    <row r="38" ht="14.25" spans="1:12">
      <c r="A38" s="44"/>
      <c r="B38" s="50" t="s">
        <v>83</v>
      </c>
      <c r="C38" s="51">
        <v>13.65</v>
      </c>
      <c r="D38" s="46">
        <v>14.18</v>
      </c>
      <c r="E38" s="47">
        <v>0.529999999999999</v>
      </c>
      <c r="F38" s="49">
        <v>13.68</v>
      </c>
      <c r="G38" s="47">
        <v>-0.5</v>
      </c>
      <c r="H38" s="21">
        <v>0.0299999999999994</v>
      </c>
      <c r="I38" s="57">
        <v>0.5</v>
      </c>
      <c r="J38" s="58">
        <v>0.499</v>
      </c>
      <c r="K38" s="57">
        <v>1.00200400801603</v>
      </c>
      <c r="L38" s="59">
        <v>0.0566037735849045</v>
      </c>
    </row>
  </sheetData>
  <mergeCells count="9">
    <mergeCell ref="D9:E9"/>
    <mergeCell ref="F9:H9"/>
    <mergeCell ref="A9:A10"/>
    <mergeCell ref="B9:B10"/>
    <mergeCell ref="C9:C10"/>
    <mergeCell ref="I9:I10"/>
    <mergeCell ref="J9:J10"/>
    <mergeCell ref="K9:K10"/>
    <mergeCell ref="L9:L10"/>
  </mergeCells>
  <pageMargins left="0.75" right="0.75" top="1" bottom="1" header="0.511805555555556" footer="0.511805555555556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0"/>
  <sheetViews>
    <sheetView workbookViewId="0">
      <selection activeCell="A1" sqref="A1"/>
    </sheetView>
  </sheetViews>
  <sheetFormatPr defaultColWidth="9" defaultRowHeight="13.5"/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21">
      <c r="A4" t="s">
        <v>12</v>
      </c>
      <c r="B4">
        <v>0.08</v>
      </c>
      <c r="D4">
        <v>0.07</v>
      </c>
      <c r="J4" s="9"/>
      <c r="S4" s="9"/>
      <c r="U4" s="9" t="s">
        <v>13</v>
      </c>
    </row>
    <row r="5" spans="1:21">
      <c r="A5" t="s">
        <v>14</v>
      </c>
      <c r="B5">
        <v>0.87</v>
      </c>
      <c r="D5">
        <v>0.65</v>
      </c>
      <c r="J5" s="9"/>
      <c r="S5" s="9"/>
      <c r="U5" s="9" t="s">
        <v>15</v>
      </c>
    </row>
    <row r="6" spans="1:4">
      <c r="A6" t="s">
        <v>16</v>
      </c>
      <c r="B6" s="1">
        <v>0.186</v>
      </c>
      <c r="D6" s="1">
        <v>0.1105</v>
      </c>
    </row>
    <row r="7" spans="2:4">
      <c r="B7" s="1"/>
      <c r="D7" s="1"/>
    </row>
    <row r="8" spans="2:4">
      <c r="B8" s="1"/>
      <c r="D8" s="1"/>
    </row>
    <row r="9" spans="1:32">
      <c r="A9" s="2" t="s">
        <v>17</v>
      </c>
      <c r="B9" s="2"/>
      <c r="C9" s="2"/>
      <c r="D9" s="2"/>
      <c r="E9" s="2"/>
      <c r="F9" s="2"/>
      <c r="G9" s="2"/>
      <c r="H9" s="2"/>
      <c r="L9" s="10" t="s">
        <v>18</v>
      </c>
      <c r="M9" s="10"/>
      <c r="N9" s="10"/>
      <c r="O9" s="10"/>
      <c r="P9" s="10"/>
      <c r="Q9" s="10"/>
      <c r="R9" s="10"/>
      <c r="S9" s="10"/>
      <c r="T9" s="10"/>
      <c r="U9" s="10"/>
      <c r="Y9" s="10" t="s">
        <v>19</v>
      </c>
      <c r="Z9" s="10"/>
      <c r="AA9" s="10"/>
      <c r="AB9" s="10"/>
      <c r="AC9" s="10"/>
      <c r="AD9" s="10"/>
      <c r="AE9" s="10"/>
      <c r="AF9" s="10"/>
    </row>
    <row r="10" spans="1:32">
      <c r="A10" s="3"/>
      <c r="B10" s="3"/>
      <c r="C10" s="3"/>
      <c r="D10" s="3"/>
      <c r="E10" s="3"/>
      <c r="F10" s="3"/>
      <c r="G10" s="3"/>
      <c r="H10" s="3"/>
      <c r="L10" s="3"/>
      <c r="M10" s="3"/>
      <c r="N10" s="3"/>
      <c r="O10" s="3"/>
      <c r="P10" s="3"/>
      <c r="Q10" s="3"/>
      <c r="R10" s="3"/>
      <c r="S10" s="3"/>
      <c r="T10" s="3"/>
      <c r="U10" s="3"/>
      <c r="Y10" s="3"/>
      <c r="Z10" s="3"/>
      <c r="AA10" s="3"/>
      <c r="AB10" s="3"/>
      <c r="AC10" s="3"/>
      <c r="AD10" s="3"/>
      <c r="AE10" s="3"/>
      <c r="AF10" s="3"/>
    </row>
    <row r="11" ht="14.25" spans="1:32">
      <c r="A11" s="4" t="s">
        <v>20</v>
      </c>
      <c r="B11" s="4" t="s">
        <v>21</v>
      </c>
      <c r="C11" s="4" t="s">
        <v>22</v>
      </c>
      <c r="D11" s="4"/>
      <c r="E11" s="4" t="s">
        <v>23</v>
      </c>
      <c r="F11" s="4"/>
      <c r="G11" s="4" t="s">
        <v>24</v>
      </c>
      <c r="H11" s="4"/>
      <c r="L11" s="4" t="s">
        <v>20</v>
      </c>
      <c r="M11" s="4" t="s">
        <v>21</v>
      </c>
      <c r="N11" s="11" t="s">
        <v>23</v>
      </c>
      <c r="O11" s="11"/>
      <c r="P11" s="11"/>
      <c r="Q11" s="18" t="s">
        <v>24</v>
      </c>
      <c r="R11" s="19"/>
      <c r="S11" s="20"/>
      <c r="T11" s="11" t="s">
        <v>25</v>
      </c>
      <c r="U11" s="11"/>
      <c r="Y11" s="29" t="s">
        <v>20</v>
      </c>
      <c r="Z11" s="29" t="s">
        <v>21</v>
      </c>
      <c r="AA11" s="4" t="s">
        <v>26</v>
      </c>
      <c r="AB11" s="4"/>
      <c r="AC11" s="4"/>
      <c r="AD11" s="4" t="s">
        <v>27</v>
      </c>
      <c r="AE11" s="4" t="s">
        <v>28</v>
      </c>
      <c r="AF11" s="29" t="s">
        <v>29</v>
      </c>
    </row>
    <row r="12" ht="30.75" spans="1:32">
      <c r="A12" s="4"/>
      <c r="B12" s="4"/>
      <c r="C12" s="4" t="s">
        <v>30</v>
      </c>
      <c r="D12" s="4" t="s">
        <v>31</v>
      </c>
      <c r="E12" s="4" t="s">
        <v>30</v>
      </c>
      <c r="F12" s="4" t="s">
        <v>32</v>
      </c>
      <c r="G12" s="4" t="s">
        <v>30</v>
      </c>
      <c r="H12" s="4" t="s">
        <v>32</v>
      </c>
      <c r="L12" s="4"/>
      <c r="M12" s="4"/>
      <c r="N12" s="11" t="s">
        <v>33</v>
      </c>
      <c r="O12" s="11" t="s">
        <v>34</v>
      </c>
      <c r="P12" s="11" t="s">
        <v>35</v>
      </c>
      <c r="Q12" s="11" t="s">
        <v>33</v>
      </c>
      <c r="R12" s="11" t="s">
        <v>34</v>
      </c>
      <c r="S12" s="11" t="s">
        <v>36</v>
      </c>
      <c r="T12" s="4" t="s">
        <v>37</v>
      </c>
      <c r="U12" s="4" t="s">
        <v>35</v>
      </c>
      <c r="Y12" s="30"/>
      <c r="Z12" s="30"/>
      <c r="AA12" s="4" t="s">
        <v>38</v>
      </c>
      <c r="AB12" s="4" t="s">
        <v>39</v>
      </c>
      <c r="AC12" s="4" t="s">
        <v>36</v>
      </c>
      <c r="AD12" s="4"/>
      <c r="AE12" s="4"/>
      <c r="AF12" s="30"/>
    </row>
    <row r="13" spans="1:32">
      <c r="A13" t="s">
        <v>40</v>
      </c>
      <c r="B13" s="5" t="s">
        <v>41</v>
      </c>
      <c r="C13">
        <v>650.9</v>
      </c>
      <c r="D13">
        <v>23.3</v>
      </c>
      <c r="E13">
        <v>653.5</v>
      </c>
      <c r="F13">
        <v>23</v>
      </c>
      <c r="G13">
        <v>651.5</v>
      </c>
      <c r="H13">
        <v>23</v>
      </c>
      <c r="L13" s="5"/>
      <c r="M13" s="5"/>
      <c r="N13" s="12">
        <f t="shared" ref="N13:N40" si="0">E13-C13</f>
        <v>2.60000000000002</v>
      </c>
      <c r="O13" s="12">
        <f t="shared" ref="O13:O40" si="1">F13-D13</f>
        <v>-0.300000000000001</v>
      </c>
      <c r="P13" s="13">
        <f t="shared" ref="P13:P40" si="2">3.7*1.020019*(N13)+1.8*(O13)</f>
        <v>9.27258278000009</v>
      </c>
      <c r="Q13" s="12">
        <f t="shared" ref="Q13:Q40" si="3">G13-C13</f>
        <v>0.600000000000023</v>
      </c>
      <c r="R13" s="12">
        <f t="shared" ref="R13:R40" si="4">H13-D13</f>
        <v>-0.300000000000001</v>
      </c>
      <c r="S13" s="13">
        <f t="shared" ref="S13:S40" si="5">IF(3.7*1.020019*(Q13)+1.8*(R13)&gt;=0,3.7*1.020019*(Q13)+1.8*(R13),0)</f>
        <v>1.72444218000008</v>
      </c>
      <c r="T13" s="21">
        <v>0.3</v>
      </c>
      <c r="U13" s="5">
        <f t="shared" ref="U13:U40" si="6">T13*100/3.45</f>
        <v>8.69565217391304</v>
      </c>
      <c r="Y13" s="5"/>
      <c r="Z13" s="5"/>
      <c r="AA13" s="13">
        <v>9.27258278000009</v>
      </c>
      <c r="AB13" s="31">
        <v>7.5481406</v>
      </c>
      <c r="AC13" s="31">
        <v>1.72444218000008</v>
      </c>
      <c r="AD13" s="31">
        <v>8.69565217391304</v>
      </c>
      <c r="AE13" s="32">
        <v>0.868036169</v>
      </c>
      <c r="AF13" s="33">
        <v>0.185972152626074</v>
      </c>
    </row>
    <row r="14" spans="1:32">
      <c r="A14" t="s">
        <v>40</v>
      </c>
      <c r="B14" s="5" t="s">
        <v>42</v>
      </c>
      <c r="C14">
        <v>651.9</v>
      </c>
      <c r="D14">
        <v>23.4</v>
      </c>
      <c r="E14">
        <v>653.7</v>
      </c>
      <c r="F14">
        <v>23.2</v>
      </c>
      <c r="G14">
        <v>652.3</v>
      </c>
      <c r="H14">
        <v>23.1</v>
      </c>
      <c r="L14" s="5"/>
      <c r="M14" s="5"/>
      <c r="N14" s="12">
        <f t="shared" si="0"/>
        <v>1.80000000000007</v>
      </c>
      <c r="O14" s="12">
        <f t="shared" si="1"/>
        <v>-0.199999999999999</v>
      </c>
      <c r="P14" s="13">
        <f t="shared" si="2"/>
        <v>6.43332654000026</v>
      </c>
      <c r="Q14" s="12">
        <f t="shared" si="3"/>
        <v>0.399999999999977</v>
      </c>
      <c r="R14" s="12">
        <f t="shared" si="4"/>
        <v>-0.299999999999997</v>
      </c>
      <c r="S14" s="13">
        <f t="shared" si="5"/>
        <v>0.969628119999919</v>
      </c>
      <c r="T14" s="22">
        <v>0.4</v>
      </c>
      <c r="U14" s="5">
        <f t="shared" si="6"/>
        <v>11.5942028985507</v>
      </c>
      <c r="Y14" s="5"/>
      <c r="Z14" s="5"/>
      <c r="AA14" s="13">
        <v>6.43332654000026</v>
      </c>
      <c r="AB14" s="31">
        <v>5.46369842000034</v>
      </c>
      <c r="AC14" s="31">
        <v>0.969628119999919</v>
      </c>
      <c r="AD14" s="31">
        <v>11.5942028985507</v>
      </c>
      <c r="AE14" s="32">
        <v>0.47124398872503</v>
      </c>
      <c r="AF14" s="33">
        <v>0.150719556044777</v>
      </c>
    </row>
    <row r="15" spans="1:32">
      <c r="A15" t="s">
        <v>40</v>
      </c>
      <c r="B15" s="6" t="s">
        <v>43</v>
      </c>
      <c r="C15">
        <v>629.4</v>
      </c>
      <c r="D15">
        <v>23.3</v>
      </c>
      <c r="E15">
        <v>632.3</v>
      </c>
      <c r="F15">
        <v>23.1</v>
      </c>
      <c r="G15">
        <v>630</v>
      </c>
      <c r="H15">
        <v>23</v>
      </c>
      <c r="L15" s="6"/>
      <c r="M15" s="6"/>
      <c r="N15" s="12">
        <f t="shared" si="0"/>
        <v>2.89999999999998</v>
      </c>
      <c r="O15" s="12">
        <f t="shared" si="1"/>
        <v>-0.199999999999999</v>
      </c>
      <c r="P15" s="13">
        <f t="shared" si="2"/>
        <v>10.5848038699999</v>
      </c>
      <c r="Q15" s="12">
        <f t="shared" si="3"/>
        <v>0.600000000000023</v>
      </c>
      <c r="R15" s="12">
        <f t="shared" si="4"/>
        <v>-0.300000000000001</v>
      </c>
      <c r="S15" s="13">
        <f t="shared" si="5"/>
        <v>1.72444218000008</v>
      </c>
      <c r="T15" s="23">
        <v>0.6</v>
      </c>
      <c r="U15" s="6">
        <f t="shared" si="6"/>
        <v>17.3913043478261</v>
      </c>
      <c r="Y15" s="6"/>
      <c r="Z15" s="6"/>
      <c r="AA15" s="13">
        <v>10.5848038699999</v>
      </c>
      <c r="AB15" s="31">
        <v>8.86036168999983</v>
      </c>
      <c r="AC15" s="31">
        <v>1.72444218000008</v>
      </c>
      <c r="AD15" s="31">
        <v>17.3913043478261</v>
      </c>
      <c r="AE15" s="32">
        <v>0.50947079717499</v>
      </c>
      <c r="AF15" s="33">
        <v>0.162916781565278</v>
      </c>
    </row>
    <row r="16" spans="1:32">
      <c r="A16" t="s">
        <v>40</v>
      </c>
      <c r="B16" s="5" t="s">
        <v>44</v>
      </c>
      <c r="C16">
        <v>470</v>
      </c>
      <c r="D16">
        <v>23.3</v>
      </c>
      <c r="E16">
        <v>470.8</v>
      </c>
      <c r="F16">
        <v>23.1</v>
      </c>
      <c r="G16">
        <v>468.1</v>
      </c>
      <c r="H16">
        <v>23</v>
      </c>
      <c r="L16" s="5"/>
      <c r="M16" s="5"/>
      <c r="N16" s="12">
        <f t="shared" si="0"/>
        <v>0.800000000000011</v>
      </c>
      <c r="O16" s="12">
        <f t="shared" si="1"/>
        <v>-0.199999999999999</v>
      </c>
      <c r="P16" s="13">
        <f t="shared" si="2"/>
        <v>2.65925624000004</v>
      </c>
      <c r="Q16" s="12">
        <f t="shared" si="3"/>
        <v>-1.89999999999998</v>
      </c>
      <c r="R16" s="12">
        <f t="shared" si="4"/>
        <v>-0.300000000000001</v>
      </c>
      <c r="S16" s="13">
        <f t="shared" si="5"/>
        <v>0</v>
      </c>
      <c r="T16" s="24">
        <v>0.8</v>
      </c>
      <c r="U16" s="5">
        <f t="shared" si="6"/>
        <v>23.1884057971014</v>
      </c>
      <c r="Y16" s="5"/>
      <c r="Z16" s="5"/>
      <c r="AA16" s="13">
        <v>2.65925624000004</v>
      </c>
      <c r="AB16" s="31">
        <v>2.65925624000004</v>
      </c>
      <c r="AC16" s="31">
        <v>0</v>
      </c>
      <c r="AD16" s="31">
        <v>23.1884057971014</v>
      </c>
      <c r="AE16" s="32">
        <v>0.114680425350002</v>
      </c>
      <c r="AF16" s="33">
        <v>0</v>
      </c>
    </row>
    <row r="17" spans="1:32">
      <c r="A17" t="s">
        <v>40</v>
      </c>
      <c r="B17" s="5" t="s">
        <v>45</v>
      </c>
      <c r="C17">
        <v>671.1</v>
      </c>
      <c r="D17">
        <v>23.3</v>
      </c>
      <c r="E17">
        <v>675.2</v>
      </c>
      <c r="F17">
        <v>23.1</v>
      </c>
      <c r="G17">
        <v>669.9</v>
      </c>
      <c r="H17">
        <v>22.9</v>
      </c>
      <c r="L17" s="5"/>
      <c r="M17" s="5"/>
      <c r="N17" s="12">
        <f t="shared" si="0"/>
        <v>4.10000000000002</v>
      </c>
      <c r="O17" s="12">
        <f t="shared" si="1"/>
        <v>-0.199999999999999</v>
      </c>
      <c r="P17" s="13">
        <f t="shared" si="2"/>
        <v>15.1136882300001</v>
      </c>
      <c r="Q17" s="12">
        <f t="shared" si="3"/>
        <v>-1.20000000000005</v>
      </c>
      <c r="R17" s="12">
        <f t="shared" si="4"/>
        <v>-0.400000000000002</v>
      </c>
      <c r="S17" s="13">
        <f t="shared" si="5"/>
        <v>0</v>
      </c>
      <c r="T17" s="24">
        <v>1</v>
      </c>
      <c r="U17" s="5">
        <f t="shared" si="6"/>
        <v>28.9855072463768</v>
      </c>
      <c r="Y17" s="5"/>
      <c r="Z17" s="5"/>
      <c r="AA17" s="13">
        <v>15.1136882300001</v>
      </c>
      <c r="AB17" s="31">
        <v>15.1136882300001</v>
      </c>
      <c r="AC17" s="31">
        <v>0</v>
      </c>
      <c r="AD17" s="31">
        <v>28.9855072463768</v>
      </c>
      <c r="AE17" s="32">
        <v>0.521422243935003</v>
      </c>
      <c r="AF17" s="33">
        <v>0</v>
      </c>
    </row>
    <row r="18" spans="1:32">
      <c r="A18" t="s">
        <v>40</v>
      </c>
      <c r="B18" s="6" t="s">
        <v>46</v>
      </c>
      <c r="C18">
        <v>692.9</v>
      </c>
      <c r="D18">
        <v>23.3</v>
      </c>
      <c r="E18">
        <v>697.4</v>
      </c>
      <c r="F18">
        <v>23.1</v>
      </c>
      <c r="G18">
        <v>693.3</v>
      </c>
      <c r="H18">
        <v>23</v>
      </c>
      <c r="L18" s="6"/>
      <c r="M18" s="6"/>
      <c r="N18" s="12">
        <f t="shared" si="0"/>
        <v>4.5</v>
      </c>
      <c r="O18" s="12">
        <f t="shared" si="1"/>
        <v>-0.199999999999999</v>
      </c>
      <c r="P18" s="13">
        <f t="shared" si="2"/>
        <v>16.62331635</v>
      </c>
      <c r="Q18" s="12">
        <f t="shared" si="3"/>
        <v>0.399999999999977</v>
      </c>
      <c r="R18" s="12">
        <f t="shared" si="4"/>
        <v>-0.300000000000001</v>
      </c>
      <c r="S18" s="13">
        <f t="shared" si="5"/>
        <v>0.969628119999913</v>
      </c>
      <c r="T18" s="24">
        <v>1.4</v>
      </c>
      <c r="U18" s="5">
        <f t="shared" si="6"/>
        <v>40.5797101449275</v>
      </c>
      <c r="Y18" s="6"/>
      <c r="Z18" s="6"/>
      <c r="AA18" s="13">
        <v>16.62331635</v>
      </c>
      <c r="AB18" s="31">
        <v>15.6536882300001</v>
      </c>
      <c r="AC18" s="31">
        <v>0.969628119999913</v>
      </c>
      <c r="AD18" s="31">
        <v>40.5797101449275</v>
      </c>
      <c r="AE18" s="32">
        <v>0.385751602810717</v>
      </c>
      <c r="AF18" s="33">
        <v>0.0583294030856793</v>
      </c>
    </row>
    <row r="19" spans="1:32">
      <c r="A19" t="s">
        <v>40</v>
      </c>
      <c r="B19" s="5" t="s">
        <v>47</v>
      </c>
      <c r="C19">
        <v>355</v>
      </c>
      <c r="D19">
        <v>23.3</v>
      </c>
      <c r="E19">
        <v>356.2</v>
      </c>
      <c r="F19">
        <v>23.1</v>
      </c>
      <c r="G19">
        <v>354.8</v>
      </c>
      <c r="H19">
        <v>23</v>
      </c>
      <c r="L19" s="5"/>
      <c r="M19" s="5"/>
      <c r="N19" s="12">
        <f t="shared" si="0"/>
        <v>1.19999999999999</v>
      </c>
      <c r="O19" s="12">
        <f t="shared" si="1"/>
        <v>-0.199999999999999</v>
      </c>
      <c r="P19" s="13">
        <f t="shared" si="2"/>
        <v>4.16888435999996</v>
      </c>
      <c r="Q19" s="12">
        <f t="shared" si="3"/>
        <v>-0.199999999999989</v>
      </c>
      <c r="R19" s="12">
        <f t="shared" si="4"/>
        <v>-0.300000000000001</v>
      </c>
      <c r="S19" s="13">
        <f t="shared" si="5"/>
        <v>0</v>
      </c>
      <c r="T19" s="25">
        <v>1.9</v>
      </c>
      <c r="U19" s="7">
        <f t="shared" si="6"/>
        <v>55.0724637681159</v>
      </c>
      <c r="Y19" s="5"/>
      <c r="Z19" s="5"/>
      <c r="AA19" s="13">
        <v>4.16888435999996</v>
      </c>
      <c r="AB19" s="31">
        <v>4.16888435999996</v>
      </c>
      <c r="AC19" s="31">
        <v>0</v>
      </c>
      <c r="AD19" s="31">
        <v>55.0724637681159</v>
      </c>
      <c r="AE19" s="32">
        <v>0.0756981633789467</v>
      </c>
      <c r="AF19" s="33">
        <v>0</v>
      </c>
    </row>
    <row r="20" spans="1:32">
      <c r="A20" t="s">
        <v>40</v>
      </c>
      <c r="B20" s="5" t="s">
        <v>48</v>
      </c>
      <c r="C20">
        <v>732.4</v>
      </c>
      <c r="D20">
        <v>23.2</v>
      </c>
      <c r="E20">
        <v>738.8</v>
      </c>
      <c r="F20">
        <v>23.1</v>
      </c>
      <c r="G20">
        <v>732.5</v>
      </c>
      <c r="H20">
        <v>23</v>
      </c>
      <c r="L20" s="5"/>
      <c r="M20" s="5"/>
      <c r="N20" s="12">
        <f t="shared" si="0"/>
        <v>6.39999999999998</v>
      </c>
      <c r="O20" s="12">
        <f t="shared" si="1"/>
        <v>-0.0999999999999979</v>
      </c>
      <c r="P20" s="13">
        <f t="shared" si="2"/>
        <v>23.9740499199999</v>
      </c>
      <c r="Q20" s="12">
        <f t="shared" si="3"/>
        <v>0.100000000000023</v>
      </c>
      <c r="R20" s="12">
        <f t="shared" si="4"/>
        <v>-0.199999999999999</v>
      </c>
      <c r="S20" s="13">
        <f t="shared" si="5"/>
        <v>0.0174070300000871</v>
      </c>
      <c r="T20" s="24">
        <v>2.9</v>
      </c>
      <c r="U20" s="5">
        <f t="shared" si="6"/>
        <v>84.0579710144928</v>
      </c>
      <c r="Y20" s="5"/>
      <c r="Z20" s="5"/>
      <c r="AA20" s="13">
        <v>23.9740499199999</v>
      </c>
      <c r="AB20" s="31">
        <v>23.9566428899998</v>
      </c>
      <c r="AC20" s="31">
        <v>0.0174070300000871</v>
      </c>
      <c r="AD20" s="31">
        <v>84.0579710144928</v>
      </c>
      <c r="AE20" s="32">
        <v>0.285001441277584</v>
      </c>
      <c r="AF20" s="33">
        <v>0.00072607799091824</v>
      </c>
    </row>
    <row r="21" spans="1:32">
      <c r="A21" t="s">
        <v>40</v>
      </c>
      <c r="B21" s="5" t="s">
        <v>49</v>
      </c>
      <c r="C21">
        <v>669</v>
      </c>
      <c r="D21">
        <v>23.2</v>
      </c>
      <c r="E21">
        <v>676.8</v>
      </c>
      <c r="F21">
        <v>23.1</v>
      </c>
      <c r="G21">
        <v>669.2</v>
      </c>
      <c r="H21">
        <v>23</v>
      </c>
      <c r="L21" s="5"/>
      <c r="M21" s="5"/>
      <c r="N21" s="12">
        <f t="shared" si="0"/>
        <v>7.79999999999995</v>
      </c>
      <c r="O21" s="12">
        <f t="shared" si="1"/>
        <v>-0.0999999999999979</v>
      </c>
      <c r="P21" s="13">
        <f t="shared" si="2"/>
        <v>29.2577483399998</v>
      </c>
      <c r="Q21" s="12">
        <f t="shared" si="3"/>
        <v>0.200000000000045</v>
      </c>
      <c r="R21" s="12">
        <f t="shared" si="4"/>
        <v>-0.199999999999999</v>
      </c>
      <c r="S21" s="13">
        <f t="shared" si="5"/>
        <v>0.394814060000173</v>
      </c>
      <c r="T21" s="24">
        <v>3.2</v>
      </c>
      <c r="U21" s="5">
        <f t="shared" si="6"/>
        <v>92.7536231884058</v>
      </c>
      <c r="Y21" s="5"/>
      <c r="Z21" s="5"/>
      <c r="AA21" s="13">
        <v>29.2577483399998</v>
      </c>
      <c r="AB21" s="31">
        <v>28.8629342799997</v>
      </c>
      <c r="AC21" s="31">
        <v>0.394814060000173</v>
      </c>
      <c r="AD21" s="31">
        <v>92.7536231884058</v>
      </c>
      <c r="AE21" s="32">
        <v>0.311178510206246</v>
      </c>
      <c r="AF21" s="33">
        <v>0.013494341923107</v>
      </c>
    </row>
    <row r="22" spans="1:32">
      <c r="A22" t="s">
        <v>40</v>
      </c>
      <c r="B22" s="7" t="s">
        <v>50</v>
      </c>
      <c r="C22">
        <v>799.1</v>
      </c>
      <c r="D22">
        <v>23.3</v>
      </c>
      <c r="E22">
        <v>801.8</v>
      </c>
      <c r="F22">
        <v>23.1</v>
      </c>
      <c r="G22">
        <v>798.9</v>
      </c>
      <c r="H22">
        <v>23.1</v>
      </c>
      <c r="L22" s="7"/>
      <c r="M22" s="7"/>
      <c r="N22" s="12">
        <f t="shared" si="0"/>
        <v>2.69999999999993</v>
      </c>
      <c r="O22" s="12">
        <f t="shared" si="1"/>
        <v>-0.199999999999999</v>
      </c>
      <c r="P22" s="13">
        <f t="shared" si="2"/>
        <v>9.82998980999974</v>
      </c>
      <c r="Q22" s="12">
        <f t="shared" si="3"/>
        <v>-0.200000000000045</v>
      </c>
      <c r="R22" s="12">
        <f t="shared" si="4"/>
        <v>-0.199999999999999</v>
      </c>
      <c r="S22" s="13">
        <f t="shared" si="5"/>
        <v>0</v>
      </c>
      <c r="T22" s="25">
        <v>3.6</v>
      </c>
      <c r="U22" s="7">
        <f t="shared" si="6"/>
        <v>104.347826086957</v>
      </c>
      <c r="Y22" s="7"/>
      <c r="Z22" s="7"/>
      <c r="AA22" s="13">
        <v>9.82998980999974</v>
      </c>
      <c r="AB22" s="31">
        <v>9.82998980999974</v>
      </c>
      <c r="AC22" s="31">
        <v>0</v>
      </c>
      <c r="AD22" s="31">
        <v>104.347826086957</v>
      </c>
      <c r="AE22" s="32">
        <v>0.0942040690124971</v>
      </c>
      <c r="AF22" s="33">
        <v>0</v>
      </c>
    </row>
    <row r="23" spans="1:32">
      <c r="A23" t="s">
        <v>40</v>
      </c>
      <c r="B23" s="5" t="s">
        <v>51</v>
      </c>
      <c r="C23">
        <v>675.9</v>
      </c>
      <c r="D23">
        <v>23.2</v>
      </c>
      <c r="E23">
        <v>686.5</v>
      </c>
      <c r="F23">
        <v>23.1</v>
      </c>
      <c r="G23">
        <v>675.8</v>
      </c>
      <c r="H23">
        <v>23</v>
      </c>
      <c r="L23" s="5"/>
      <c r="M23" s="5"/>
      <c r="N23" s="12">
        <f t="shared" si="0"/>
        <v>10.6</v>
      </c>
      <c r="O23" s="12">
        <f t="shared" si="1"/>
        <v>-0.0999999999999979</v>
      </c>
      <c r="P23" s="13">
        <f t="shared" si="2"/>
        <v>39.8251451800001</v>
      </c>
      <c r="Q23" s="12">
        <f t="shared" si="3"/>
        <v>-0.100000000000023</v>
      </c>
      <c r="R23" s="12">
        <f t="shared" si="4"/>
        <v>-0.199999999999999</v>
      </c>
      <c r="S23" s="13">
        <f t="shared" si="5"/>
        <v>0</v>
      </c>
      <c r="T23" s="24">
        <v>3.5</v>
      </c>
      <c r="U23" s="5">
        <f t="shared" si="6"/>
        <v>101.449275362319</v>
      </c>
      <c r="Y23" s="5"/>
      <c r="Z23" s="5"/>
      <c r="AA23" s="13">
        <v>39.8251451800001</v>
      </c>
      <c r="AB23" s="31">
        <v>39.8251451800001</v>
      </c>
      <c r="AC23" s="31">
        <v>0</v>
      </c>
      <c r="AD23" s="31">
        <v>101.449275362319</v>
      </c>
      <c r="AE23" s="32">
        <v>0.392562145345715</v>
      </c>
      <c r="AF23" s="33">
        <v>0</v>
      </c>
    </row>
    <row r="24" spans="1:32">
      <c r="A24" t="s">
        <v>40</v>
      </c>
      <c r="B24" s="5" t="s">
        <v>52</v>
      </c>
      <c r="C24">
        <v>580</v>
      </c>
      <c r="D24">
        <v>23.3</v>
      </c>
      <c r="E24">
        <v>591.5</v>
      </c>
      <c r="F24">
        <v>23.2</v>
      </c>
      <c r="G24">
        <v>580.4</v>
      </c>
      <c r="H24">
        <v>23.1</v>
      </c>
      <c r="L24" s="5"/>
      <c r="M24" s="5"/>
      <c r="N24" s="12">
        <f t="shared" si="0"/>
        <v>11.5</v>
      </c>
      <c r="O24" s="12">
        <f t="shared" si="1"/>
        <v>-0.100000000000001</v>
      </c>
      <c r="P24" s="13">
        <f t="shared" si="2"/>
        <v>43.22180845</v>
      </c>
      <c r="Q24" s="12">
        <f t="shared" si="3"/>
        <v>0.399999999999977</v>
      </c>
      <c r="R24" s="12">
        <f t="shared" si="4"/>
        <v>-0.199999999999999</v>
      </c>
      <c r="S24" s="13">
        <f t="shared" si="5"/>
        <v>1.14962811999992</v>
      </c>
      <c r="T24" s="24">
        <v>3.6</v>
      </c>
      <c r="U24" s="5">
        <f t="shared" si="6"/>
        <v>104.347826086957</v>
      </c>
      <c r="Y24" s="5"/>
      <c r="Z24" s="5"/>
      <c r="AA24" s="13">
        <v>43.22180845</v>
      </c>
      <c r="AB24" s="31">
        <v>42.0721803300001</v>
      </c>
      <c r="AC24" s="31">
        <v>1.14962811999992</v>
      </c>
      <c r="AD24" s="31">
        <v>104.347826086957</v>
      </c>
      <c r="AE24" s="32">
        <v>0.403191728162499</v>
      </c>
      <c r="AF24" s="33">
        <v>0.0265983345266506</v>
      </c>
    </row>
    <row r="25" spans="1:32">
      <c r="A25" t="s">
        <v>40</v>
      </c>
      <c r="B25" s="7" t="s">
        <v>53</v>
      </c>
      <c r="C25">
        <v>710.2</v>
      </c>
      <c r="D25">
        <v>23.2</v>
      </c>
      <c r="E25">
        <v>719.3</v>
      </c>
      <c r="F25">
        <v>23</v>
      </c>
      <c r="G25">
        <v>710.4</v>
      </c>
      <c r="H25">
        <v>22.9</v>
      </c>
      <c r="L25" s="7"/>
      <c r="M25" s="7"/>
      <c r="N25" s="12">
        <f t="shared" si="0"/>
        <v>9.09999999999991</v>
      </c>
      <c r="O25" s="12">
        <f t="shared" si="1"/>
        <v>-0.199999999999999</v>
      </c>
      <c r="P25" s="13">
        <f t="shared" si="2"/>
        <v>33.9840397299997</v>
      </c>
      <c r="Q25" s="12">
        <f t="shared" si="3"/>
        <v>0.199999999999932</v>
      </c>
      <c r="R25" s="12">
        <f t="shared" si="4"/>
        <v>-0.300000000000001</v>
      </c>
      <c r="S25" s="13">
        <f t="shared" si="5"/>
        <v>0.214814059999741</v>
      </c>
      <c r="T25" s="25">
        <v>3.1</v>
      </c>
      <c r="U25" s="7">
        <f t="shared" si="6"/>
        <v>89.8550724637681</v>
      </c>
      <c r="Y25" s="7"/>
      <c r="Z25" s="7"/>
      <c r="AA25" s="13">
        <v>33.9840397299997</v>
      </c>
      <c r="AB25" s="31">
        <v>33.7692256699999</v>
      </c>
      <c r="AC25" s="31">
        <v>0.214814059999741</v>
      </c>
      <c r="AD25" s="31">
        <v>89.8550724637681</v>
      </c>
      <c r="AE25" s="32">
        <v>0.37581880181129</v>
      </c>
      <c r="AF25" s="33">
        <v>0.00632102780324002</v>
      </c>
    </row>
    <row r="26" ht="14.25" spans="1:32">
      <c r="A26" t="s">
        <v>40</v>
      </c>
      <c r="B26" s="6" t="s">
        <v>54</v>
      </c>
      <c r="C26">
        <v>594.7</v>
      </c>
      <c r="D26">
        <v>23.3</v>
      </c>
      <c r="E26">
        <v>605.5</v>
      </c>
      <c r="F26">
        <v>23.2</v>
      </c>
      <c r="G26">
        <v>594.3</v>
      </c>
      <c r="H26">
        <v>23.1</v>
      </c>
      <c r="L26" s="6"/>
      <c r="M26" s="6"/>
      <c r="N26" s="14">
        <f t="shared" si="0"/>
        <v>10.8</v>
      </c>
      <c r="O26" s="14">
        <f t="shared" si="1"/>
        <v>-0.100000000000001</v>
      </c>
      <c r="P26" s="15">
        <f t="shared" si="2"/>
        <v>40.5799592399998</v>
      </c>
      <c r="Q26" s="14">
        <f t="shared" si="3"/>
        <v>-0.400000000000091</v>
      </c>
      <c r="R26" s="14">
        <f t="shared" si="4"/>
        <v>-0.199999999999999</v>
      </c>
      <c r="S26" s="13">
        <f t="shared" si="5"/>
        <v>0</v>
      </c>
      <c r="T26" s="26">
        <v>2.9</v>
      </c>
      <c r="U26" s="6">
        <f t="shared" si="6"/>
        <v>84.0579710144928</v>
      </c>
      <c r="Y26" s="6"/>
      <c r="Z26" s="6"/>
      <c r="AA26" s="34">
        <v>40.5799592399998</v>
      </c>
      <c r="AB26" s="35">
        <v>40.5799592399998</v>
      </c>
      <c r="AC26" s="35">
        <v>0</v>
      </c>
      <c r="AD26" s="35">
        <v>84.0579710144928</v>
      </c>
      <c r="AE26" s="36">
        <v>0.482761584062067</v>
      </c>
      <c r="AF26" s="37">
        <v>0</v>
      </c>
    </row>
    <row r="27" spans="1:32">
      <c r="A27" t="s">
        <v>55</v>
      </c>
      <c r="B27" s="8" t="s">
        <v>41</v>
      </c>
      <c r="C27">
        <v>650.9</v>
      </c>
      <c r="D27">
        <v>23.3</v>
      </c>
      <c r="E27">
        <v>663</v>
      </c>
      <c r="F27">
        <v>22.8</v>
      </c>
      <c r="G27">
        <v>651.9</v>
      </c>
      <c r="H27">
        <v>22.9</v>
      </c>
      <c r="L27" s="8"/>
      <c r="M27" s="8"/>
      <c r="N27" s="16">
        <f t="shared" si="0"/>
        <v>12.1</v>
      </c>
      <c r="O27" s="16">
        <f t="shared" si="1"/>
        <v>-0.5</v>
      </c>
      <c r="P27" s="17">
        <f t="shared" si="2"/>
        <v>44.7662506300001</v>
      </c>
      <c r="Q27" s="16">
        <f t="shared" si="3"/>
        <v>1</v>
      </c>
      <c r="R27" s="16">
        <f t="shared" si="4"/>
        <v>-0.400000000000002</v>
      </c>
      <c r="S27" s="27">
        <f t="shared" si="5"/>
        <v>3.0540703</v>
      </c>
      <c r="T27" s="28">
        <v>2.9</v>
      </c>
      <c r="U27" s="8">
        <f t="shared" si="6"/>
        <v>84.0579710144928</v>
      </c>
      <c r="Y27" s="8"/>
      <c r="Z27" s="8"/>
      <c r="AA27" s="38">
        <v>44.7662506300001</v>
      </c>
      <c r="AB27" s="39">
        <v>41.7121803300001</v>
      </c>
      <c r="AC27" s="39">
        <v>3.0540703</v>
      </c>
      <c r="AD27" s="39">
        <v>84.0579710144928</v>
      </c>
      <c r="AE27" s="40">
        <v>0.496231110822415</v>
      </c>
      <c r="AF27" s="41">
        <v>0.0682226064729511</v>
      </c>
    </row>
    <row r="28" spans="1:32">
      <c r="A28" t="s">
        <v>55</v>
      </c>
      <c r="B28" s="5" t="s">
        <v>42</v>
      </c>
      <c r="C28">
        <v>651.9</v>
      </c>
      <c r="D28">
        <v>23.4</v>
      </c>
      <c r="E28">
        <v>661.7</v>
      </c>
      <c r="F28">
        <v>23</v>
      </c>
      <c r="G28">
        <v>652.3</v>
      </c>
      <c r="H28">
        <v>23.1</v>
      </c>
      <c r="L28" s="5"/>
      <c r="M28" s="5"/>
      <c r="N28" s="12">
        <f t="shared" si="0"/>
        <v>9.80000000000007</v>
      </c>
      <c r="O28" s="12">
        <f t="shared" si="1"/>
        <v>-0.399999999999999</v>
      </c>
      <c r="P28" s="13">
        <f t="shared" si="2"/>
        <v>36.2658889400003</v>
      </c>
      <c r="Q28" s="12">
        <f t="shared" si="3"/>
        <v>0.399999999999977</v>
      </c>
      <c r="R28" s="12">
        <f t="shared" si="4"/>
        <v>-0.299999999999997</v>
      </c>
      <c r="S28" s="13">
        <f t="shared" si="5"/>
        <v>0.969628119999919</v>
      </c>
      <c r="T28" s="25">
        <v>3</v>
      </c>
      <c r="U28" s="7">
        <f t="shared" si="6"/>
        <v>86.9565217391304</v>
      </c>
      <c r="Y28" s="5"/>
      <c r="Z28" s="5"/>
      <c r="AA28" s="13">
        <v>36.2658889400003</v>
      </c>
      <c r="AB28" s="31">
        <v>35.2962608200003</v>
      </c>
      <c r="AC28" s="31">
        <v>0.969628119999919</v>
      </c>
      <c r="AD28" s="31">
        <v>86.9565217391304</v>
      </c>
      <c r="AE28" s="32">
        <v>0.405906999430004</v>
      </c>
      <c r="AF28" s="33">
        <v>0.0267366428437508</v>
      </c>
    </row>
    <row r="29" spans="1:32">
      <c r="A29" t="s">
        <v>55</v>
      </c>
      <c r="B29" s="6" t="s">
        <v>43</v>
      </c>
      <c r="C29">
        <v>629.4</v>
      </c>
      <c r="D29">
        <v>23.3</v>
      </c>
      <c r="E29">
        <v>642</v>
      </c>
      <c r="F29">
        <v>22.9</v>
      </c>
      <c r="G29">
        <v>630.1</v>
      </c>
      <c r="H29">
        <v>23.2</v>
      </c>
      <c r="L29" s="6"/>
      <c r="M29" s="6"/>
      <c r="N29" s="12">
        <f t="shared" si="0"/>
        <v>12.6</v>
      </c>
      <c r="O29" s="12">
        <f t="shared" si="1"/>
        <v>-0.400000000000002</v>
      </c>
      <c r="P29" s="13">
        <f t="shared" si="2"/>
        <v>46.8332857800001</v>
      </c>
      <c r="Q29" s="12">
        <f t="shared" si="3"/>
        <v>0.700000000000045</v>
      </c>
      <c r="R29" s="12">
        <f t="shared" si="4"/>
        <v>-0.100000000000001</v>
      </c>
      <c r="S29" s="13">
        <f t="shared" si="5"/>
        <v>2.46184921000017</v>
      </c>
      <c r="T29" s="24">
        <v>3.6</v>
      </c>
      <c r="U29" s="5">
        <f t="shared" si="6"/>
        <v>104.347826086957</v>
      </c>
      <c r="Y29" s="6"/>
      <c r="Z29" s="6"/>
      <c r="AA29" s="13">
        <v>46.8332857800001</v>
      </c>
      <c r="AB29" s="31">
        <v>44.3714365699999</v>
      </c>
      <c r="AC29" s="31">
        <v>2.46184921000017</v>
      </c>
      <c r="AD29" s="31">
        <v>104.347826086957</v>
      </c>
      <c r="AE29" s="32">
        <v>0.425226267129164</v>
      </c>
      <c r="AF29" s="33">
        <v>0.0525662286768589</v>
      </c>
    </row>
    <row r="30" spans="1:32">
      <c r="A30" t="s">
        <v>55</v>
      </c>
      <c r="B30" s="5" t="s">
        <v>44</v>
      </c>
      <c r="C30">
        <v>470</v>
      </c>
      <c r="D30">
        <v>23.3</v>
      </c>
      <c r="E30">
        <v>477</v>
      </c>
      <c r="F30">
        <v>22.9</v>
      </c>
      <c r="G30">
        <v>466.1</v>
      </c>
      <c r="H30">
        <v>23</v>
      </c>
      <c r="L30" s="5"/>
      <c r="M30" s="5"/>
      <c r="N30" s="12">
        <f t="shared" si="0"/>
        <v>7</v>
      </c>
      <c r="O30" s="12">
        <f t="shared" si="1"/>
        <v>-0.400000000000002</v>
      </c>
      <c r="P30" s="13">
        <f t="shared" si="2"/>
        <v>25.6984921</v>
      </c>
      <c r="Q30" s="12">
        <f t="shared" si="3"/>
        <v>-3.89999999999998</v>
      </c>
      <c r="R30" s="12">
        <f t="shared" si="4"/>
        <v>-0.300000000000001</v>
      </c>
      <c r="S30" s="13">
        <f t="shared" si="5"/>
        <v>0</v>
      </c>
      <c r="T30" s="24">
        <v>3.4</v>
      </c>
      <c r="U30" s="5">
        <f t="shared" si="6"/>
        <v>98.5507246376812</v>
      </c>
      <c r="Y30" s="5"/>
      <c r="Z30" s="5"/>
      <c r="AA30" s="13">
        <v>25.6984921</v>
      </c>
      <c r="AB30" s="31">
        <v>25.6984921</v>
      </c>
      <c r="AC30" s="31">
        <v>0</v>
      </c>
      <c r="AD30" s="31">
        <v>98.5507246376812</v>
      </c>
      <c r="AE30" s="32">
        <v>0.260764111014706</v>
      </c>
      <c r="AF30" s="33">
        <v>0</v>
      </c>
    </row>
    <row r="31" spans="1:32">
      <c r="A31" t="s">
        <v>55</v>
      </c>
      <c r="B31" s="5" t="s">
        <v>45</v>
      </c>
      <c r="C31">
        <v>671.1</v>
      </c>
      <c r="D31">
        <v>23.3</v>
      </c>
      <c r="E31">
        <v>681.8</v>
      </c>
      <c r="F31">
        <v>22.9</v>
      </c>
      <c r="G31">
        <v>668.9</v>
      </c>
      <c r="H31">
        <v>23</v>
      </c>
      <c r="L31" s="5"/>
      <c r="M31" s="5"/>
      <c r="N31" s="12">
        <f t="shared" si="0"/>
        <v>10.6999999999999</v>
      </c>
      <c r="O31" s="12">
        <f t="shared" si="1"/>
        <v>-0.400000000000002</v>
      </c>
      <c r="P31" s="13">
        <f t="shared" si="2"/>
        <v>39.6625522099997</v>
      </c>
      <c r="Q31" s="12">
        <f t="shared" si="3"/>
        <v>-2.20000000000005</v>
      </c>
      <c r="R31" s="12">
        <f t="shared" si="4"/>
        <v>-0.300000000000001</v>
      </c>
      <c r="S31" s="13">
        <f t="shared" si="5"/>
        <v>0</v>
      </c>
      <c r="T31" s="25">
        <v>3.6</v>
      </c>
      <c r="U31" s="7">
        <f t="shared" si="6"/>
        <v>104.347826086957</v>
      </c>
      <c r="Y31" s="5"/>
      <c r="Z31" s="5"/>
      <c r="AA31" s="13">
        <v>39.6625522099997</v>
      </c>
      <c r="AB31" s="31">
        <v>39.6625522099997</v>
      </c>
      <c r="AC31" s="31">
        <v>0</v>
      </c>
      <c r="AD31" s="31">
        <v>104.347826086957</v>
      </c>
      <c r="AE31" s="32">
        <v>0.380099458679162</v>
      </c>
      <c r="AF31" s="33">
        <v>0</v>
      </c>
    </row>
    <row r="32" spans="1:32">
      <c r="A32" t="s">
        <v>55</v>
      </c>
      <c r="B32" s="6" t="s">
        <v>46</v>
      </c>
      <c r="C32">
        <v>692.9</v>
      </c>
      <c r="D32">
        <v>23.3</v>
      </c>
      <c r="E32">
        <v>702.5</v>
      </c>
      <c r="F32">
        <v>22.9</v>
      </c>
      <c r="G32">
        <v>693.4</v>
      </c>
      <c r="H32">
        <v>23</v>
      </c>
      <c r="L32" s="6"/>
      <c r="M32" s="6"/>
      <c r="N32" s="12">
        <f t="shared" si="0"/>
        <v>9.60000000000002</v>
      </c>
      <c r="O32" s="12">
        <f t="shared" si="1"/>
        <v>-0.400000000000002</v>
      </c>
      <c r="P32" s="13">
        <f t="shared" si="2"/>
        <v>35.5110748800001</v>
      </c>
      <c r="Q32" s="12">
        <f t="shared" si="3"/>
        <v>0.5</v>
      </c>
      <c r="R32" s="12">
        <f t="shared" si="4"/>
        <v>-0.300000000000001</v>
      </c>
      <c r="S32" s="13">
        <f t="shared" si="5"/>
        <v>1.34703515</v>
      </c>
      <c r="T32" s="24">
        <v>3.2</v>
      </c>
      <c r="U32" s="5">
        <f t="shared" si="6"/>
        <v>92.7536231884058</v>
      </c>
      <c r="Y32" s="6"/>
      <c r="Z32" s="6"/>
      <c r="AA32" s="13">
        <v>35.5110748800001</v>
      </c>
      <c r="AB32" s="31">
        <v>34.1640397300001</v>
      </c>
      <c r="AC32" s="31">
        <v>1.34703515</v>
      </c>
      <c r="AD32" s="31">
        <v>92.7536231884058</v>
      </c>
      <c r="AE32" s="32">
        <v>0.368331053339063</v>
      </c>
      <c r="AF32" s="33">
        <v>0.0379328182701294</v>
      </c>
    </row>
    <row r="33" spans="1:32">
      <c r="A33" t="s">
        <v>55</v>
      </c>
      <c r="B33" s="5" t="s">
        <v>47</v>
      </c>
      <c r="C33">
        <v>355</v>
      </c>
      <c r="D33">
        <v>23.3</v>
      </c>
      <c r="E33">
        <v>357.9</v>
      </c>
      <c r="F33">
        <v>22.9</v>
      </c>
      <c r="G33">
        <v>354.6</v>
      </c>
      <c r="H33">
        <v>23</v>
      </c>
      <c r="L33" s="5"/>
      <c r="M33" s="5"/>
      <c r="N33" s="12">
        <f t="shared" si="0"/>
        <v>2.89999999999998</v>
      </c>
      <c r="O33" s="12">
        <f t="shared" si="1"/>
        <v>-0.400000000000002</v>
      </c>
      <c r="P33" s="13">
        <f t="shared" si="2"/>
        <v>10.2248038699999</v>
      </c>
      <c r="Q33" s="12">
        <f t="shared" si="3"/>
        <v>-0.399999999999977</v>
      </c>
      <c r="R33" s="12">
        <f t="shared" si="4"/>
        <v>-0.300000000000001</v>
      </c>
      <c r="S33" s="13">
        <f t="shared" si="5"/>
        <v>0</v>
      </c>
      <c r="T33" s="24">
        <v>3</v>
      </c>
      <c r="U33" s="5">
        <f t="shared" si="6"/>
        <v>86.9565217391304</v>
      </c>
      <c r="Y33" s="5"/>
      <c r="Z33" s="5"/>
      <c r="AA33" s="13">
        <v>10.2248038699999</v>
      </c>
      <c r="AB33" s="31">
        <v>10.2248038699999</v>
      </c>
      <c r="AC33" s="31">
        <v>0</v>
      </c>
      <c r="AD33" s="31">
        <v>86.9565217391304</v>
      </c>
      <c r="AE33" s="32">
        <v>0.117585244504999</v>
      </c>
      <c r="AF33" s="33">
        <v>0</v>
      </c>
    </row>
    <row r="34" spans="1:32">
      <c r="A34" t="s">
        <v>55</v>
      </c>
      <c r="B34" s="5" t="s">
        <v>48</v>
      </c>
      <c r="C34">
        <v>732.4</v>
      </c>
      <c r="D34">
        <v>23.2</v>
      </c>
      <c r="E34">
        <v>737.5</v>
      </c>
      <c r="F34">
        <v>22.9</v>
      </c>
      <c r="G34">
        <v>732.5</v>
      </c>
      <c r="H34">
        <v>23</v>
      </c>
      <c r="L34" s="5"/>
      <c r="M34" s="5"/>
      <c r="N34" s="12">
        <f t="shared" si="0"/>
        <v>5.10000000000002</v>
      </c>
      <c r="O34" s="12">
        <f t="shared" si="1"/>
        <v>-0.300000000000001</v>
      </c>
      <c r="P34" s="13">
        <f t="shared" si="2"/>
        <v>18.7077585300001</v>
      </c>
      <c r="Q34" s="12">
        <f t="shared" si="3"/>
        <v>0.100000000000023</v>
      </c>
      <c r="R34" s="12">
        <f t="shared" si="4"/>
        <v>-0.199999999999999</v>
      </c>
      <c r="S34" s="13">
        <f t="shared" si="5"/>
        <v>0.0174070300000871</v>
      </c>
      <c r="T34" s="25">
        <v>2</v>
      </c>
      <c r="U34" s="7">
        <f t="shared" si="6"/>
        <v>57.9710144927536</v>
      </c>
      <c r="Y34" s="5"/>
      <c r="Z34" s="5"/>
      <c r="AA34" s="13">
        <v>18.7077585300001</v>
      </c>
      <c r="AB34" s="31">
        <v>18.6903515</v>
      </c>
      <c r="AC34" s="31">
        <v>0.0174070300000871</v>
      </c>
      <c r="AD34" s="31">
        <v>57.9710144927536</v>
      </c>
      <c r="AE34" s="32">
        <v>0.322408563375</v>
      </c>
      <c r="AF34" s="33">
        <v>0.000930471171742618</v>
      </c>
    </row>
    <row r="35" spans="1:32">
      <c r="A35" t="s">
        <v>55</v>
      </c>
      <c r="B35" s="5" t="s">
        <v>49</v>
      </c>
      <c r="C35">
        <v>669</v>
      </c>
      <c r="D35">
        <v>23.2</v>
      </c>
      <c r="E35">
        <v>673.9</v>
      </c>
      <c r="F35">
        <v>22.9</v>
      </c>
      <c r="G35">
        <v>669.2</v>
      </c>
      <c r="H35">
        <v>23</v>
      </c>
      <c r="L35" s="5"/>
      <c r="M35" s="5"/>
      <c r="N35" s="12">
        <f t="shared" si="0"/>
        <v>4.89999999999998</v>
      </c>
      <c r="O35" s="12">
        <f t="shared" si="1"/>
        <v>-0.300000000000001</v>
      </c>
      <c r="P35" s="13">
        <f t="shared" si="2"/>
        <v>17.9529444699999</v>
      </c>
      <c r="Q35" s="12">
        <f t="shared" si="3"/>
        <v>0.200000000000045</v>
      </c>
      <c r="R35" s="12">
        <f t="shared" si="4"/>
        <v>-0.199999999999999</v>
      </c>
      <c r="S35" s="13">
        <f t="shared" si="5"/>
        <v>0.394814060000173</v>
      </c>
      <c r="T35" s="24">
        <v>1.4</v>
      </c>
      <c r="U35" s="5">
        <f t="shared" si="6"/>
        <v>40.5797101449275</v>
      </c>
      <c r="Y35" s="5"/>
      <c r="Z35" s="5"/>
      <c r="AA35" s="13">
        <v>17.9529444699999</v>
      </c>
      <c r="AB35" s="31">
        <v>17.5581304099997</v>
      </c>
      <c r="AC35" s="31">
        <v>0.394814060000173</v>
      </c>
      <c r="AD35" s="31">
        <v>40.5797101449275</v>
      </c>
      <c r="AE35" s="32">
        <v>0.43268249938928</v>
      </c>
      <c r="AF35" s="33">
        <v>0.0219916048122314</v>
      </c>
    </row>
    <row r="36" spans="1:32">
      <c r="A36" t="s">
        <v>55</v>
      </c>
      <c r="B36" s="7" t="s">
        <v>50</v>
      </c>
      <c r="C36">
        <v>799.1</v>
      </c>
      <c r="D36">
        <v>23.3</v>
      </c>
      <c r="E36">
        <v>799.9</v>
      </c>
      <c r="F36">
        <v>22.9</v>
      </c>
      <c r="G36">
        <v>798.8</v>
      </c>
      <c r="H36">
        <v>23</v>
      </c>
      <c r="L36" s="7"/>
      <c r="M36" s="7"/>
      <c r="N36" s="12">
        <f t="shared" si="0"/>
        <v>0.799999999999955</v>
      </c>
      <c r="O36" s="12">
        <f t="shared" si="1"/>
        <v>-0.400000000000002</v>
      </c>
      <c r="P36" s="13">
        <f t="shared" si="2"/>
        <v>2.29925623999982</v>
      </c>
      <c r="Q36" s="12">
        <f t="shared" si="3"/>
        <v>-0.300000000000068</v>
      </c>
      <c r="R36" s="12">
        <f t="shared" si="4"/>
        <v>-0.300000000000001</v>
      </c>
      <c r="S36" s="13">
        <f t="shared" si="5"/>
        <v>0</v>
      </c>
      <c r="T36" s="24">
        <v>1.1</v>
      </c>
      <c r="U36" s="5">
        <f t="shared" si="6"/>
        <v>31.8840579710145</v>
      </c>
      <c r="Y36" s="7"/>
      <c r="Z36" s="7"/>
      <c r="AA36" s="13">
        <v>2.29925623999982</v>
      </c>
      <c r="AB36" s="31">
        <v>2.29925623999982</v>
      </c>
      <c r="AC36" s="31">
        <v>0</v>
      </c>
      <c r="AD36" s="31">
        <v>31.8840579710145</v>
      </c>
      <c r="AE36" s="32">
        <v>0.0721130366181763</v>
      </c>
      <c r="AF36" s="33">
        <v>0</v>
      </c>
    </row>
    <row r="37" spans="1:32">
      <c r="A37" t="s">
        <v>55</v>
      </c>
      <c r="B37" s="5" t="s">
        <v>51</v>
      </c>
      <c r="C37">
        <v>675.9</v>
      </c>
      <c r="D37">
        <v>23.2</v>
      </c>
      <c r="E37">
        <v>678.2</v>
      </c>
      <c r="F37">
        <v>22.9</v>
      </c>
      <c r="G37">
        <v>675.7</v>
      </c>
      <c r="H37">
        <v>23</v>
      </c>
      <c r="L37" s="5"/>
      <c r="M37" s="5"/>
      <c r="N37" s="12">
        <f t="shared" si="0"/>
        <v>2.30000000000007</v>
      </c>
      <c r="O37" s="12">
        <f t="shared" si="1"/>
        <v>-0.300000000000001</v>
      </c>
      <c r="P37" s="13">
        <f t="shared" si="2"/>
        <v>8.14036169000026</v>
      </c>
      <c r="Q37" s="12">
        <f t="shared" si="3"/>
        <v>-0.199999999999932</v>
      </c>
      <c r="R37" s="12">
        <f t="shared" si="4"/>
        <v>-0.199999999999999</v>
      </c>
      <c r="S37" s="13">
        <f t="shared" si="5"/>
        <v>0</v>
      </c>
      <c r="T37" s="25">
        <v>0.8</v>
      </c>
      <c r="U37" s="7">
        <f t="shared" si="6"/>
        <v>23.1884057971014</v>
      </c>
      <c r="Y37" s="5"/>
      <c r="Z37" s="5"/>
      <c r="AA37" s="13">
        <v>8.14036169000026</v>
      </c>
      <c r="AB37" s="31">
        <v>8.14036169000026</v>
      </c>
      <c r="AC37" s="31">
        <v>0</v>
      </c>
      <c r="AD37" s="31">
        <v>23.1884057971014</v>
      </c>
      <c r="AE37" s="32">
        <v>0.351053097881262</v>
      </c>
      <c r="AF37" s="33">
        <v>0</v>
      </c>
    </row>
    <row r="38" spans="1:32">
      <c r="A38" t="s">
        <v>55</v>
      </c>
      <c r="B38" s="5" t="s">
        <v>52</v>
      </c>
      <c r="C38">
        <v>580</v>
      </c>
      <c r="D38">
        <v>23.3</v>
      </c>
      <c r="E38">
        <v>582.9</v>
      </c>
      <c r="F38">
        <v>23</v>
      </c>
      <c r="G38">
        <v>580.4</v>
      </c>
      <c r="H38">
        <v>23.1</v>
      </c>
      <c r="L38" s="5"/>
      <c r="M38" s="5"/>
      <c r="N38" s="12">
        <f t="shared" si="0"/>
        <v>2.89999999999998</v>
      </c>
      <c r="O38" s="12">
        <f t="shared" si="1"/>
        <v>-0.300000000000001</v>
      </c>
      <c r="P38" s="13">
        <f t="shared" si="2"/>
        <v>10.4048038699999</v>
      </c>
      <c r="Q38" s="12">
        <f t="shared" si="3"/>
        <v>0.399999999999977</v>
      </c>
      <c r="R38" s="12">
        <f t="shared" si="4"/>
        <v>-0.199999999999999</v>
      </c>
      <c r="S38" s="13">
        <f t="shared" si="5"/>
        <v>1.14962811999992</v>
      </c>
      <c r="T38" s="24">
        <v>0.6</v>
      </c>
      <c r="U38" s="5">
        <f t="shared" si="6"/>
        <v>17.3913043478261</v>
      </c>
      <c r="Y38" s="5"/>
      <c r="Z38" s="5"/>
      <c r="AA38" s="13">
        <v>10.4048038699999</v>
      </c>
      <c r="AB38" s="31">
        <v>9.25517575</v>
      </c>
      <c r="AC38" s="31">
        <v>1.14962811999992</v>
      </c>
      <c r="AD38" s="31">
        <v>17.3913043478261</v>
      </c>
      <c r="AE38" s="32">
        <v>0.532172605625</v>
      </c>
      <c r="AF38" s="33">
        <v>0.110490128825458</v>
      </c>
    </row>
    <row r="39" spans="1:32">
      <c r="A39" t="s">
        <v>55</v>
      </c>
      <c r="B39" s="7" t="s">
        <v>53</v>
      </c>
      <c r="C39">
        <v>710.2</v>
      </c>
      <c r="D39">
        <v>23.2</v>
      </c>
      <c r="E39">
        <v>712.2</v>
      </c>
      <c r="F39">
        <v>22.9</v>
      </c>
      <c r="G39">
        <v>710.3</v>
      </c>
      <c r="H39">
        <v>22.9</v>
      </c>
      <c r="L39" s="7"/>
      <c r="M39" s="7"/>
      <c r="N39" s="12">
        <f t="shared" si="0"/>
        <v>2</v>
      </c>
      <c r="O39" s="12">
        <f t="shared" si="1"/>
        <v>-0.300000000000001</v>
      </c>
      <c r="P39" s="13">
        <f t="shared" si="2"/>
        <v>7.0081406</v>
      </c>
      <c r="Q39" s="12">
        <f t="shared" si="3"/>
        <v>0.0999999999999091</v>
      </c>
      <c r="R39" s="12">
        <f t="shared" si="4"/>
        <v>-0.300000000000001</v>
      </c>
      <c r="S39" s="13">
        <f t="shared" si="5"/>
        <v>0</v>
      </c>
      <c r="T39" s="24">
        <v>0.4</v>
      </c>
      <c r="U39" s="5">
        <f t="shared" si="6"/>
        <v>11.5942028985507</v>
      </c>
      <c r="Y39" s="7"/>
      <c r="Z39" s="7"/>
      <c r="AA39" s="13">
        <v>7.0081406</v>
      </c>
      <c r="AB39" s="31">
        <v>7.0081406</v>
      </c>
      <c r="AC39" s="31">
        <v>0</v>
      </c>
      <c r="AD39" s="31">
        <v>11.5942028985507</v>
      </c>
      <c r="AE39" s="32">
        <v>0.604452126750001</v>
      </c>
      <c r="AF39" s="33">
        <v>0</v>
      </c>
    </row>
    <row r="40" spans="1:32">
      <c r="A40" t="s">
        <v>55</v>
      </c>
      <c r="B40" s="5" t="s">
        <v>54</v>
      </c>
      <c r="C40">
        <v>594.7</v>
      </c>
      <c r="D40">
        <v>23.3</v>
      </c>
      <c r="E40">
        <v>596.3</v>
      </c>
      <c r="F40">
        <v>23.1</v>
      </c>
      <c r="G40">
        <v>594.3</v>
      </c>
      <c r="H40">
        <v>23</v>
      </c>
      <c r="L40" s="6"/>
      <c r="M40" s="6"/>
      <c r="N40" s="12">
        <f t="shared" si="0"/>
        <v>1.59999999999991</v>
      </c>
      <c r="O40" s="12">
        <f t="shared" si="1"/>
        <v>-0.199999999999999</v>
      </c>
      <c r="P40" s="13">
        <f t="shared" si="2"/>
        <v>5.67851247999966</v>
      </c>
      <c r="Q40" s="12">
        <f t="shared" si="3"/>
        <v>-0.400000000000091</v>
      </c>
      <c r="R40" s="12">
        <f t="shared" si="4"/>
        <v>-0.300000000000001</v>
      </c>
      <c r="S40" s="13">
        <f t="shared" si="5"/>
        <v>0</v>
      </c>
      <c r="T40" s="25">
        <v>0.3</v>
      </c>
      <c r="U40" s="7">
        <f t="shared" si="6"/>
        <v>8.69565217391304</v>
      </c>
      <c r="Y40" s="6"/>
      <c r="Z40" s="6"/>
      <c r="AA40" s="13">
        <v>5.67851247999966</v>
      </c>
      <c r="AB40" s="31">
        <v>5.67851247999966</v>
      </c>
      <c r="AC40" s="31">
        <v>0</v>
      </c>
      <c r="AD40" s="31">
        <v>8.69565217391304</v>
      </c>
      <c r="AE40" s="32">
        <v>0.653028935199961</v>
      </c>
      <c r="AF40" s="33">
        <v>0</v>
      </c>
    </row>
  </sheetData>
  <mergeCells count="19">
    <mergeCell ref="C11:D11"/>
    <mergeCell ref="E11:F11"/>
    <mergeCell ref="G11:H11"/>
    <mergeCell ref="N11:P11"/>
    <mergeCell ref="Q11:S11"/>
    <mergeCell ref="T11:U11"/>
    <mergeCell ref="AA11:AC11"/>
    <mergeCell ref="A11:A12"/>
    <mergeCell ref="B11:B12"/>
    <mergeCell ref="L11:L12"/>
    <mergeCell ref="M11:M12"/>
    <mergeCell ref="Y11:Y12"/>
    <mergeCell ref="Z11:Z12"/>
    <mergeCell ref="AD11:AD12"/>
    <mergeCell ref="AE11:AE12"/>
    <mergeCell ref="AF11:AF12"/>
    <mergeCell ref="A9:H10"/>
    <mergeCell ref="Y9:AF10"/>
    <mergeCell ref="L9:U10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name="Button 1" r:id="rId3">
              <controlPr print="0" defaultSize="0">
                <anchor moveWithCells="1">
                  <from>
                    <xdr:col>8</xdr:col>
                    <xdr:colOff>361950</xdr:colOff>
                    <xdr:row>11</xdr:row>
                    <xdr:rowOff>133350</xdr:rowOff>
                  </from>
                  <to>
                    <xdr:col>10</xdr:col>
                    <xdr:colOff>38100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name="Button 2" r:id="rId4">
              <controlPr print="0" defaultSize="0">
                <anchor moveWithCells="1">
                  <from>
                    <xdr:col>8</xdr:col>
                    <xdr:colOff>371475</xdr:colOff>
                    <xdr:row>9</xdr:row>
                    <xdr:rowOff>47625</xdr:rowOff>
                  </from>
                  <to>
                    <xdr:col>9</xdr:col>
                    <xdr:colOff>647700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name="Button 3" r:id="rId5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161925</xdr:rowOff>
                  </from>
                  <to>
                    <xdr:col>10</xdr:col>
                    <xdr:colOff>95250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name="Button 4" r:id="rId6">
              <controlPr print="0" defaultSize="0">
                <anchor moveWithCells="1">
                  <from>
                    <xdr:col>8</xdr:col>
                    <xdr:colOff>419100</xdr:colOff>
                    <xdr:row>3</xdr:row>
                    <xdr:rowOff>133350</xdr:rowOff>
                  </from>
                  <to>
                    <xdr:col>10</xdr:col>
                    <xdr:colOff>9525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应变</vt:lpstr>
      <vt:lpstr>挠度</vt:lpstr>
      <vt:lpstr>生成Word报告</vt:lpstr>
      <vt:lpstr>草稿</vt:lpstr>
      <vt:lpstr>挠度测试</vt:lpstr>
      <vt:lpstr>应变测试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2018-12-14T09:15:22Z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