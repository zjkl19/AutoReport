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55" activeTab="1"/>
  </bookViews>
  <sheets>
    <sheet name="挠度" sheetId="1" r:id="rId1"/>
    <sheet name="应变" sheetId="2" r:id="rId2"/>
    <sheet name="草稿" sheetId="3" r:id="rId3"/>
  </sheets>
  <calcPr calcId="144525" refMode="R1C1"/>
</workbook>
</file>

<file path=xl/sharedStrings.xml><?xml version="1.0" encoding="utf-8"?>
<sst xmlns="http://schemas.openxmlformats.org/spreadsheetml/2006/main" count="82">
  <si>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</si>
  <si>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</si>
  <si>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</si>
  <si>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</si>
  <si>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</si>
  <si>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</si>
  <si>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</si>
  <si>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</si>
  <si>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</si>
  <si>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</si>
  <si>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</si>
  <si>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</si>
  <si>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</si>
  <si>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</si>
  <si>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</si>
  <si>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</si>
  <si>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</si>
  <si>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</si>
  <si>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</si>
  <si>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</si>
  <si>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</si>
  <si>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</si>
  <si>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</si>
  <si>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</si>
  <si>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</si>
  <si>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</si>
  <si>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</si>
  <si>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</si>
  <si>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</si>
  <si>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</si>
  <si>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</si>
  <si>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</si>
  <si>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</si>
  <si>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</si>
  <si>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</si>
  <si>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</si>
  <si>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</si>
  <si>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</si>
  <si>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</si>
  <si>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</si>
  <si>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</si>
  <si>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</si>
  <si>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</si>
  <si>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</si>
  <si>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</si>
  <si>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</si>
  <si>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</si>
  <si>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应变计算公式</t>
  </si>
  <si>
    <t>其中G=3.7，C=1.020019</t>
  </si>
  <si>
    <t>最大相对残余应变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</si>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</sst>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.0_ "/>
    <numFmt numFmtId="178" formatCode="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3" fillId="17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1" borderId="18" applyNumberFormat="0" applyFont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9" fillId="20" borderId="17" applyNumberFormat="0" applyAlignment="0" applyProtection="0">
      <alignment vertical="center"/>
    </xf>
    <xf numFmtId="0" fontId="14" fillId="20" borderId="13" applyNumberFormat="0" applyAlignment="0" applyProtection="0">
      <alignment vertical="center"/>
    </xf>
    <xf numFmtId="0" fontId="8" fillId="11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</cellStyleXfs>
  <cellXfs count="69">
    <xf numFmtId="0" fontId="0" fillId="0" borderId="0" xfId="0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3" xfId="0" applyNumberFormat="1" applyBorder="1" applyAlignment="1">
      <alignment horizontal="center" vertical="center" wrapText="1"/>
    </xf>
    <xf numFmtId="178" fontId="0" fillId="0" borderId="4" xfId="0" applyNumberFormat="1" applyBorder="1" applyAlignment="1">
      <alignment horizontal="center" vertical="center" wrapText="1"/>
    </xf>
    <xf numFmtId="178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8" fontId="0" fillId="0" borderId="3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6" fontId="0" fillId="0" borderId="4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8" fontId="0" fillId="0" borderId="9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76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76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8" fontId="0" fillId="3" borderId="2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4" borderId="2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8" fontId="0" fillId="3" borderId="10" xfId="0" applyNumberFormat="1" applyFill="1" applyBorder="1" applyAlignment="1">
      <alignment horizontal="center" vertical="center" wrapText="1"/>
    </xf>
    <xf numFmtId="176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6" fontId="0" fillId="3" borderId="5" xfId="0" applyNumberFormat="1" applyFill="1" applyBorder="1" applyAlignment="1">
      <alignment horizontal="center" vertical="center" wrapText="1"/>
    </xf>
    <xf numFmtId="176" fontId="0" fillId="4" borderId="5" xfId="0" applyNumberFormat="1" applyFill="1" applyBorder="1" applyAlignment="1">
      <alignment horizontal="center" vertical="center" wrapText="1"/>
    </xf>
    <xf numFmtId="176" fontId="0" fillId="4" borderId="3" xfId="0" applyNumberFormat="1" applyFill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 wrapText="1"/>
    </xf>
    <xf numFmtId="176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6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6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6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34475" y="162877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63050" y="120015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95250</xdr:rowOff>
        </xdr:from>
        <xdr:to>
          <xdr:col>14</xdr:col>
          <xdr:colOff>295275</xdr:colOff>
          <xdr:row>14</xdr:row>
          <xdr:rowOff>47625</xdr:rowOff>
        </xdr:to>
        <xdr:sp macro="[0]!AutoWordDisp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9134475" y="21717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8</xdr:row>
          <xdr:rowOff>133350</xdr:rowOff>
        </xdr:from>
        <xdr:to>
          <xdr:col>10</xdr:col>
          <xdr:colOff>38100</xdr:colOff>
          <xdr:row>9</xdr:row>
          <xdr:rowOff>57150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181725" y="15144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47625</xdr:rowOff>
        </xdr:from>
        <xdr:to>
          <xdr:col>9</xdr:col>
          <xdr:colOff>647700</xdr:colOff>
          <xdr:row>7</xdr:row>
          <xdr:rowOff>152400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191250" y="10763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330200</xdr:colOff>
      <xdr:row>14</xdr:row>
      <xdr:rowOff>165100</xdr:rowOff>
    </xdr:from>
    <xdr:to>
      <xdr:col>14</xdr:col>
      <xdr:colOff>101600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30800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workbookViewId="0">
      <selection activeCell="E8" sqref="E8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41">
        <v>0.0481</v>
      </c>
      <c r="D5" s="41">
        <v>0.1707</v>
      </c>
    </row>
    <row r="6" ht="14.25" spans="1:12">
      <c r="A6" s="42" t="s">
        <v>14</v>
      </c>
      <c r="B6" s="42" t="s">
        <v>15</v>
      </c>
      <c r="C6" s="3" t="s">
        <v>16</v>
      </c>
      <c r="D6" s="3" t="s">
        <v>17</v>
      </c>
      <c r="E6" s="3"/>
      <c r="F6" s="3" t="s">
        <v>18</v>
      </c>
      <c r="G6" s="3"/>
      <c r="H6" s="3"/>
      <c r="I6" s="3" t="s">
        <v>19</v>
      </c>
      <c r="J6" s="3" t="s">
        <v>20</v>
      </c>
      <c r="K6" s="3" t="s">
        <v>21</v>
      </c>
      <c r="L6" s="3" t="s">
        <v>22</v>
      </c>
    </row>
    <row r="7" ht="14.25" spans="1:16">
      <c r="A7" s="42"/>
      <c r="B7" s="43"/>
      <c r="C7" s="28"/>
      <c r="D7" s="3" t="s">
        <v>23</v>
      </c>
      <c r="E7" s="3" t="s">
        <v>24</v>
      </c>
      <c r="F7" s="3" t="s">
        <v>23</v>
      </c>
      <c r="G7" s="3" t="s">
        <v>25</v>
      </c>
      <c r="H7" s="3" t="s">
        <v>26</v>
      </c>
      <c r="I7" s="3"/>
      <c r="J7" s="3"/>
      <c r="K7" s="3"/>
      <c r="L7" s="3"/>
      <c r="P7" t="s">
        <v>27</v>
      </c>
    </row>
    <row r="8" spans="1:17">
      <c r="A8" s="44" t="s">
        <v>28</v>
      </c>
      <c r="B8" s="45" t="s">
        <v>29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0">
        <v>0</v>
      </c>
      <c r="I8" s="57">
        <v>0.44</v>
      </c>
      <c r="J8" s="58">
        <v>0.473</v>
      </c>
      <c r="K8" s="57">
        <v>0.930232558139534</v>
      </c>
      <c r="L8" s="59">
        <v>0</v>
      </c>
      <c r="P8">
        <v>1</v>
      </c>
      <c r="Q8" t="s">
        <v>30</v>
      </c>
    </row>
    <row r="9" spans="1:17">
      <c r="A9" s="44" t="s">
        <v>28</v>
      </c>
      <c r="B9" s="45" t="s">
        <v>31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0">
        <v>0</v>
      </c>
      <c r="I9" s="57">
        <v>0.51</v>
      </c>
      <c r="J9" s="58">
        <v>0.825</v>
      </c>
      <c r="K9" s="57">
        <v>0.618181818181818</v>
      </c>
      <c r="L9" s="59">
        <v>0</v>
      </c>
      <c r="P9">
        <v>2</v>
      </c>
      <c r="Q9" t="s">
        <v>32</v>
      </c>
    </row>
    <row r="10" spans="1:17">
      <c r="A10" s="44" t="s">
        <v>28</v>
      </c>
      <c r="B10" s="45" t="s">
        <v>33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0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  <c r="P10">
        <v>3</v>
      </c>
      <c r="Q10" t="s">
        <v>34</v>
      </c>
    </row>
    <row r="11" spans="1:12">
      <c r="A11" s="44" t="s">
        <v>28</v>
      </c>
      <c r="B11" s="45" t="s">
        <v>35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0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28</v>
      </c>
      <c r="B12" s="45" t="s">
        <v>36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0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28</v>
      </c>
      <c r="B13" s="45" t="s">
        <v>37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0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28</v>
      </c>
      <c r="B14" s="45" t="s">
        <v>38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0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28</v>
      </c>
      <c r="B15" s="45" t="s">
        <v>39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0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28</v>
      </c>
      <c r="B16" s="45" t="s">
        <v>40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0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28</v>
      </c>
      <c r="B17" s="45" t="s">
        <v>41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0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28</v>
      </c>
      <c r="B18" s="45" t="s">
        <v>42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0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28</v>
      </c>
      <c r="B19" s="45" t="s">
        <v>43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0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28</v>
      </c>
      <c r="B20" s="45" t="s">
        <v>44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0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28</v>
      </c>
      <c r="B21" s="50" t="s">
        <v>45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0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46</v>
      </c>
      <c r="B22" s="45" t="s">
        <v>29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0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46</v>
      </c>
      <c r="B23" s="45" t="s">
        <v>31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0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46</v>
      </c>
      <c r="B24" s="45" t="s">
        <v>33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0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46</v>
      </c>
      <c r="B25" s="45" t="s">
        <v>35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0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46</v>
      </c>
      <c r="B26" s="45" t="s">
        <v>36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0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46</v>
      </c>
      <c r="B27" s="45" t="s">
        <v>37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0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46</v>
      </c>
      <c r="B28" s="45" t="s">
        <v>38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0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46</v>
      </c>
      <c r="B29" s="45" t="s">
        <v>39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0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46</v>
      </c>
      <c r="B30" s="45" t="s">
        <v>40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0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46</v>
      </c>
      <c r="B31" s="45" t="s">
        <v>41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0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46</v>
      </c>
      <c r="B32" s="45" t="s">
        <v>42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0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46</v>
      </c>
      <c r="B33" s="45" t="s">
        <v>43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0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46</v>
      </c>
      <c r="B34" s="45" t="s">
        <v>44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0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46</v>
      </c>
      <c r="B35" s="50" t="s">
        <v>45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0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5">
              <controlPr print="0" defaultSize="0">
                <anchor moveWithCells="1">
                  <from>
                    <xdr:col>13</xdr:col>
                    <xdr:colOff>0</xdr:colOff>
                    <xdr:row>12</xdr:row>
                    <xdr:rowOff>95250</xdr:rowOff>
                  </from>
                  <to>
                    <xdr:col>14</xdr:col>
                    <xdr:colOff>295275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tabSelected="1" topLeftCell="L1" workbookViewId="0">
      <selection activeCell="AA10" sqref="AA10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11</v>
      </c>
      <c r="B3"/>
      <c r="J3" s="8"/>
      <c r="S3" s="8"/>
      <c r="U3" s="8" t="s">
        <v>47</v>
      </c>
    </row>
    <row r="4" spans="1:21">
      <c r="A4" t="s">
        <v>12</v>
      </c>
      <c r="J4" s="8"/>
      <c r="S4" s="8"/>
      <c r="U4" s="8" t="s">
        <v>48</v>
      </c>
    </row>
    <row r="5" spans="1:1">
      <c r="A5" t="s">
        <v>49</v>
      </c>
    </row>
    <row r="6" spans="1:32">
      <c r="A6" s="1" t="s">
        <v>50</v>
      </c>
      <c r="B6" s="1"/>
      <c r="C6" s="1"/>
      <c r="D6" s="1"/>
      <c r="E6" s="1"/>
      <c r="F6" s="1"/>
      <c r="G6" s="1"/>
      <c r="H6" s="1"/>
      <c r="L6" s="9" t="s">
        <v>51</v>
      </c>
      <c r="M6" s="9"/>
      <c r="N6" s="9"/>
      <c r="O6" s="9"/>
      <c r="P6" s="9"/>
      <c r="Q6" s="9"/>
      <c r="R6" s="9"/>
      <c r="S6" s="9"/>
      <c r="T6" s="9"/>
      <c r="U6" s="9"/>
      <c r="Y6" s="9" t="s">
        <v>52</v>
      </c>
      <c r="Z6" s="9"/>
      <c r="AA6" s="9"/>
      <c r="AB6" s="9"/>
      <c r="AC6" s="9"/>
      <c r="AD6" s="9"/>
      <c r="AE6" s="9"/>
      <c r="AF6" s="9"/>
    </row>
    <row r="7" spans="1:32">
      <c r="A7" s="2"/>
      <c r="B7" s="2"/>
      <c r="C7" s="2"/>
      <c r="D7" s="2"/>
      <c r="E7" s="2"/>
      <c r="F7" s="2"/>
      <c r="G7" s="2"/>
      <c r="H7" s="2"/>
      <c r="L7" s="2"/>
      <c r="M7" s="2"/>
      <c r="N7" s="2"/>
      <c r="O7" s="2"/>
      <c r="P7" s="2"/>
      <c r="Q7" s="2"/>
      <c r="R7" s="2"/>
      <c r="S7" s="2"/>
      <c r="T7" s="2"/>
      <c r="U7" s="2"/>
      <c r="Y7" s="2"/>
      <c r="Z7" s="2"/>
      <c r="AA7" s="2"/>
      <c r="AB7" s="2"/>
      <c r="AC7" s="2"/>
      <c r="AD7" s="2"/>
      <c r="AE7" s="2"/>
      <c r="AF7" s="2"/>
    </row>
    <row r="8" ht="14.25" spans="1:32">
      <c r="A8" s="3" t="s">
        <v>14</v>
      </c>
      <c r="B8" s="3" t="s">
        <v>15</v>
      </c>
      <c r="C8" s="3" t="s">
        <v>53</v>
      </c>
      <c r="D8" s="3"/>
      <c r="E8" s="3" t="s">
        <v>17</v>
      </c>
      <c r="F8" s="3"/>
      <c r="G8" s="3" t="s">
        <v>18</v>
      </c>
      <c r="H8" s="3"/>
      <c r="L8" s="3" t="s">
        <v>14</v>
      </c>
      <c r="M8" s="3" t="s">
        <v>15</v>
      </c>
      <c r="N8" s="10" t="s">
        <v>17</v>
      </c>
      <c r="O8" s="10"/>
      <c r="P8" s="10"/>
      <c r="Q8" s="17" t="s">
        <v>18</v>
      </c>
      <c r="R8" s="18"/>
      <c r="S8" s="19"/>
      <c r="T8" s="10" t="s">
        <v>54</v>
      </c>
      <c r="U8" s="10"/>
      <c r="Y8" s="28" t="s">
        <v>14</v>
      </c>
      <c r="Z8" s="28" t="s">
        <v>15</v>
      </c>
      <c r="AA8" s="3" t="s">
        <v>55</v>
      </c>
      <c r="AB8" s="3"/>
      <c r="AC8" s="3"/>
      <c r="AD8" s="3" t="s">
        <v>56</v>
      </c>
      <c r="AE8" s="3" t="s">
        <v>21</v>
      </c>
      <c r="AF8" s="28" t="s">
        <v>57</v>
      </c>
    </row>
    <row r="9" ht="30.75" spans="1:32">
      <c r="A9" s="3"/>
      <c r="B9" s="3"/>
      <c r="C9" s="3" t="s">
        <v>58</v>
      </c>
      <c r="D9" s="3" t="s">
        <v>59</v>
      </c>
      <c r="E9" s="3" t="s">
        <v>58</v>
      </c>
      <c r="F9" s="3" t="s">
        <v>60</v>
      </c>
      <c r="G9" s="3" t="s">
        <v>58</v>
      </c>
      <c r="H9" s="3" t="s">
        <v>60</v>
      </c>
      <c r="L9" s="3"/>
      <c r="M9" s="3"/>
      <c r="N9" s="10" t="s">
        <v>61</v>
      </c>
      <c r="O9" s="10" t="s">
        <v>62</v>
      </c>
      <c r="P9" s="10" t="s">
        <v>63</v>
      </c>
      <c r="Q9" s="10" t="s">
        <v>61</v>
      </c>
      <c r="R9" s="10" t="s">
        <v>62</v>
      </c>
      <c r="S9" s="10" t="s">
        <v>64</v>
      </c>
      <c r="T9" s="3" t="s">
        <v>65</v>
      </c>
      <c r="U9" s="3" t="s">
        <v>63</v>
      </c>
      <c r="Y9" s="29"/>
      <c r="Z9" s="29"/>
      <c r="AA9" s="3" t="s">
        <v>66</v>
      </c>
      <c r="AB9" s="3" t="s">
        <v>67</v>
      </c>
      <c r="AC9" s="3" t="s">
        <v>64</v>
      </c>
      <c r="AD9" s="3"/>
      <c r="AE9" s="3"/>
      <c r="AF9" s="29"/>
    </row>
    <row r="10" spans="1:32">
      <c r="A10" t="s">
        <v>28</v>
      </c>
      <c r="B10" s="4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4"/>
      <c r="M10" s="4"/>
      <c r="N10" s="11">
        <f>E10-C10</f>
        <v>2.60000000000002</v>
      </c>
      <c r="O10" s="11">
        <f>F10-D10</f>
        <v>-0.300000000000001</v>
      </c>
      <c r="P10" s="12">
        <f t="shared" ref="P10:P37" si="0">3.7*1.020019*(N10)+1.8*(O10)</f>
        <v>9.27258278000009</v>
      </c>
      <c r="Q10" s="11">
        <f>G10-C10</f>
        <v>0.600000000000023</v>
      </c>
      <c r="R10" s="11">
        <f>H10-D10</f>
        <v>-0.300000000000001</v>
      </c>
      <c r="S10" s="12">
        <f>IF(3.7*1.020019*(Q10)+1.8*(R10)&gt;=0,3.7*1.020019*(Q10)+1.8*(R10),0)</f>
        <v>1.72444218000008</v>
      </c>
      <c r="T10" s="20">
        <v>0.3</v>
      </c>
      <c r="U10" s="4">
        <f>T10*100/3.45</f>
        <v>8.69565217391304</v>
      </c>
      <c r="Y10" s="4"/>
      <c r="Z10" s="4"/>
      <c r="AA10" s="12">
        <f>Q10</f>
        <v>0.600000000000023</v>
      </c>
      <c r="AB10" s="30">
        <f>ROUND(AA10,0)-ROUND(AC10,0)</f>
        <v>1</v>
      </c>
      <c r="AC10" s="30">
        <f>T10</f>
        <v>0.3</v>
      </c>
      <c r="AD10" s="30">
        <f>V10</f>
        <v>0</v>
      </c>
      <c r="AE10" s="31" t="e">
        <f t="shared" ref="AE10:AE37" si="1">ROUND(AB10,0)/ROUND(AD10,0)</f>
        <v>#DIV/0!</v>
      </c>
      <c r="AF10" s="32">
        <f t="shared" ref="AF10:AF37" si="2">ROUND(AC10,0)/ROUND(AA10,0)</f>
        <v>0</v>
      </c>
    </row>
    <row r="11" spans="1:32">
      <c r="A11" t="s">
        <v>28</v>
      </c>
      <c r="B11" s="4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4"/>
      <c r="M11" s="4"/>
      <c r="N11" s="11">
        <f t="shared" ref="N11:O26" si="3">E11-C11</f>
        <v>1.80000000000007</v>
      </c>
      <c r="O11" s="11">
        <f t="shared" si="3"/>
        <v>-0.199999999999999</v>
      </c>
      <c r="P11" s="12">
        <f t="shared" si="0"/>
        <v>6.43332654000026</v>
      </c>
      <c r="Q11" s="11">
        <f t="shared" ref="Q11:R26" si="4">G11-C11</f>
        <v>0.399999999999977</v>
      </c>
      <c r="R11" s="11">
        <f t="shared" si="4"/>
        <v>-0.299999999999997</v>
      </c>
      <c r="S11" s="12">
        <f t="shared" ref="S11:S25" si="5">IF(3.7*1.020019*(Q11)+1.8*(R11)&gt;=0,3.7*1.020019*(Q11)+1.8*(R11),0)</f>
        <v>0.969628119999919</v>
      </c>
      <c r="T11" s="21">
        <v>0.4</v>
      </c>
      <c r="U11" s="4">
        <f t="shared" ref="U11:U37" si="6">T11*100/3.45</f>
        <v>11.5942028985507</v>
      </c>
      <c r="Y11" s="4"/>
      <c r="Z11" s="4"/>
      <c r="AA11" s="12">
        <f t="shared" ref="AA11:AA37" si="7">Q11</f>
        <v>0.399999999999977</v>
      </c>
      <c r="AB11" s="30">
        <f t="shared" ref="AB11:AB37" si="8">ROUND(AA11,0)-ROUND(AC11,0)</f>
        <v>0</v>
      </c>
      <c r="AC11" s="30">
        <f t="shared" ref="AC11:AC37" si="9">T11</f>
        <v>0.4</v>
      </c>
      <c r="AD11" s="30">
        <f t="shared" ref="AD11:AD37" si="10">V11</f>
        <v>0</v>
      </c>
      <c r="AE11" s="31" t="e">
        <f t="shared" si="1"/>
        <v>#DIV/0!</v>
      </c>
      <c r="AF11" s="32" t="e">
        <f t="shared" si="2"/>
        <v>#DIV/0!</v>
      </c>
    </row>
    <row r="12" spans="1:32">
      <c r="A12" t="s">
        <v>28</v>
      </c>
      <c r="B12" s="5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5"/>
      <c r="M12" s="5"/>
      <c r="N12" s="11">
        <f t="shared" si="3"/>
        <v>2.89999999999998</v>
      </c>
      <c r="O12" s="11">
        <f t="shared" si="3"/>
        <v>-0.199999999999999</v>
      </c>
      <c r="P12" s="12">
        <f t="shared" si="0"/>
        <v>10.5848038699999</v>
      </c>
      <c r="Q12" s="11">
        <f t="shared" si="4"/>
        <v>0.600000000000023</v>
      </c>
      <c r="R12" s="11">
        <f t="shared" si="4"/>
        <v>-0.300000000000001</v>
      </c>
      <c r="S12" s="12">
        <f t="shared" si="5"/>
        <v>1.72444218000008</v>
      </c>
      <c r="T12" s="22">
        <v>0.6</v>
      </c>
      <c r="U12" s="5">
        <f t="shared" si="6"/>
        <v>17.3913043478261</v>
      </c>
      <c r="Y12" s="5"/>
      <c r="Z12" s="5"/>
      <c r="AA12" s="12">
        <f t="shared" si="7"/>
        <v>0.600000000000023</v>
      </c>
      <c r="AB12" s="30">
        <f t="shared" si="8"/>
        <v>0</v>
      </c>
      <c r="AC12" s="30">
        <f t="shared" si="9"/>
        <v>0.6</v>
      </c>
      <c r="AD12" s="30">
        <f t="shared" si="10"/>
        <v>0</v>
      </c>
      <c r="AE12" s="31" t="e">
        <f t="shared" si="1"/>
        <v>#DIV/0!</v>
      </c>
      <c r="AF12" s="32">
        <f t="shared" si="2"/>
        <v>1</v>
      </c>
    </row>
    <row r="13" spans="1:32">
      <c r="A13" t="s">
        <v>28</v>
      </c>
      <c r="B13" s="4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4"/>
      <c r="M13" s="4"/>
      <c r="N13" s="11">
        <f t="shared" si="3"/>
        <v>0.800000000000011</v>
      </c>
      <c r="O13" s="11">
        <f t="shared" si="3"/>
        <v>-0.199999999999999</v>
      </c>
      <c r="P13" s="12">
        <f t="shared" si="0"/>
        <v>2.65925624000004</v>
      </c>
      <c r="Q13" s="11">
        <f t="shared" si="4"/>
        <v>-1.89999999999998</v>
      </c>
      <c r="R13" s="11">
        <f t="shared" si="4"/>
        <v>-0.300000000000001</v>
      </c>
      <c r="S13" s="12">
        <f t="shared" si="5"/>
        <v>0</v>
      </c>
      <c r="T13" s="23">
        <v>0.8</v>
      </c>
      <c r="U13" s="4">
        <f t="shared" si="6"/>
        <v>23.1884057971014</v>
      </c>
      <c r="Y13" s="4"/>
      <c r="Z13" s="4"/>
      <c r="AA13" s="12">
        <f t="shared" si="7"/>
        <v>-1.89999999999998</v>
      </c>
      <c r="AB13" s="30">
        <f t="shared" si="8"/>
        <v>-3</v>
      </c>
      <c r="AC13" s="30">
        <f t="shared" si="9"/>
        <v>0.8</v>
      </c>
      <c r="AD13" s="30">
        <f t="shared" si="10"/>
        <v>0</v>
      </c>
      <c r="AE13" s="31" t="e">
        <f t="shared" si="1"/>
        <v>#DIV/0!</v>
      </c>
      <c r="AF13" s="32">
        <f t="shared" si="2"/>
        <v>-0.5</v>
      </c>
    </row>
    <row r="14" spans="1:32">
      <c r="A14" t="s">
        <v>28</v>
      </c>
      <c r="B14" s="4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4"/>
      <c r="M14" s="4"/>
      <c r="N14" s="11">
        <f t="shared" si="3"/>
        <v>4.10000000000002</v>
      </c>
      <c r="O14" s="11">
        <f t="shared" si="3"/>
        <v>-0.199999999999999</v>
      </c>
      <c r="P14" s="12">
        <f t="shared" si="0"/>
        <v>15.1136882300001</v>
      </c>
      <c r="Q14" s="11">
        <f t="shared" si="4"/>
        <v>-1.20000000000005</v>
      </c>
      <c r="R14" s="11">
        <f t="shared" si="4"/>
        <v>-0.400000000000002</v>
      </c>
      <c r="S14" s="12">
        <f t="shared" si="5"/>
        <v>0</v>
      </c>
      <c r="T14" s="23">
        <v>1</v>
      </c>
      <c r="U14" s="4">
        <f t="shared" si="6"/>
        <v>28.9855072463768</v>
      </c>
      <c r="Y14" s="4"/>
      <c r="Z14" s="4"/>
      <c r="AA14" s="12">
        <f t="shared" si="7"/>
        <v>-1.20000000000005</v>
      </c>
      <c r="AB14" s="30">
        <f t="shared" si="8"/>
        <v>-2</v>
      </c>
      <c r="AC14" s="30">
        <f t="shared" si="9"/>
        <v>1</v>
      </c>
      <c r="AD14" s="30">
        <f t="shared" si="10"/>
        <v>0</v>
      </c>
      <c r="AE14" s="31" t="e">
        <f t="shared" si="1"/>
        <v>#DIV/0!</v>
      </c>
      <c r="AF14" s="32">
        <f t="shared" si="2"/>
        <v>-1</v>
      </c>
    </row>
    <row r="15" spans="1:32">
      <c r="A15" t="s">
        <v>28</v>
      </c>
      <c r="B15" s="5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5"/>
      <c r="M15" s="5"/>
      <c r="N15" s="11">
        <f t="shared" si="3"/>
        <v>4.5</v>
      </c>
      <c r="O15" s="11">
        <f t="shared" si="3"/>
        <v>-0.199999999999999</v>
      </c>
      <c r="P15" s="12">
        <f t="shared" si="0"/>
        <v>16.62331635</v>
      </c>
      <c r="Q15" s="11">
        <f t="shared" si="4"/>
        <v>0.399999999999977</v>
      </c>
      <c r="R15" s="11">
        <f t="shared" si="4"/>
        <v>-0.300000000000001</v>
      </c>
      <c r="S15" s="12">
        <f t="shared" si="5"/>
        <v>0.969628119999913</v>
      </c>
      <c r="T15" s="23">
        <v>1.4</v>
      </c>
      <c r="U15" s="4">
        <f t="shared" si="6"/>
        <v>40.5797101449275</v>
      </c>
      <c r="Y15" s="5"/>
      <c r="Z15" s="5"/>
      <c r="AA15" s="12">
        <f t="shared" si="7"/>
        <v>0.399999999999977</v>
      </c>
      <c r="AB15" s="30">
        <f t="shared" si="8"/>
        <v>-1</v>
      </c>
      <c r="AC15" s="30">
        <f t="shared" si="9"/>
        <v>1.4</v>
      </c>
      <c r="AD15" s="30">
        <f t="shared" si="10"/>
        <v>0</v>
      </c>
      <c r="AE15" s="31" t="e">
        <f t="shared" si="1"/>
        <v>#DIV/0!</v>
      </c>
      <c r="AF15" s="32" t="e">
        <f t="shared" si="2"/>
        <v>#DIV/0!</v>
      </c>
    </row>
    <row r="16" spans="1:32">
      <c r="A16" t="s">
        <v>28</v>
      </c>
      <c r="B16" s="4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4"/>
      <c r="M16" s="4"/>
      <c r="N16" s="11">
        <f t="shared" si="3"/>
        <v>1.19999999999999</v>
      </c>
      <c r="O16" s="11">
        <f t="shared" si="3"/>
        <v>-0.199999999999999</v>
      </c>
      <c r="P16" s="12">
        <f t="shared" si="0"/>
        <v>4.16888435999996</v>
      </c>
      <c r="Q16" s="11">
        <f t="shared" si="4"/>
        <v>-0.199999999999989</v>
      </c>
      <c r="R16" s="11">
        <f t="shared" si="4"/>
        <v>-0.300000000000001</v>
      </c>
      <c r="S16" s="12">
        <f t="shared" si="5"/>
        <v>0</v>
      </c>
      <c r="T16" s="24">
        <v>1.9</v>
      </c>
      <c r="U16" s="6">
        <f t="shared" si="6"/>
        <v>55.0724637681159</v>
      </c>
      <c r="Y16" s="4"/>
      <c r="Z16" s="4"/>
      <c r="AA16" s="12">
        <f t="shared" si="7"/>
        <v>-0.199999999999989</v>
      </c>
      <c r="AB16" s="30">
        <f t="shared" si="8"/>
        <v>-2</v>
      </c>
      <c r="AC16" s="30">
        <f t="shared" si="9"/>
        <v>1.9</v>
      </c>
      <c r="AD16" s="30">
        <f t="shared" si="10"/>
        <v>0</v>
      </c>
      <c r="AE16" s="31" t="e">
        <f t="shared" si="1"/>
        <v>#DIV/0!</v>
      </c>
      <c r="AF16" s="32" t="e">
        <f t="shared" si="2"/>
        <v>#DIV/0!</v>
      </c>
    </row>
    <row r="17" spans="1:32">
      <c r="A17" t="s">
        <v>28</v>
      </c>
      <c r="B17" s="4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4"/>
      <c r="M17" s="4"/>
      <c r="N17" s="11">
        <f t="shared" si="3"/>
        <v>6.39999999999998</v>
      </c>
      <c r="O17" s="11">
        <f t="shared" si="3"/>
        <v>-0.0999999999999979</v>
      </c>
      <c r="P17" s="12">
        <f t="shared" si="0"/>
        <v>23.9740499199999</v>
      </c>
      <c r="Q17" s="11">
        <f t="shared" si="4"/>
        <v>0.100000000000023</v>
      </c>
      <c r="R17" s="11">
        <f t="shared" si="4"/>
        <v>-0.199999999999999</v>
      </c>
      <c r="S17" s="12">
        <f t="shared" si="5"/>
        <v>0.0174070300000871</v>
      </c>
      <c r="T17" s="23">
        <v>2.9</v>
      </c>
      <c r="U17" s="4">
        <f t="shared" si="6"/>
        <v>84.0579710144928</v>
      </c>
      <c r="Y17" s="4"/>
      <c r="Z17" s="4"/>
      <c r="AA17" s="12">
        <f t="shared" si="7"/>
        <v>0.100000000000023</v>
      </c>
      <c r="AB17" s="30">
        <f t="shared" si="8"/>
        <v>-3</v>
      </c>
      <c r="AC17" s="30">
        <f t="shared" si="9"/>
        <v>2.9</v>
      </c>
      <c r="AD17" s="30">
        <f t="shared" si="10"/>
        <v>0</v>
      </c>
      <c r="AE17" s="31" t="e">
        <f t="shared" si="1"/>
        <v>#DIV/0!</v>
      </c>
      <c r="AF17" s="32" t="e">
        <f t="shared" si="2"/>
        <v>#DIV/0!</v>
      </c>
    </row>
    <row r="18" spans="1:32">
      <c r="A18" t="s">
        <v>28</v>
      </c>
      <c r="B18" s="4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4"/>
      <c r="M18" s="4"/>
      <c r="N18" s="11">
        <f t="shared" si="3"/>
        <v>7.79999999999995</v>
      </c>
      <c r="O18" s="11">
        <f t="shared" si="3"/>
        <v>-0.0999999999999979</v>
      </c>
      <c r="P18" s="12">
        <f t="shared" si="0"/>
        <v>29.2577483399998</v>
      </c>
      <c r="Q18" s="11">
        <f t="shared" si="4"/>
        <v>0.200000000000045</v>
      </c>
      <c r="R18" s="11">
        <f t="shared" si="4"/>
        <v>-0.199999999999999</v>
      </c>
      <c r="S18" s="12">
        <f t="shared" si="5"/>
        <v>0.394814060000173</v>
      </c>
      <c r="T18" s="23">
        <v>3.2</v>
      </c>
      <c r="U18" s="4">
        <f t="shared" si="6"/>
        <v>92.7536231884058</v>
      </c>
      <c r="Y18" s="4"/>
      <c r="Z18" s="4"/>
      <c r="AA18" s="12">
        <f t="shared" si="7"/>
        <v>0.200000000000045</v>
      </c>
      <c r="AB18" s="30">
        <f t="shared" si="8"/>
        <v>-3</v>
      </c>
      <c r="AC18" s="30">
        <f t="shared" si="9"/>
        <v>3.2</v>
      </c>
      <c r="AD18" s="30">
        <f t="shared" si="10"/>
        <v>0</v>
      </c>
      <c r="AE18" s="31" t="e">
        <f t="shared" si="1"/>
        <v>#DIV/0!</v>
      </c>
      <c r="AF18" s="32" t="e">
        <f t="shared" si="2"/>
        <v>#DIV/0!</v>
      </c>
    </row>
    <row r="19" spans="1:32">
      <c r="A19" t="s">
        <v>28</v>
      </c>
      <c r="B19" s="6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6"/>
      <c r="M19" s="6"/>
      <c r="N19" s="11">
        <f t="shared" si="3"/>
        <v>2.69999999999993</v>
      </c>
      <c r="O19" s="11">
        <f t="shared" si="3"/>
        <v>-0.199999999999999</v>
      </c>
      <c r="P19" s="12">
        <f t="shared" si="0"/>
        <v>9.82998980999974</v>
      </c>
      <c r="Q19" s="11">
        <f t="shared" si="4"/>
        <v>-0.200000000000045</v>
      </c>
      <c r="R19" s="11">
        <f t="shared" si="4"/>
        <v>-0.199999999999999</v>
      </c>
      <c r="S19" s="12">
        <f t="shared" si="5"/>
        <v>0</v>
      </c>
      <c r="T19" s="24">
        <v>3.6</v>
      </c>
      <c r="U19" s="6">
        <f t="shared" si="6"/>
        <v>104.347826086957</v>
      </c>
      <c r="Y19" s="6"/>
      <c r="Z19" s="6"/>
      <c r="AA19" s="12">
        <f t="shared" si="7"/>
        <v>-0.200000000000045</v>
      </c>
      <c r="AB19" s="30">
        <f t="shared" si="8"/>
        <v>-4</v>
      </c>
      <c r="AC19" s="30">
        <f t="shared" si="9"/>
        <v>3.6</v>
      </c>
      <c r="AD19" s="30">
        <f t="shared" si="10"/>
        <v>0</v>
      </c>
      <c r="AE19" s="31" t="e">
        <f t="shared" si="1"/>
        <v>#DIV/0!</v>
      </c>
      <c r="AF19" s="32" t="e">
        <f t="shared" si="2"/>
        <v>#DIV/0!</v>
      </c>
    </row>
    <row r="20" spans="1:32">
      <c r="A20" t="s">
        <v>28</v>
      </c>
      <c r="B20" s="4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4"/>
      <c r="M20" s="4"/>
      <c r="N20" s="11">
        <f t="shared" si="3"/>
        <v>10.6</v>
      </c>
      <c r="O20" s="11">
        <f t="shared" si="3"/>
        <v>-0.0999999999999979</v>
      </c>
      <c r="P20" s="12">
        <f t="shared" si="0"/>
        <v>39.8251451800001</v>
      </c>
      <c r="Q20" s="11">
        <f t="shared" si="4"/>
        <v>-0.100000000000023</v>
      </c>
      <c r="R20" s="11">
        <f t="shared" si="4"/>
        <v>-0.199999999999999</v>
      </c>
      <c r="S20" s="12">
        <f t="shared" si="5"/>
        <v>0</v>
      </c>
      <c r="T20" s="23">
        <v>3.5</v>
      </c>
      <c r="U20" s="4">
        <f t="shared" si="6"/>
        <v>101.449275362319</v>
      </c>
      <c r="Y20" s="4"/>
      <c r="Z20" s="4"/>
      <c r="AA20" s="12">
        <f t="shared" si="7"/>
        <v>-0.100000000000023</v>
      </c>
      <c r="AB20" s="30">
        <f t="shared" si="8"/>
        <v>-4</v>
      </c>
      <c r="AC20" s="30">
        <f t="shared" si="9"/>
        <v>3.5</v>
      </c>
      <c r="AD20" s="30">
        <f t="shared" si="10"/>
        <v>0</v>
      </c>
      <c r="AE20" s="31" t="e">
        <f t="shared" si="1"/>
        <v>#DIV/0!</v>
      </c>
      <c r="AF20" s="32" t="e">
        <f t="shared" si="2"/>
        <v>#DIV/0!</v>
      </c>
    </row>
    <row r="21" spans="1:32">
      <c r="A21" t="s">
        <v>28</v>
      </c>
      <c r="B21" s="4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4"/>
      <c r="M21" s="4"/>
      <c r="N21" s="11">
        <f t="shared" si="3"/>
        <v>11.5</v>
      </c>
      <c r="O21" s="11">
        <f t="shared" si="3"/>
        <v>-0.100000000000001</v>
      </c>
      <c r="P21" s="12">
        <f t="shared" si="0"/>
        <v>43.22180845</v>
      </c>
      <c r="Q21" s="11">
        <f t="shared" si="4"/>
        <v>0.399999999999977</v>
      </c>
      <c r="R21" s="11">
        <f t="shared" si="4"/>
        <v>-0.199999999999999</v>
      </c>
      <c r="S21" s="12">
        <f t="shared" si="5"/>
        <v>1.14962811999992</v>
      </c>
      <c r="T21" s="23">
        <v>3.6</v>
      </c>
      <c r="U21" s="4">
        <f t="shared" si="6"/>
        <v>104.347826086957</v>
      </c>
      <c r="Y21" s="4"/>
      <c r="Z21" s="4"/>
      <c r="AA21" s="12">
        <f t="shared" si="7"/>
        <v>0.399999999999977</v>
      </c>
      <c r="AB21" s="30">
        <f t="shared" si="8"/>
        <v>-4</v>
      </c>
      <c r="AC21" s="30">
        <f t="shared" si="9"/>
        <v>3.6</v>
      </c>
      <c r="AD21" s="30">
        <f t="shared" si="10"/>
        <v>0</v>
      </c>
      <c r="AE21" s="31" t="e">
        <f t="shared" si="1"/>
        <v>#DIV/0!</v>
      </c>
      <c r="AF21" s="32" t="e">
        <f t="shared" si="2"/>
        <v>#DIV/0!</v>
      </c>
    </row>
    <row r="22" spans="1:32">
      <c r="A22" t="s">
        <v>28</v>
      </c>
      <c r="B22" s="6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6"/>
      <c r="M22" s="6"/>
      <c r="N22" s="11">
        <f t="shared" si="3"/>
        <v>9.09999999999991</v>
      </c>
      <c r="O22" s="11">
        <f t="shared" si="3"/>
        <v>-0.199999999999999</v>
      </c>
      <c r="P22" s="12">
        <f t="shared" si="0"/>
        <v>33.9840397299997</v>
      </c>
      <c r="Q22" s="11">
        <f t="shared" si="4"/>
        <v>0.199999999999932</v>
      </c>
      <c r="R22" s="11">
        <f t="shared" si="4"/>
        <v>-0.300000000000001</v>
      </c>
      <c r="S22" s="12">
        <f t="shared" si="5"/>
        <v>0.214814059999741</v>
      </c>
      <c r="T22" s="24">
        <v>3.1</v>
      </c>
      <c r="U22" s="6">
        <f t="shared" si="6"/>
        <v>89.8550724637681</v>
      </c>
      <c r="Y22" s="6"/>
      <c r="Z22" s="6"/>
      <c r="AA22" s="12">
        <f t="shared" si="7"/>
        <v>0.199999999999932</v>
      </c>
      <c r="AB22" s="30">
        <f t="shared" si="8"/>
        <v>-3</v>
      </c>
      <c r="AC22" s="30">
        <f t="shared" si="9"/>
        <v>3.1</v>
      </c>
      <c r="AD22" s="30">
        <f t="shared" si="10"/>
        <v>0</v>
      </c>
      <c r="AE22" s="31" t="e">
        <f t="shared" si="1"/>
        <v>#DIV/0!</v>
      </c>
      <c r="AF22" s="32" t="e">
        <f t="shared" si="2"/>
        <v>#DIV/0!</v>
      </c>
    </row>
    <row r="23" ht="14.25" spans="1:32">
      <c r="A23" t="s">
        <v>28</v>
      </c>
      <c r="B23" s="5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5"/>
      <c r="M23" s="5"/>
      <c r="N23" s="13">
        <f t="shared" si="3"/>
        <v>10.8</v>
      </c>
      <c r="O23" s="13">
        <f t="shared" si="3"/>
        <v>-0.100000000000001</v>
      </c>
      <c r="P23" s="14">
        <f t="shared" si="0"/>
        <v>40.5799592399998</v>
      </c>
      <c r="Q23" s="13">
        <f t="shared" si="4"/>
        <v>-0.400000000000091</v>
      </c>
      <c r="R23" s="13">
        <f t="shared" si="4"/>
        <v>-0.199999999999999</v>
      </c>
      <c r="S23" s="12">
        <f t="shared" si="5"/>
        <v>0</v>
      </c>
      <c r="T23" s="25">
        <v>2.9</v>
      </c>
      <c r="U23" s="5">
        <f t="shared" si="6"/>
        <v>84.0579710144928</v>
      </c>
      <c r="Y23" s="5"/>
      <c r="Z23" s="5"/>
      <c r="AA23" s="33">
        <f t="shared" si="7"/>
        <v>-0.400000000000091</v>
      </c>
      <c r="AB23" s="34">
        <f t="shared" si="8"/>
        <v>-3</v>
      </c>
      <c r="AC23" s="34">
        <f t="shared" si="9"/>
        <v>2.9</v>
      </c>
      <c r="AD23" s="34">
        <f t="shared" si="10"/>
        <v>0</v>
      </c>
      <c r="AE23" s="35" t="e">
        <f t="shared" si="1"/>
        <v>#DIV/0!</v>
      </c>
      <c r="AF23" s="36" t="e">
        <f t="shared" si="2"/>
        <v>#DIV/0!</v>
      </c>
    </row>
    <row r="24" spans="1:32">
      <c r="A24" t="s">
        <v>46</v>
      </c>
      <c r="B24" s="7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7"/>
      <c r="M24" s="7"/>
      <c r="N24" s="15">
        <f t="shared" si="3"/>
        <v>12.1</v>
      </c>
      <c r="O24" s="15">
        <f t="shared" si="3"/>
        <v>-0.5</v>
      </c>
      <c r="P24" s="16">
        <f t="shared" si="0"/>
        <v>44.7662506300001</v>
      </c>
      <c r="Q24" s="15">
        <f t="shared" si="4"/>
        <v>1</v>
      </c>
      <c r="R24" s="15">
        <f t="shared" si="4"/>
        <v>-0.400000000000002</v>
      </c>
      <c r="S24" s="26">
        <f t="shared" si="5"/>
        <v>3.0540703</v>
      </c>
      <c r="T24" s="27">
        <v>2.9</v>
      </c>
      <c r="U24" s="7">
        <f t="shared" si="6"/>
        <v>84.0579710144928</v>
      </c>
      <c r="Y24" s="7"/>
      <c r="Z24" s="7"/>
      <c r="AA24" s="37">
        <f t="shared" si="7"/>
        <v>1</v>
      </c>
      <c r="AB24" s="38">
        <f t="shared" si="8"/>
        <v>-2</v>
      </c>
      <c r="AC24" s="38">
        <f t="shared" si="9"/>
        <v>2.9</v>
      </c>
      <c r="AD24" s="38">
        <f t="shared" si="10"/>
        <v>0</v>
      </c>
      <c r="AE24" s="39" t="e">
        <f t="shared" si="1"/>
        <v>#DIV/0!</v>
      </c>
      <c r="AF24" s="40">
        <f t="shared" si="2"/>
        <v>3</v>
      </c>
    </row>
    <row r="25" spans="1:32">
      <c r="A25" t="s">
        <v>46</v>
      </c>
      <c r="B25" s="4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4"/>
      <c r="M25" s="4"/>
      <c r="N25" s="11">
        <f t="shared" si="3"/>
        <v>9.80000000000007</v>
      </c>
      <c r="O25" s="11">
        <f t="shared" si="3"/>
        <v>-0.399999999999999</v>
      </c>
      <c r="P25" s="12">
        <f t="shared" si="0"/>
        <v>36.2658889400003</v>
      </c>
      <c r="Q25" s="11">
        <f t="shared" si="4"/>
        <v>0.399999999999977</v>
      </c>
      <c r="R25" s="11">
        <f t="shared" si="4"/>
        <v>-0.299999999999997</v>
      </c>
      <c r="S25" s="12">
        <f t="shared" si="5"/>
        <v>0.969628119999919</v>
      </c>
      <c r="T25" s="24">
        <v>3</v>
      </c>
      <c r="U25" s="6">
        <f t="shared" si="6"/>
        <v>86.9565217391304</v>
      </c>
      <c r="Y25" s="4"/>
      <c r="Z25" s="4"/>
      <c r="AA25" s="12">
        <f t="shared" si="7"/>
        <v>0.399999999999977</v>
      </c>
      <c r="AB25" s="30">
        <f t="shared" si="8"/>
        <v>-3</v>
      </c>
      <c r="AC25" s="30">
        <f t="shared" si="9"/>
        <v>3</v>
      </c>
      <c r="AD25" s="30">
        <f t="shared" si="10"/>
        <v>0</v>
      </c>
      <c r="AE25" s="31" t="e">
        <f t="shared" si="1"/>
        <v>#DIV/0!</v>
      </c>
      <c r="AF25" s="32" t="e">
        <f t="shared" si="2"/>
        <v>#DIV/0!</v>
      </c>
    </row>
    <row r="26" spans="1:32">
      <c r="A26" t="s">
        <v>46</v>
      </c>
      <c r="B26" s="5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5"/>
      <c r="M26" s="5"/>
      <c r="N26" s="11">
        <f t="shared" si="3"/>
        <v>12.6</v>
      </c>
      <c r="O26" s="11">
        <f t="shared" si="3"/>
        <v>-0.400000000000002</v>
      </c>
      <c r="P26" s="12">
        <f t="shared" si="0"/>
        <v>46.8332857800001</v>
      </c>
      <c r="Q26" s="11">
        <f t="shared" si="4"/>
        <v>0.700000000000045</v>
      </c>
      <c r="R26" s="11">
        <f t="shared" si="4"/>
        <v>-0.100000000000001</v>
      </c>
      <c r="S26" s="12">
        <f t="shared" ref="S26:S37" si="11">IF(3.7*1.020019*(Q26)+1.8*(R26)&gt;=0,3.7*1.020019*(Q26)+1.8*(R26),0)</f>
        <v>2.46184921000017</v>
      </c>
      <c r="T26" s="23">
        <v>3.6</v>
      </c>
      <c r="U26" s="4">
        <f t="shared" si="6"/>
        <v>104.347826086957</v>
      </c>
      <c r="Y26" s="5"/>
      <c r="Z26" s="5"/>
      <c r="AA26" s="12">
        <f t="shared" si="7"/>
        <v>0.700000000000045</v>
      </c>
      <c r="AB26" s="30">
        <f t="shared" si="8"/>
        <v>-3</v>
      </c>
      <c r="AC26" s="30">
        <f t="shared" si="9"/>
        <v>3.6</v>
      </c>
      <c r="AD26" s="30">
        <f t="shared" si="10"/>
        <v>0</v>
      </c>
      <c r="AE26" s="31" t="e">
        <f t="shared" si="1"/>
        <v>#DIV/0!</v>
      </c>
      <c r="AF26" s="32">
        <f t="shared" si="2"/>
        <v>4</v>
      </c>
    </row>
    <row r="27" spans="1:32">
      <c r="A27" t="s">
        <v>46</v>
      </c>
      <c r="B27" s="4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4"/>
      <c r="M27" s="4"/>
      <c r="N27" s="11">
        <f t="shared" ref="N27:O37" si="12">E27-C27</f>
        <v>7</v>
      </c>
      <c r="O27" s="11">
        <f t="shared" si="12"/>
        <v>-0.400000000000002</v>
      </c>
      <c r="P27" s="12">
        <f t="shared" si="0"/>
        <v>25.6984921</v>
      </c>
      <c r="Q27" s="11">
        <f t="shared" ref="Q27:R37" si="13">G27-C27</f>
        <v>-3.89999999999998</v>
      </c>
      <c r="R27" s="11">
        <f t="shared" si="13"/>
        <v>-0.300000000000001</v>
      </c>
      <c r="S27" s="12">
        <f t="shared" si="11"/>
        <v>0</v>
      </c>
      <c r="T27" s="23">
        <v>3.4</v>
      </c>
      <c r="U27" s="4">
        <f t="shared" si="6"/>
        <v>98.5507246376812</v>
      </c>
      <c r="Y27" s="4"/>
      <c r="Z27" s="4"/>
      <c r="AA27" s="12">
        <f t="shared" si="7"/>
        <v>-3.89999999999998</v>
      </c>
      <c r="AB27" s="30">
        <f t="shared" si="8"/>
        <v>-7</v>
      </c>
      <c r="AC27" s="30">
        <f t="shared" si="9"/>
        <v>3.4</v>
      </c>
      <c r="AD27" s="30">
        <f t="shared" si="10"/>
        <v>0</v>
      </c>
      <c r="AE27" s="31" t="e">
        <f t="shared" si="1"/>
        <v>#DIV/0!</v>
      </c>
      <c r="AF27" s="32">
        <f t="shared" si="2"/>
        <v>-0.75</v>
      </c>
    </row>
    <row r="28" spans="1:32">
      <c r="A28" t="s">
        <v>46</v>
      </c>
      <c r="B28" s="4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4"/>
      <c r="M28" s="4"/>
      <c r="N28" s="11">
        <f t="shared" si="12"/>
        <v>10.6999999999999</v>
      </c>
      <c r="O28" s="11">
        <f t="shared" si="12"/>
        <v>-0.400000000000002</v>
      </c>
      <c r="P28" s="12">
        <f t="shared" si="0"/>
        <v>39.6625522099997</v>
      </c>
      <c r="Q28" s="11">
        <f t="shared" si="13"/>
        <v>-2.20000000000005</v>
      </c>
      <c r="R28" s="11">
        <f t="shared" si="13"/>
        <v>-0.300000000000001</v>
      </c>
      <c r="S28" s="12">
        <f t="shared" si="11"/>
        <v>0</v>
      </c>
      <c r="T28" s="24">
        <v>3.6</v>
      </c>
      <c r="U28" s="6">
        <f t="shared" si="6"/>
        <v>104.347826086957</v>
      </c>
      <c r="Y28" s="4"/>
      <c r="Z28" s="4"/>
      <c r="AA28" s="12">
        <f t="shared" si="7"/>
        <v>-2.20000000000005</v>
      </c>
      <c r="AB28" s="30">
        <f t="shared" si="8"/>
        <v>-6</v>
      </c>
      <c r="AC28" s="30">
        <f t="shared" si="9"/>
        <v>3.6</v>
      </c>
      <c r="AD28" s="30">
        <f t="shared" si="10"/>
        <v>0</v>
      </c>
      <c r="AE28" s="31" t="e">
        <f t="shared" si="1"/>
        <v>#DIV/0!</v>
      </c>
      <c r="AF28" s="32">
        <f t="shared" si="2"/>
        <v>-2</v>
      </c>
    </row>
    <row r="29" spans="1:32">
      <c r="A29" t="s">
        <v>46</v>
      </c>
      <c r="B29" s="5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5"/>
      <c r="M29" s="5"/>
      <c r="N29" s="11">
        <f t="shared" si="12"/>
        <v>9.60000000000002</v>
      </c>
      <c r="O29" s="11">
        <f t="shared" si="12"/>
        <v>-0.400000000000002</v>
      </c>
      <c r="P29" s="12">
        <f t="shared" si="0"/>
        <v>35.5110748800001</v>
      </c>
      <c r="Q29" s="11">
        <f t="shared" si="13"/>
        <v>0.5</v>
      </c>
      <c r="R29" s="11">
        <f t="shared" si="13"/>
        <v>-0.300000000000001</v>
      </c>
      <c r="S29" s="12">
        <f t="shared" si="11"/>
        <v>1.34703515</v>
      </c>
      <c r="T29" s="23">
        <v>3.2</v>
      </c>
      <c r="U29" s="4">
        <f t="shared" si="6"/>
        <v>92.7536231884058</v>
      </c>
      <c r="Y29" s="5"/>
      <c r="Z29" s="5"/>
      <c r="AA29" s="12">
        <f t="shared" si="7"/>
        <v>0.5</v>
      </c>
      <c r="AB29" s="30">
        <f t="shared" si="8"/>
        <v>-2</v>
      </c>
      <c r="AC29" s="30">
        <f t="shared" si="9"/>
        <v>3.2</v>
      </c>
      <c r="AD29" s="30">
        <f t="shared" si="10"/>
        <v>0</v>
      </c>
      <c r="AE29" s="31" t="e">
        <f t="shared" si="1"/>
        <v>#DIV/0!</v>
      </c>
      <c r="AF29" s="32">
        <f t="shared" si="2"/>
        <v>3</v>
      </c>
    </row>
    <row r="30" spans="1:32">
      <c r="A30" t="s">
        <v>46</v>
      </c>
      <c r="B30" s="4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4"/>
      <c r="M30" s="4"/>
      <c r="N30" s="11">
        <f t="shared" si="12"/>
        <v>2.89999999999998</v>
      </c>
      <c r="O30" s="11">
        <f t="shared" si="12"/>
        <v>-0.400000000000002</v>
      </c>
      <c r="P30" s="12">
        <f t="shared" si="0"/>
        <v>10.2248038699999</v>
      </c>
      <c r="Q30" s="11">
        <f t="shared" si="13"/>
        <v>-0.399999999999977</v>
      </c>
      <c r="R30" s="11">
        <f t="shared" si="13"/>
        <v>-0.300000000000001</v>
      </c>
      <c r="S30" s="12">
        <f t="shared" si="11"/>
        <v>0</v>
      </c>
      <c r="T30" s="23">
        <v>3</v>
      </c>
      <c r="U30" s="4">
        <f t="shared" si="6"/>
        <v>86.9565217391304</v>
      </c>
      <c r="Y30" s="4"/>
      <c r="Z30" s="4"/>
      <c r="AA30" s="12">
        <f t="shared" si="7"/>
        <v>-0.399999999999977</v>
      </c>
      <c r="AB30" s="30">
        <f t="shared" si="8"/>
        <v>-3</v>
      </c>
      <c r="AC30" s="30">
        <f t="shared" si="9"/>
        <v>3</v>
      </c>
      <c r="AD30" s="30">
        <f t="shared" si="10"/>
        <v>0</v>
      </c>
      <c r="AE30" s="31" t="e">
        <f t="shared" si="1"/>
        <v>#DIV/0!</v>
      </c>
      <c r="AF30" s="32" t="e">
        <f t="shared" si="2"/>
        <v>#DIV/0!</v>
      </c>
    </row>
    <row r="31" spans="1:32">
      <c r="A31" t="s">
        <v>46</v>
      </c>
      <c r="B31" s="4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4"/>
      <c r="M31" s="4"/>
      <c r="N31" s="11">
        <f t="shared" si="12"/>
        <v>5.10000000000002</v>
      </c>
      <c r="O31" s="11">
        <f t="shared" si="12"/>
        <v>-0.300000000000001</v>
      </c>
      <c r="P31" s="12">
        <f t="shared" si="0"/>
        <v>18.7077585300001</v>
      </c>
      <c r="Q31" s="11">
        <f t="shared" si="13"/>
        <v>0.100000000000023</v>
      </c>
      <c r="R31" s="11">
        <f t="shared" si="13"/>
        <v>-0.199999999999999</v>
      </c>
      <c r="S31" s="12">
        <f t="shared" si="11"/>
        <v>0.0174070300000871</v>
      </c>
      <c r="T31" s="24">
        <v>2</v>
      </c>
      <c r="U31" s="6">
        <f t="shared" si="6"/>
        <v>57.9710144927536</v>
      </c>
      <c r="Y31" s="4"/>
      <c r="Z31" s="4"/>
      <c r="AA31" s="12">
        <f t="shared" si="7"/>
        <v>0.100000000000023</v>
      </c>
      <c r="AB31" s="30">
        <f t="shared" si="8"/>
        <v>-2</v>
      </c>
      <c r="AC31" s="30">
        <f t="shared" si="9"/>
        <v>2</v>
      </c>
      <c r="AD31" s="30">
        <f t="shared" si="10"/>
        <v>0</v>
      </c>
      <c r="AE31" s="31" t="e">
        <f t="shared" si="1"/>
        <v>#DIV/0!</v>
      </c>
      <c r="AF31" s="32" t="e">
        <f t="shared" si="2"/>
        <v>#DIV/0!</v>
      </c>
    </row>
    <row r="32" spans="1:32">
      <c r="A32" t="s">
        <v>46</v>
      </c>
      <c r="B32" s="4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4"/>
      <c r="M32" s="4"/>
      <c r="N32" s="11">
        <f t="shared" si="12"/>
        <v>4.89999999999998</v>
      </c>
      <c r="O32" s="11">
        <f t="shared" si="12"/>
        <v>-0.300000000000001</v>
      </c>
      <c r="P32" s="12">
        <f t="shared" si="0"/>
        <v>17.9529444699999</v>
      </c>
      <c r="Q32" s="11">
        <f t="shared" si="13"/>
        <v>0.200000000000045</v>
      </c>
      <c r="R32" s="11">
        <f t="shared" si="13"/>
        <v>-0.199999999999999</v>
      </c>
      <c r="S32" s="12">
        <f t="shared" si="11"/>
        <v>0.394814060000173</v>
      </c>
      <c r="T32" s="23">
        <v>1.4</v>
      </c>
      <c r="U32" s="4">
        <f t="shared" si="6"/>
        <v>40.5797101449275</v>
      </c>
      <c r="Y32" s="4"/>
      <c r="Z32" s="4"/>
      <c r="AA32" s="12">
        <f t="shared" si="7"/>
        <v>0.200000000000045</v>
      </c>
      <c r="AB32" s="30">
        <f t="shared" si="8"/>
        <v>-1</v>
      </c>
      <c r="AC32" s="30">
        <f t="shared" si="9"/>
        <v>1.4</v>
      </c>
      <c r="AD32" s="30">
        <f t="shared" si="10"/>
        <v>0</v>
      </c>
      <c r="AE32" s="31" t="e">
        <f t="shared" si="1"/>
        <v>#DIV/0!</v>
      </c>
      <c r="AF32" s="32" t="e">
        <f t="shared" si="2"/>
        <v>#DIV/0!</v>
      </c>
    </row>
    <row r="33" spans="1:32">
      <c r="A33" t="s">
        <v>46</v>
      </c>
      <c r="B33" s="6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6"/>
      <c r="M33" s="6"/>
      <c r="N33" s="11">
        <f t="shared" si="12"/>
        <v>0.799999999999955</v>
      </c>
      <c r="O33" s="11">
        <f t="shared" si="12"/>
        <v>-0.400000000000002</v>
      </c>
      <c r="P33" s="12">
        <f t="shared" si="0"/>
        <v>2.29925623999982</v>
      </c>
      <c r="Q33" s="11">
        <f t="shared" si="13"/>
        <v>-0.300000000000068</v>
      </c>
      <c r="R33" s="11">
        <f t="shared" si="13"/>
        <v>-0.300000000000001</v>
      </c>
      <c r="S33" s="12">
        <f t="shared" si="11"/>
        <v>0</v>
      </c>
      <c r="T33" s="23">
        <v>1.1</v>
      </c>
      <c r="U33" s="4">
        <f t="shared" si="6"/>
        <v>31.8840579710145</v>
      </c>
      <c r="Y33" s="6"/>
      <c r="Z33" s="6"/>
      <c r="AA33" s="12">
        <f t="shared" si="7"/>
        <v>-0.300000000000068</v>
      </c>
      <c r="AB33" s="30">
        <f t="shared" si="8"/>
        <v>-1</v>
      </c>
      <c r="AC33" s="30">
        <f t="shared" si="9"/>
        <v>1.1</v>
      </c>
      <c r="AD33" s="30">
        <f t="shared" si="10"/>
        <v>0</v>
      </c>
      <c r="AE33" s="31" t="e">
        <f t="shared" si="1"/>
        <v>#DIV/0!</v>
      </c>
      <c r="AF33" s="32" t="e">
        <f t="shared" si="2"/>
        <v>#DIV/0!</v>
      </c>
    </row>
    <row r="34" spans="1:32">
      <c r="A34" t="s">
        <v>46</v>
      </c>
      <c r="B34" s="4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4"/>
      <c r="M34" s="4"/>
      <c r="N34" s="11">
        <f t="shared" si="12"/>
        <v>2.30000000000007</v>
      </c>
      <c r="O34" s="11">
        <f t="shared" si="12"/>
        <v>-0.300000000000001</v>
      </c>
      <c r="P34" s="12">
        <f t="shared" si="0"/>
        <v>8.14036169000026</v>
      </c>
      <c r="Q34" s="11">
        <f t="shared" si="13"/>
        <v>-0.199999999999932</v>
      </c>
      <c r="R34" s="11">
        <f t="shared" si="13"/>
        <v>-0.199999999999999</v>
      </c>
      <c r="S34" s="12">
        <f t="shared" si="11"/>
        <v>0</v>
      </c>
      <c r="T34" s="24">
        <v>0.8</v>
      </c>
      <c r="U34" s="6">
        <f t="shared" si="6"/>
        <v>23.1884057971014</v>
      </c>
      <c r="Y34" s="4"/>
      <c r="Z34" s="4"/>
      <c r="AA34" s="12">
        <f t="shared" si="7"/>
        <v>-0.199999999999932</v>
      </c>
      <c r="AB34" s="30">
        <f t="shared" si="8"/>
        <v>-1</v>
      </c>
      <c r="AC34" s="30">
        <f t="shared" si="9"/>
        <v>0.8</v>
      </c>
      <c r="AD34" s="30">
        <f t="shared" si="10"/>
        <v>0</v>
      </c>
      <c r="AE34" s="31" t="e">
        <f t="shared" si="1"/>
        <v>#DIV/0!</v>
      </c>
      <c r="AF34" s="32" t="e">
        <f t="shared" si="2"/>
        <v>#DIV/0!</v>
      </c>
    </row>
    <row r="35" spans="1:32">
      <c r="A35" t="s">
        <v>46</v>
      </c>
      <c r="B35" s="4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4"/>
      <c r="M35" s="4"/>
      <c r="N35" s="11">
        <f t="shared" si="12"/>
        <v>2.89999999999998</v>
      </c>
      <c r="O35" s="11">
        <f t="shared" si="12"/>
        <v>-0.300000000000001</v>
      </c>
      <c r="P35" s="12">
        <f t="shared" si="0"/>
        <v>10.4048038699999</v>
      </c>
      <c r="Q35" s="11">
        <f t="shared" si="13"/>
        <v>0.399999999999977</v>
      </c>
      <c r="R35" s="11">
        <f t="shared" si="13"/>
        <v>-0.199999999999999</v>
      </c>
      <c r="S35" s="12">
        <f t="shared" si="11"/>
        <v>1.14962811999992</v>
      </c>
      <c r="T35" s="23">
        <v>0.6</v>
      </c>
      <c r="U35" s="4">
        <f t="shared" si="6"/>
        <v>17.3913043478261</v>
      </c>
      <c r="Y35" s="4"/>
      <c r="Z35" s="4"/>
      <c r="AA35" s="12">
        <f t="shared" si="7"/>
        <v>0.399999999999977</v>
      </c>
      <c r="AB35" s="30">
        <f t="shared" si="8"/>
        <v>-1</v>
      </c>
      <c r="AC35" s="30">
        <f t="shared" si="9"/>
        <v>0.6</v>
      </c>
      <c r="AD35" s="30">
        <f t="shared" si="10"/>
        <v>0</v>
      </c>
      <c r="AE35" s="31" t="e">
        <f t="shared" si="1"/>
        <v>#DIV/0!</v>
      </c>
      <c r="AF35" s="32" t="e">
        <f t="shared" si="2"/>
        <v>#DIV/0!</v>
      </c>
    </row>
    <row r="36" spans="1:32">
      <c r="A36" t="s">
        <v>46</v>
      </c>
      <c r="B36" s="6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6"/>
      <c r="M36" s="6"/>
      <c r="N36" s="11">
        <f t="shared" si="12"/>
        <v>2</v>
      </c>
      <c r="O36" s="11">
        <f t="shared" si="12"/>
        <v>-0.300000000000001</v>
      </c>
      <c r="P36" s="12">
        <f t="shared" si="0"/>
        <v>7.0081406</v>
      </c>
      <c r="Q36" s="11">
        <f t="shared" si="13"/>
        <v>0.0999999999999091</v>
      </c>
      <c r="R36" s="11">
        <f t="shared" si="13"/>
        <v>-0.300000000000001</v>
      </c>
      <c r="S36" s="12">
        <f t="shared" si="11"/>
        <v>0</v>
      </c>
      <c r="T36" s="23">
        <v>0.4</v>
      </c>
      <c r="U36" s="4">
        <f t="shared" si="6"/>
        <v>11.5942028985507</v>
      </c>
      <c r="Y36" s="6"/>
      <c r="Z36" s="6"/>
      <c r="AA36" s="12">
        <f t="shared" si="7"/>
        <v>0.0999999999999091</v>
      </c>
      <c r="AB36" s="30">
        <f t="shared" si="8"/>
        <v>0</v>
      </c>
      <c r="AC36" s="30">
        <f t="shared" si="9"/>
        <v>0.4</v>
      </c>
      <c r="AD36" s="30">
        <f t="shared" si="10"/>
        <v>0</v>
      </c>
      <c r="AE36" s="31" t="e">
        <f t="shared" si="1"/>
        <v>#DIV/0!</v>
      </c>
      <c r="AF36" s="32" t="e">
        <f t="shared" si="2"/>
        <v>#DIV/0!</v>
      </c>
    </row>
    <row r="37" spans="1:32">
      <c r="A37" t="s">
        <v>46</v>
      </c>
      <c r="B37" s="4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5"/>
      <c r="M37" s="5"/>
      <c r="N37" s="11">
        <f t="shared" si="12"/>
        <v>1.59999999999991</v>
      </c>
      <c r="O37" s="11">
        <f t="shared" si="12"/>
        <v>-0.199999999999999</v>
      </c>
      <c r="P37" s="12">
        <f t="shared" si="0"/>
        <v>5.67851247999966</v>
      </c>
      <c r="Q37" s="11">
        <f t="shared" si="13"/>
        <v>-0.400000000000091</v>
      </c>
      <c r="R37" s="11">
        <f t="shared" si="13"/>
        <v>-0.300000000000001</v>
      </c>
      <c r="S37" s="12">
        <f t="shared" si="11"/>
        <v>0</v>
      </c>
      <c r="T37" s="24">
        <v>0.3</v>
      </c>
      <c r="U37" s="6">
        <f t="shared" si="6"/>
        <v>8.69565217391304</v>
      </c>
      <c r="Y37" s="5"/>
      <c r="Z37" s="5"/>
      <c r="AA37" s="12">
        <f t="shared" si="7"/>
        <v>-0.400000000000091</v>
      </c>
      <c r="AB37" s="30">
        <f t="shared" si="8"/>
        <v>0</v>
      </c>
      <c r="AC37" s="30">
        <f t="shared" si="9"/>
        <v>0.3</v>
      </c>
      <c r="AD37" s="30">
        <f t="shared" si="10"/>
        <v>0</v>
      </c>
      <c r="AE37" s="31" t="e">
        <f t="shared" si="1"/>
        <v>#DIV/0!</v>
      </c>
      <c r="AF37" s="32" t="e">
        <f t="shared" si="2"/>
        <v>#DIV/0!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361950</xdr:colOff>
                    <xdr:row>8</xdr:row>
                    <xdr:rowOff>133350</xdr:rowOff>
                  </from>
                  <to>
                    <xdr:col>10</xdr:col>
                    <xdr:colOff>38100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371475</xdr:colOff>
                    <xdr:row>6</xdr:row>
                    <xdr:rowOff>47625</xdr:rowOff>
                  </from>
                  <to>
                    <xdr:col>9</xdr:col>
                    <xdr:colOff>647700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19</v>
      </c>
      <c r="C1" t="s">
        <v>20</v>
      </c>
      <c r="E1" t="s">
        <v>19</v>
      </c>
      <c r="F1" t="s">
        <v>20</v>
      </c>
    </row>
    <row r="2" spans="1:6">
      <c r="A2" t="s">
        <v>36</v>
      </c>
      <c r="B2">
        <v>0.97</v>
      </c>
      <c r="C2">
        <v>2.342</v>
      </c>
      <c r="D2" t="s">
        <v>36</v>
      </c>
      <c r="E2">
        <v>0.97</v>
      </c>
      <c r="F2">
        <v>2.342</v>
      </c>
    </row>
    <row r="3" spans="1:6">
      <c r="A3" t="s">
        <v>37</v>
      </c>
      <c r="B3">
        <v>1.28</v>
      </c>
      <c r="C3">
        <v>3.079</v>
      </c>
      <c r="D3" t="s">
        <v>37</v>
      </c>
      <c r="E3">
        <v>1.28</v>
      </c>
      <c r="F3">
        <v>3.079</v>
      </c>
    </row>
    <row r="4" spans="1:6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>
      <c r="A5" t="s">
        <v>39</v>
      </c>
      <c r="B5">
        <v>2.03</v>
      </c>
      <c r="C5">
        <v>5.16</v>
      </c>
      <c r="D5" t="s">
        <v>39</v>
      </c>
      <c r="E5">
        <v>5</v>
      </c>
      <c r="F5">
        <v>5.16</v>
      </c>
    </row>
    <row r="6" spans="1:6">
      <c r="A6" t="s">
        <v>40</v>
      </c>
      <c r="B6">
        <v>2.5</v>
      </c>
      <c r="C6">
        <v>5.953</v>
      </c>
      <c r="D6" t="s">
        <v>40</v>
      </c>
      <c r="E6">
        <v>2.5</v>
      </c>
      <c r="F6">
        <v>5.953</v>
      </c>
    </row>
    <row r="7" spans="1:6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>
      <c r="A9" t="s">
        <v>43</v>
      </c>
      <c r="B9">
        <v>3.1</v>
      </c>
      <c r="C9">
        <v>7.268</v>
      </c>
      <c r="D9" t="s">
        <v>43</v>
      </c>
      <c r="E9">
        <v>3.1</v>
      </c>
      <c r="F9">
        <v>7.268</v>
      </c>
    </row>
    <row r="10" spans="1:6">
      <c r="A10" t="s">
        <v>44</v>
      </c>
      <c r="B10">
        <v>2.77</v>
      </c>
      <c r="C10">
        <v>6.793</v>
      </c>
      <c r="D10" t="s">
        <v>44</v>
      </c>
      <c r="E10">
        <v>2.77</v>
      </c>
      <c r="F10">
        <v>6.793</v>
      </c>
    </row>
    <row r="11" spans="1:6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2018-12-13T08:33:10Z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