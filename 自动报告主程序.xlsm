
<file path=[Content_Types].xml><?xml version="1.0" encoding="utf-8"?>
<Types xmlns="http://schemas.openxmlformats.org/package/2006/content-types">
  <Default Extension="vml" ContentType="application/vnd.openxmlformats-officedocument.vmlDrawing"/>
  <Default Extension="png" ContentType="image/p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harts/chart1.xml" ContentType="application/vnd.openxmlformats-officedocument.drawingml.chart+xml"/>
  <Override PartName="/xl/charts/chart10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olors1.xml" ContentType="application/vnd.ms-office.chartcolorstyle+xml"/>
  <Override PartName="/xl/charts/colors10.xml" ContentType="application/vnd.ms-office.chartcolorstyle+xml"/>
  <Override PartName="/xl/charts/colors2.xml" ContentType="application/vnd.ms-office.chartcolorstyle+xml"/>
  <Override PartName="/xl/charts/colors3.xml" ContentType="application/vnd.ms-office.chartcolorstyle+xml"/>
  <Override PartName="/xl/charts/colors4.xml" ContentType="application/vnd.ms-office.chartcolorstyle+xml"/>
  <Override PartName="/xl/charts/colors5.xml" ContentType="application/vnd.ms-office.chartcolorstyle+xml"/>
  <Override PartName="/xl/charts/colors6.xml" ContentType="application/vnd.ms-office.chartcolorstyle+xml"/>
  <Override PartName="/xl/charts/colors7.xml" ContentType="application/vnd.ms-office.chartcolorstyle+xml"/>
  <Override PartName="/xl/charts/colors8.xml" ContentType="application/vnd.ms-office.chartcolorstyle+xml"/>
  <Override PartName="/xl/charts/colors9.xml" ContentType="application/vnd.ms-office.chartcolorstyle+xml"/>
  <Override PartName="/xl/charts/style1.xml" ContentType="application/vnd.ms-office.chartstyle+xml"/>
  <Override PartName="/xl/charts/style10.xml" ContentType="application/vnd.ms-office.chartstyle+xml"/>
  <Override PartName="/xl/charts/style2.xml" ContentType="application/vnd.ms-office.chartstyle+xml"/>
  <Override PartName="/xl/charts/style3.xml" ContentType="application/vnd.ms-office.chartstyle+xml"/>
  <Override PartName="/xl/charts/style4.xml" ContentType="application/vnd.ms-office.chartstyle+xml"/>
  <Override PartName="/xl/charts/style5.xml" ContentType="application/vnd.ms-office.chartstyle+xml"/>
  <Override PartName="/xl/charts/style6.xml" ContentType="application/vnd.ms-office.chartstyle+xml"/>
  <Override PartName="/xl/charts/style7.xml" ContentType="application/vnd.ms-office.chartstyle+xml"/>
  <Override PartName="/xl/charts/style8.xml" ContentType="application/vnd.ms-office.chartstyle+xml"/>
  <Override PartName="/xl/charts/style9.xml" ContentType="application/vnd.ms-office.chartstyle+xml"/>
  <Override PartName="/xl/comments1.xml" ContentType="application/vnd.openxmlformats-officedocument.spreadsheetml.comments+xml"/>
  <Override PartName="/xl/ctrlProps/ctrlProp1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1.xml" ContentType="application/vnd.openxmlformats-officedocument.drawing+xml"/>
  <Override PartName="/xl/drawings/drawing10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4180" windowHeight="13065"/>
  </bookViews>
  <sheets>
    <sheet name="首页" sheetId="8" r:id="rId1"/>
    <sheet name="仪器管理" sheetId="11" r:id="rId2"/>
    <sheet name="挠度" sheetId="1" r:id="rId3"/>
    <sheet name="应变" sheetId="2" r:id="rId4"/>
    <sheet name="栏杆推力" sheetId="9" r:id="rId5"/>
    <sheet name="生成Word报告" sheetId="4" r:id="rId6"/>
    <sheet name="原始记录" sheetId="10" r:id="rId7"/>
    <sheet name="水准测量转换" sheetId="7" r:id="rId8"/>
    <sheet name="草稿" sheetId="3" r:id="rId9"/>
    <sheet name="应变测试" sheetId="6" state="hidden" r:id="rId10"/>
    <sheet name="挠度测试" sheetId="5" state="hidden" r:id="rId11"/>
  </sheets>
  <definedNames>
    <definedName name="_xlnm._FilterDatabase" localSheetId="1" hidden="1">仪器管理!$L$9:$R$27</definedName>
  </definedNames>
  <calcPr calcId="144525" refMode="R1C1"/>
</workbook>
</file>

<file path=xl/comments1.xml><?xml version="1.0" encoding="utf-8"?>
<comments xmlns="http://schemas.openxmlformats.org/spreadsheetml/2006/main">
  <authors>
    <author>林迪南</author>
  </authors>
  <commentList>
    <comment ref="K13" authorId="0">
      <text>
        <r>
          <rPr>
            <b/>
            <sz val="9"/>
            <rFont val="宋体"/>
            <charset val="134"/>
          </rPr>
          <t>林迪南:</t>
        </r>
        <r>
          <rPr>
            <sz val="9"/>
            <rFont val="宋体"/>
            <charset val="134"/>
          </rPr>
          <t xml:space="preserve">
可填写1、2或不填
不填或填1：基康应变计
填2：长沙金码JMZX-212HAT
</t>
        </r>
      </text>
    </comment>
  </commentList>
</comments>
</file>

<file path=xl/sharedStrings.xml><?xml version="1.0" encoding="utf-8"?>
<sst xmlns="http://schemas.openxmlformats.org/spreadsheetml/2006/main" count="888" uniqueCount="235">
  <si>
    <t>临界校准日期</t>
  </si>
  <si>
    <t>排序</t>
  </si>
  <si>
    <t>特征字符串</t>
  </si>
  <si>
    <t>特征型号</t>
  </si>
  <si>
    <t>报告名称</t>
  </si>
  <si>
    <t>序号</t>
  </si>
  <si>
    <t>报告资产名称</t>
  </si>
  <si>
    <t>资产名称</t>
  </si>
  <si>
    <t>资产编号</t>
  </si>
  <si>
    <t>规格型号</t>
  </si>
  <si>
    <t>旧系统仪器设备编号</t>
  </si>
  <si>
    <t>校准有效期至</t>
  </si>
  <si>
    <t>选择</t>
  </si>
  <si>
    <t>数量</t>
  </si>
  <si>
    <t>仪器名称</t>
  </si>
  <si>
    <t>型号规格</t>
  </si>
  <si>
    <t>管理编号</t>
  </si>
  <si>
    <t>数据库文件名</t>
  </si>
  <si>
    <t>校准通知.xls</t>
  </si>
  <si>
    <t>皮尺</t>
  </si>
  <si>
    <t>钢卷尺</t>
  </si>
  <si>
    <t>(0～5)m</t>
  </si>
  <si>
    <t>(0～30)m</t>
  </si>
  <si>
    <t>水准仪</t>
  </si>
  <si>
    <t>百分表</t>
  </si>
  <si>
    <t>(0～10)mm</t>
  </si>
  <si>
    <t>(0～30)mm</t>
  </si>
  <si>
    <t>振弦式读数仪</t>
  </si>
  <si>
    <t>无线遥测静态应变测试分析系统</t>
  </si>
  <si>
    <t>TST3821E</t>
  </si>
  <si>
    <t>桥梁实验模态无线测试分析系统</t>
  </si>
  <si>
    <t>TST5926E</t>
  </si>
  <si>
    <t>无线遥测振动(索力)测试分析系统</t>
  </si>
  <si>
    <t>TST5927</t>
  </si>
  <si>
    <t>无线遥测动态应变测试分析系统</t>
  </si>
  <si>
    <t>TST5925EV</t>
  </si>
  <si>
    <t>动态信号</t>
  </si>
  <si>
    <t>动态信号采集及分析系统</t>
  </si>
  <si>
    <t>动态信号测试分析系统</t>
  </si>
  <si>
    <t>DH5920</t>
  </si>
  <si>
    <t>回弹仪</t>
  </si>
  <si>
    <t>钢筋扫描</t>
  </si>
  <si>
    <t>钢筋扫描仪</t>
  </si>
  <si>
    <t>裂缝宽度</t>
  </si>
  <si>
    <t>裂缝宽度监测仪</t>
  </si>
  <si>
    <t>钢筋锈蚀仪</t>
  </si>
  <si>
    <t>贯入式砂浆强度</t>
  </si>
  <si>
    <t>贯入式砂浆强度检测仪</t>
  </si>
  <si>
    <t>混凝土电阻率仪</t>
  </si>
  <si>
    <t>全站仪</t>
  </si>
  <si>
    <t>挠度组数</t>
  </si>
  <si>
    <t>组1测点数</t>
  </si>
  <si>
    <t>组2测点数</t>
  </si>
  <si>
    <t>组3测点数</t>
  </si>
  <si>
    <t>组4测点数</t>
  </si>
  <si>
    <t>组5测点数</t>
  </si>
  <si>
    <t>组6测点数</t>
  </si>
  <si>
    <t>组7测点数</t>
  </si>
  <si>
    <t>组8测点数</t>
  </si>
  <si>
    <t>组9测点数</t>
  </si>
  <si>
    <t>组10测点数</t>
  </si>
  <si>
    <t>截图区</t>
  </si>
  <si>
    <t>报告工况</t>
  </si>
  <si>
    <t>若图片数量少于组数，则图片不会黏贴到word中</t>
  </si>
  <si>
    <t>组名称</t>
  </si>
  <si>
    <r>
      <rPr>
        <sz val="11"/>
        <color theme="1"/>
        <rFont val="等线"/>
        <charset val="134"/>
      </rPr>
      <t>A-</t>
    </r>
    <r>
      <rPr>
        <sz val="11"/>
        <color theme="1"/>
        <rFont val="等线"/>
        <charset val="134"/>
      </rPr>
      <t>A</t>
    </r>
  </si>
  <si>
    <r>
      <rPr>
        <sz val="11"/>
        <color theme="1"/>
        <rFont val="等线"/>
        <charset val="134"/>
      </rPr>
      <t>C</t>
    </r>
    <r>
      <rPr>
        <sz val="11"/>
        <color theme="1"/>
        <rFont val="等线"/>
        <charset val="134"/>
      </rPr>
      <t>-C</t>
    </r>
  </si>
  <si>
    <t>D-D</t>
  </si>
  <si>
    <t>最大弹性位移</t>
  </si>
  <si>
    <t>最小校验系数</t>
  </si>
  <si>
    <t>最大校验系数</t>
  </si>
  <si>
    <t>最小相对残余变形</t>
  </si>
  <si>
    <t>最大相对残余变形</t>
  </si>
  <si>
    <t>报告数据</t>
  </si>
  <si>
    <t>组</t>
  </si>
  <si>
    <t>测点</t>
  </si>
  <si>
    <t>初读</t>
  </si>
  <si>
    <t>满载
读数</t>
  </si>
  <si>
    <t>卸载
读数</t>
  </si>
  <si>
    <t>理论</t>
  </si>
  <si>
    <t>实测值(mm)</t>
  </si>
  <si>
    <t>满载理论值(mm)</t>
  </si>
  <si>
    <t>校验系数</t>
  </si>
  <si>
    <t>相对残余变形</t>
  </si>
  <si>
    <t>增量</t>
  </si>
  <si>
    <t>总变形</t>
  </si>
  <si>
    <t>弹性变形</t>
  </si>
  <si>
    <t>残余变形</t>
  </si>
  <si>
    <t>一</t>
  </si>
  <si>
    <t>1#</t>
  </si>
  <si>
    <t>2#</t>
  </si>
  <si>
    <t>3#</t>
  </si>
  <si>
    <t>4#</t>
  </si>
  <si>
    <t>5#</t>
  </si>
  <si>
    <t>6#</t>
  </si>
  <si>
    <t>7#</t>
  </si>
  <si>
    <t>8#</t>
  </si>
  <si>
    <t>9#</t>
  </si>
  <si>
    <t>10#</t>
  </si>
  <si>
    <t>11#</t>
  </si>
  <si>
    <t>12#</t>
  </si>
  <si>
    <t>13#</t>
  </si>
  <si>
    <t>14#</t>
  </si>
  <si>
    <t>二</t>
  </si>
  <si>
    <t>15#</t>
  </si>
  <si>
    <t>16#</t>
  </si>
  <si>
    <t>17#</t>
  </si>
  <si>
    <t>18#</t>
  </si>
  <si>
    <t>19#</t>
  </si>
  <si>
    <t>20#</t>
  </si>
  <si>
    <t>21#</t>
  </si>
  <si>
    <t>22#</t>
  </si>
  <si>
    <t>三</t>
  </si>
  <si>
    <t>23#</t>
  </si>
  <si>
    <t>24#</t>
  </si>
  <si>
    <t>25#</t>
  </si>
  <si>
    <t>应变组数</t>
  </si>
  <si>
    <t>组名</t>
  </si>
  <si>
    <r>
      <rPr>
        <sz val="11"/>
        <color theme="1"/>
        <rFont val="等线"/>
        <charset val="134"/>
      </rPr>
      <t>A</t>
    </r>
    <r>
      <rPr>
        <sz val="11"/>
        <color theme="1"/>
        <rFont val="等线"/>
        <charset val="134"/>
      </rPr>
      <t>-A</t>
    </r>
  </si>
  <si>
    <t>B-B</t>
  </si>
  <si>
    <t>最大弹性应变</t>
  </si>
  <si>
    <t>报告工况指报告中对应的工况号</t>
  </si>
  <si>
    <t xml:space="preserve"> </t>
  </si>
  <si>
    <t>最小相对残余应变</t>
  </si>
  <si>
    <t>最大相对残余应变</t>
  </si>
  <si>
    <t>基康应变计算公式（温度是否需要修正应视具体情况而定）</t>
  </si>
  <si>
    <t>其中G=3.7，C=1.020019</t>
  </si>
  <si>
    <t>试验数据</t>
  </si>
  <si>
    <t>理论数据</t>
  </si>
  <si>
    <t>应变计算</t>
  </si>
  <si>
    <t>初始读数</t>
  </si>
  <si>
    <t>满载</t>
  </si>
  <si>
    <t>卸载</t>
  </si>
  <si>
    <r>
      <rPr>
        <sz val="12"/>
        <color indexed="16"/>
        <rFont val="宋体"/>
        <charset val="134"/>
      </rPr>
      <t>满载理论值(</t>
    </r>
    <r>
      <rPr>
        <sz val="12"/>
        <color indexed="16"/>
        <rFont val="宋体"/>
        <charset val="134"/>
      </rPr>
      <t>Mpa</t>
    </r>
    <r>
      <rPr>
        <sz val="12"/>
        <color indexed="16"/>
        <rFont val="宋体"/>
        <charset val="134"/>
      </rPr>
      <t>)</t>
    </r>
  </si>
  <si>
    <t>满载理论值(με)</t>
  </si>
  <si>
    <t>仪器类型</t>
  </si>
  <si>
    <t>工况</t>
  </si>
  <si>
    <t>实测值(με)</t>
  </si>
  <si>
    <t>相对残余应变</t>
  </si>
  <si>
    <t>模数R</t>
  </si>
  <si>
    <t>温度</t>
  </si>
  <si>
    <t>温度T</t>
  </si>
  <si>
    <t>模数计算</t>
  </si>
  <si>
    <t>温度计算</t>
  </si>
  <si>
    <t>应变</t>
  </si>
  <si>
    <t>残余应变</t>
  </si>
  <si>
    <t>总应变</t>
  </si>
  <si>
    <t>弹性应变</t>
  </si>
  <si>
    <t>A-1</t>
  </si>
  <si>
    <t>A-2</t>
  </si>
  <si>
    <t>A-3</t>
  </si>
  <si>
    <t>A-4</t>
  </si>
  <si>
    <t>A-5</t>
  </si>
  <si>
    <t>A-6</t>
  </si>
  <si>
    <t>A-7</t>
  </si>
  <si>
    <t>A-8</t>
  </si>
  <si>
    <t>A-9</t>
  </si>
  <si>
    <t>A-10</t>
  </si>
  <si>
    <t>A-11</t>
  </si>
  <si>
    <t>A-12</t>
  </si>
  <si>
    <t>A-13</t>
  </si>
  <si>
    <t>A-14</t>
  </si>
  <si>
    <t>A-15</t>
  </si>
  <si>
    <t>A-16</t>
  </si>
  <si>
    <t>A-17</t>
  </si>
  <si>
    <t>A-18</t>
  </si>
  <si>
    <t>A-19</t>
  </si>
  <si>
    <t>A-20</t>
  </si>
  <si>
    <t>A-21</t>
  </si>
  <si>
    <t>A-22</t>
  </si>
  <si>
    <t>A-23</t>
  </si>
  <si>
    <t>A-24</t>
  </si>
  <si>
    <t>A-25</t>
  </si>
  <si>
    <t>测点数</t>
  </si>
  <si>
    <t>加载级数</t>
  </si>
  <si>
    <t>分级</t>
  </si>
  <si>
    <t>残余变形(mm)</t>
  </si>
  <si>
    <t>1级</t>
  </si>
  <si>
    <t>/</t>
  </si>
  <si>
    <t>2级</t>
  </si>
  <si>
    <t>3级</t>
  </si>
  <si>
    <t>4级</t>
  </si>
  <si>
    <t>5级</t>
  </si>
  <si>
    <t>退载</t>
  </si>
  <si>
    <t>请先计算位移和应变，再导出Word报告</t>
  </si>
  <si>
    <t>后视点</t>
  </si>
  <si>
    <t>前示读数（m)</t>
  </si>
  <si>
    <t>后示读数（m)</t>
  </si>
  <si>
    <t>高程（m)</t>
  </si>
  <si>
    <t>换算百分表读数（mm）</t>
  </si>
  <si>
    <t>输入示例：</t>
  </si>
  <si>
    <t>前示读数</t>
  </si>
  <si>
    <t>后示读数</t>
  </si>
  <si>
    <t>JD1</t>
  </si>
  <si>
    <t>JD</t>
  </si>
  <si>
    <t>Z1</t>
  </si>
  <si>
    <t>Z2</t>
  </si>
  <si>
    <t>Z3</t>
  </si>
  <si>
    <t>Y1</t>
  </si>
  <si>
    <t>Y2</t>
  </si>
  <si>
    <t>Y3</t>
  </si>
  <si>
    <t>Z4</t>
  </si>
  <si>
    <t>Z5</t>
  </si>
  <si>
    <t>Y4</t>
  </si>
  <si>
    <r>
      <rPr>
        <sz val="11"/>
        <color theme="1"/>
        <rFont val="宋体"/>
        <charset val="134"/>
      </rPr>
      <t>1</t>
    </r>
    <r>
      <rPr>
        <sz val="11"/>
        <color theme="1"/>
        <rFont val="等线"/>
        <charset val="134"/>
      </rPr>
      <t>0#</t>
    </r>
  </si>
  <si>
    <r>
      <rPr>
        <sz val="11"/>
        <color theme="1"/>
        <rFont val="宋体"/>
        <charset val="134"/>
      </rPr>
      <t>1</t>
    </r>
    <r>
      <rPr>
        <sz val="11"/>
        <color theme="1"/>
        <rFont val="等线"/>
        <charset val="134"/>
      </rPr>
      <t>1#</t>
    </r>
  </si>
  <si>
    <r>
      <rPr>
        <sz val="11"/>
        <color theme="1"/>
        <rFont val="宋体"/>
        <charset val="134"/>
      </rPr>
      <t>Z</t>
    </r>
    <r>
      <rPr>
        <sz val="11"/>
        <color theme="1"/>
        <rFont val="等线"/>
        <charset val="134"/>
      </rPr>
      <t>D1</t>
    </r>
  </si>
  <si>
    <r>
      <rPr>
        <sz val="11"/>
        <color theme="1"/>
        <rFont val="等线"/>
        <charset val="134"/>
      </rPr>
      <t>9</t>
    </r>
    <r>
      <rPr>
        <sz val="11"/>
        <color theme="1"/>
        <rFont val="等线"/>
        <charset val="134"/>
      </rPr>
      <t>#</t>
    </r>
  </si>
  <si>
    <r>
      <rPr>
        <sz val="11"/>
        <color theme="1"/>
        <rFont val="宋体"/>
        <charset val="134"/>
      </rPr>
      <t>1</t>
    </r>
    <r>
      <rPr>
        <sz val="11"/>
        <color theme="1"/>
        <rFont val="等线"/>
        <charset val="134"/>
      </rPr>
      <t>2#</t>
    </r>
  </si>
  <si>
    <t>Z6</t>
  </si>
  <si>
    <t>Z7</t>
  </si>
  <si>
    <t>Z8</t>
  </si>
  <si>
    <t>Z9</t>
  </si>
  <si>
    <t>Z10</t>
  </si>
  <si>
    <t>Z11</t>
  </si>
  <si>
    <t>Z12</t>
  </si>
  <si>
    <t>Z13</t>
  </si>
  <si>
    <t>Z14</t>
  </si>
  <si>
    <t>应变工况数</t>
  </si>
  <si>
    <t>工况1测点数</t>
  </si>
  <si>
    <t>工况2测点数</t>
  </si>
  <si>
    <t>工况3测点数</t>
  </si>
  <si>
    <t>工况4测点数</t>
  </si>
  <si>
    <t>工况5测点数</t>
  </si>
  <si>
    <t>工况6测点数</t>
  </si>
  <si>
    <t>工况7测点数</t>
  </si>
  <si>
    <t>工况8测点数</t>
  </si>
  <si>
    <t>工况9测点数</t>
  </si>
  <si>
    <t>工况10测点数</t>
  </si>
  <si>
    <t>应变计算公式</t>
  </si>
  <si>
    <t>理论计算值</t>
  </si>
  <si>
    <r>
      <rPr>
        <sz val="12"/>
        <color indexed="16"/>
        <rFont val="宋体"/>
        <charset val="134"/>
      </rPr>
      <t>应力(N/mm</t>
    </r>
    <r>
      <rPr>
        <u/>
        <vertAlign val="superscript"/>
        <sz val="12"/>
        <color indexed="16"/>
        <rFont val="宋体"/>
        <charset val="134"/>
      </rPr>
      <t>2</t>
    </r>
    <r>
      <rPr>
        <sz val="12"/>
        <color indexed="16"/>
        <rFont val="宋体"/>
        <charset val="134"/>
      </rPr>
      <t>)</t>
    </r>
  </si>
  <si>
    <t>挠度工况数</t>
  </si>
  <si>
    <t>相对残余</t>
  </si>
  <si>
    <t>读数</t>
  </si>
</sst>
</file>

<file path=xl/styles.xml><?xml version="1.0" encoding="utf-8"?>
<styleSheet xmlns="http://schemas.openxmlformats.org/spreadsheetml/2006/main">
  <numFmts count="7">
    <numFmt numFmtId="176" formatCode="0.00_ "/>
    <numFmt numFmtId="177" formatCode="0_ "/>
    <numFmt numFmtId="44" formatCode="_ &quot;￥&quot;* #,##0.00_ ;_ &quot;￥&quot;* \-#,##0.00_ ;_ &quot;￥&quot;* &quot;-&quot;??_ ;_ @_ "/>
    <numFmt numFmtId="42" formatCode="_ &quot;￥&quot;* #,##0_ ;_ &quot;￥&quot;* \-#,##0_ ;_ &quot;￥&quot;* &quot;-&quot;_ ;_ @_ "/>
    <numFmt numFmtId="41" formatCode="_ * #,##0_ ;_ * \-#,##0_ ;_ * &quot;-&quot;_ ;_ @_ "/>
    <numFmt numFmtId="43" formatCode="_ * #,##0.00_ ;_ * \-#,##0.00_ ;_ * &quot;-&quot;??_ ;_ @_ "/>
    <numFmt numFmtId="178" formatCode="0.0_ "/>
  </numFmts>
  <fonts count="36">
    <font>
      <sz val="11"/>
      <color theme="1"/>
      <name val="等线"/>
      <charset val="134"/>
      <scheme val="minor"/>
    </font>
    <font>
      <sz val="12"/>
      <color indexed="60"/>
      <name val="宋体"/>
      <charset val="134"/>
    </font>
    <font>
      <sz val="12"/>
      <color indexed="16"/>
      <name val="宋体"/>
      <charset val="134"/>
    </font>
    <font>
      <sz val="12"/>
      <color theme="5" tint="-0.499984740745262"/>
      <name val="宋体"/>
      <charset val="134"/>
    </font>
    <font>
      <sz val="12"/>
      <color theme="1"/>
      <name val="楷体_GB2312"/>
      <charset val="134"/>
    </font>
    <font>
      <sz val="12"/>
      <color indexed="8"/>
      <name val="Times New Roman"/>
      <charset val="134"/>
    </font>
    <font>
      <sz val="12"/>
      <color theme="1"/>
      <name val="Times New Roman"/>
      <charset val="134"/>
    </font>
    <font>
      <b/>
      <sz val="11"/>
      <name val="等线"/>
      <charset val="134"/>
      <scheme val="minor"/>
    </font>
    <font>
      <b/>
      <sz val="11"/>
      <color theme="1"/>
      <name val="等线"/>
      <charset val="134"/>
      <scheme val="minor"/>
    </font>
    <font>
      <sz val="10"/>
      <name val="宋体"/>
      <charset val="0"/>
    </font>
    <font>
      <b/>
      <sz val="10"/>
      <name val="宋体"/>
      <charset val="0"/>
    </font>
    <font>
      <b/>
      <sz val="10"/>
      <name val="Arial"/>
      <charset val="0"/>
    </font>
    <font>
      <sz val="10"/>
      <name val="Arial"/>
      <charset val="0"/>
    </font>
    <font>
      <sz val="10"/>
      <name val="Arial"/>
      <charset val="0"/>
    </font>
    <font>
      <sz val="11"/>
      <color theme="1"/>
      <name val="等线"/>
      <charset val="0"/>
      <scheme val="minor"/>
    </font>
    <font>
      <b/>
      <sz val="11"/>
      <color rgb="FFFFFFFF"/>
      <name val="等线"/>
      <charset val="0"/>
      <scheme val="minor"/>
    </font>
    <font>
      <b/>
      <sz val="13"/>
      <color theme="3"/>
      <name val="等线"/>
      <charset val="134"/>
      <scheme val="minor"/>
    </font>
    <font>
      <sz val="11"/>
      <color rgb="FFFF0000"/>
      <name val="等线"/>
      <charset val="0"/>
      <scheme val="minor"/>
    </font>
    <font>
      <i/>
      <sz val="11"/>
      <color rgb="FF7F7F7F"/>
      <name val="等线"/>
      <charset val="0"/>
      <scheme val="minor"/>
    </font>
    <font>
      <b/>
      <sz val="11"/>
      <color theme="3"/>
      <name val="等线"/>
      <charset val="134"/>
      <scheme val="minor"/>
    </font>
    <font>
      <u/>
      <sz val="11"/>
      <color rgb="FF800080"/>
      <name val="等线"/>
      <charset val="0"/>
      <scheme val="minor"/>
    </font>
    <font>
      <sz val="11"/>
      <color rgb="FF9C0006"/>
      <name val="等线"/>
      <charset val="0"/>
      <scheme val="minor"/>
    </font>
    <font>
      <sz val="11"/>
      <color theme="0"/>
      <name val="等线"/>
      <charset val="0"/>
      <scheme val="minor"/>
    </font>
    <font>
      <b/>
      <sz val="11"/>
      <color rgb="FF3F3F3F"/>
      <name val="等线"/>
      <charset val="0"/>
      <scheme val="minor"/>
    </font>
    <font>
      <b/>
      <sz val="15"/>
      <color theme="3"/>
      <name val="等线"/>
      <charset val="134"/>
      <scheme val="minor"/>
    </font>
    <font>
      <b/>
      <sz val="11"/>
      <color theme="1"/>
      <name val="等线"/>
      <charset val="0"/>
      <scheme val="minor"/>
    </font>
    <font>
      <b/>
      <sz val="18"/>
      <color theme="3"/>
      <name val="等线"/>
      <charset val="134"/>
      <scheme val="minor"/>
    </font>
    <font>
      <u/>
      <sz val="11"/>
      <color rgb="FF0000FF"/>
      <name val="等线"/>
      <charset val="0"/>
      <scheme val="minor"/>
    </font>
    <font>
      <sz val="11"/>
      <color rgb="FF9C6500"/>
      <name val="等线"/>
      <charset val="0"/>
      <scheme val="minor"/>
    </font>
    <font>
      <sz val="11"/>
      <color rgb="FF3F3F76"/>
      <name val="等线"/>
      <charset val="0"/>
      <scheme val="minor"/>
    </font>
    <font>
      <b/>
      <sz val="11"/>
      <color rgb="FFFA7D00"/>
      <name val="等线"/>
      <charset val="0"/>
      <scheme val="minor"/>
    </font>
    <font>
      <sz val="11"/>
      <color rgb="FFFA7D00"/>
      <name val="等线"/>
      <charset val="0"/>
      <scheme val="minor"/>
    </font>
    <font>
      <sz val="11"/>
      <color rgb="FF006100"/>
      <name val="等线"/>
      <charset val="0"/>
      <scheme val="minor"/>
    </font>
    <font>
      <u/>
      <vertAlign val="superscript"/>
      <sz val="12"/>
      <color indexed="16"/>
      <name val="宋体"/>
      <charset val="134"/>
    </font>
    <font>
      <sz val="11"/>
      <color theme="1"/>
      <name val="宋体"/>
      <charset val="134"/>
    </font>
    <font>
      <sz val="11"/>
      <color theme="1"/>
      <name val="等线"/>
      <charset val="134"/>
    </font>
  </fonts>
  <fills count="38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9" tint="0.799981688894314"/>
        <bgColor indexed="64"/>
      </patternFill>
    </fill>
  </fills>
  <borders count="2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ck">
        <color auto="1"/>
      </left>
      <right style="medium">
        <color auto="1"/>
      </right>
      <top style="thick">
        <color auto="1"/>
      </top>
      <bottom style="medium">
        <color auto="1"/>
      </bottom>
      <diagonal/>
    </border>
    <border>
      <left/>
      <right/>
      <top style="thin">
        <color auto="1"/>
      </top>
      <bottom/>
      <diagonal/>
    </border>
    <border>
      <left style="thick">
        <color auto="1"/>
      </left>
      <right style="medium">
        <color auto="1"/>
      </right>
      <top/>
      <bottom style="medium">
        <color auto="1"/>
      </bottom>
      <diagonal/>
    </border>
    <border>
      <left style="thick">
        <color auto="1"/>
      </left>
      <right style="medium">
        <color auto="1"/>
      </right>
      <top/>
      <bottom style="thick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14" fillId="30" borderId="0" applyNumberFormat="0" applyBorder="0" applyAlignment="0" applyProtection="0">
      <alignment vertical="center"/>
    </xf>
    <xf numFmtId="0" fontId="29" fillId="27" borderId="22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4" fillId="10" borderId="0" applyNumberFormat="0" applyBorder="0" applyAlignment="0" applyProtection="0">
      <alignment vertical="center"/>
    </xf>
    <xf numFmtId="0" fontId="21" fillId="14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22" fillId="33" borderId="0" applyNumberFormat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0" fillId="19" borderId="19" applyNumberFormat="0" applyFont="0" applyAlignment="0" applyProtection="0">
      <alignment vertical="center"/>
    </xf>
    <xf numFmtId="0" fontId="22" fillId="26" borderId="0" applyNumberFormat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24" fillId="0" borderId="17" applyNumberFormat="0" applyFill="0" applyAlignment="0" applyProtection="0">
      <alignment vertical="center"/>
    </xf>
    <xf numFmtId="0" fontId="16" fillId="0" borderId="17" applyNumberFormat="0" applyFill="0" applyAlignment="0" applyProtection="0">
      <alignment vertical="center"/>
    </xf>
    <xf numFmtId="0" fontId="22" fillId="32" borderId="0" applyNumberFormat="0" applyBorder="0" applyAlignment="0" applyProtection="0">
      <alignment vertical="center"/>
    </xf>
    <xf numFmtId="0" fontId="19" fillId="0" borderId="21" applyNumberFormat="0" applyFill="0" applyAlignment="0" applyProtection="0">
      <alignment vertical="center"/>
    </xf>
    <xf numFmtId="0" fontId="22" fillId="25" borderId="0" applyNumberFormat="0" applyBorder="0" applyAlignment="0" applyProtection="0">
      <alignment vertical="center"/>
    </xf>
    <xf numFmtId="0" fontId="23" fillId="18" borderId="18" applyNumberFormat="0" applyAlignment="0" applyProtection="0">
      <alignment vertical="center"/>
    </xf>
    <xf numFmtId="0" fontId="30" fillId="18" borderId="22" applyNumberFormat="0" applyAlignment="0" applyProtection="0">
      <alignment vertical="center"/>
    </xf>
    <xf numFmtId="0" fontId="15" fillId="9" borderId="16" applyNumberFormat="0" applyAlignment="0" applyProtection="0">
      <alignment vertical="center"/>
    </xf>
    <xf numFmtId="0" fontId="14" fillId="37" borderId="0" applyNumberFormat="0" applyBorder="0" applyAlignment="0" applyProtection="0">
      <alignment vertical="center"/>
    </xf>
    <xf numFmtId="0" fontId="22" fillId="22" borderId="0" applyNumberFormat="0" applyBorder="0" applyAlignment="0" applyProtection="0">
      <alignment vertical="center"/>
    </xf>
    <xf numFmtId="0" fontId="31" fillId="0" borderId="23" applyNumberFormat="0" applyFill="0" applyAlignment="0" applyProtection="0">
      <alignment vertical="center"/>
    </xf>
    <xf numFmtId="0" fontId="25" fillId="0" borderId="20" applyNumberFormat="0" applyFill="0" applyAlignment="0" applyProtection="0">
      <alignment vertical="center"/>
    </xf>
    <xf numFmtId="0" fontId="32" fillId="36" borderId="0" applyNumberFormat="0" applyBorder="0" applyAlignment="0" applyProtection="0">
      <alignment vertical="center"/>
    </xf>
    <xf numFmtId="0" fontId="28" fillId="24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22" fillId="17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8" borderId="0" applyNumberFormat="0" applyBorder="0" applyAlignment="0" applyProtection="0">
      <alignment vertical="center"/>
    </xf>
    <xf numFmtId="0" fontId="14" fillId="35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22" fillId="16" borderId="0" applyNumberFormat="0" applyBorder="0" applyAlignment="0" applyProtection="0">
      <alignment vertical="center"/>
    </xf>
    <xf numFmtId="0" fontId="22" fillId="21" borderId="0" applyNumberFormat="0" applyBorder="0" applyAlignment="0" applyProtection="0">
      <alignment vertical="center"/>
    </xf>
    <xf numFmtId="0" fontId="14" fillId="34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22" fillId="15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22" fillId="31" borderId="0" applyNumberFormat="0" applyBorder="0" applyAlignment="0" applyProtection="0">
      <alignment vertical="center"/>
    </xf>
    <xf numFmtId="0" fontId="22" fillId="20" borderId="0" applyNumberFormat="0" applyBorder="0" applyAlignment="0" applyProtection="0">
      <alignment vertical="center"/>
    </xf>
    <xf numFmtId="0" fontId="14" fillId="11" borderId="0" applyNumberFormat="0" applyBorder="0" applyAlignment="0" applyProtection="0">
      <alignment vertical="center"/>
    </xf>
    <xf numFmtId="0" fontId="22" fillId="23" borderId="0" applyNumberFormat="0" applyBorder="0" applyAlignment="0" applyProtection="0">
      <alignment vertical="center"/>
    </xf>
  </cellStyleXfs>
  <cellXfs count="148">
    <xf numFmtId="0" fontId="0" fillId="0" borderId="0" xfId="0"/>
    <xf numFmtId="0" fontId="0" fillId="0" borderId="0" xfId="0" applyFont="1"/>
    <xf numFmtId="10" fontId="0" fillId="0" borderId="0" xfId="0" applyNumberFormat="1"/>
    <xf numFmtId="0" fontId="1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0" fillId="2" borderId="0" xfId="0" applyFill="1" applyAlignment="1">
      <alignment horizontal="center"/>
    </xf>
    <xf numFmtId="177" fontId="0" fillId="2" borderId="1" xfId="0" applyNumberFormat="1" applyFill="1" applyBorder="1" applyAlignment="1">
      <alignment horizontal="center" vertical="center" wrapText="1"/>
    </xf>
    <xf numFmtId="176" fontId="0" fillId="2" borderId="1" xfId="0" applyNumberFormat="1" applyFill="1" applyBorder="1" applyAlignment="1">
      <alignment horizontal="center" vertical="center" wrapText="1"/>
    </xf>
    <xf numFmtId="176" fontId="0" fillId="3" borderId="1" xfId="0" applyNumberFormat="1" applyFill="1" applyBorder="1" applyAlignment="1">
      <alignment horizontal="center" vertical="center" wrapText="1"/>
    </xf>
    <xf numFmtId="176" fontId="0" fillId="0" borderId="1" xfId="0" applyNumberFormat="1" applyBorder="1" applyAlignment="1">
      <alignment horizontal="center" vertical="center" wrapText="1"/>
    </xf>
    <xf numFmtId="176" fontId="0" fillId="2" borderId="3" xfId="0" applyNumberFormat="1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/>
    </xf>
    <xf numFmtId="177" fontId="0" fillId="2" borderId="4" xfId="0" applyNumberFormat="1" applyFill="1" applyBorder="1" applyAlignment="1">
      <alignment horizontal="center" vertical="center" wrapText="1"/>
    </xf>
    <xf numFmtId="176" fontId="0" fillId="2" borderId="4" xfId="0" applyNumberFormat="1" applyFill="1" applyBorder="1" applyAlignment="1">
      <alignment horizontal="center" vertical="center" wrapText="1"/>
    </xf>
    <xf numFmtId="0" fontId="0" fillId="2" borderId="4" xfId="0" applyFill="1" applyBorder="1" applyAlignment="1">
      <alignment horizontal="center"/>
    </xf>
    <xf numFmtId="176" fontId="0" fillId="2" borderId="5" xfId="0" applyNumberFormat="1" applyFill="1" applyBorder="1" applyAlignment="1">
      <alignment horizontal="center" vertical="center" wrapText="1"/>
    </xf>
    <xf numFmtId="176" fontId="0" fillId="3" borderId="5" xfId="0" applyNumberFormat="1" applyFill="1" applyBorder="1" applyAlignment="1">
      <alignment horizontal="center" vertical="center" wrapText="1"/>
    </xf>
    <xf numFmtId="176" fontId="0" fillId="3" borderId="2" xfId="0" applyNumberFormat="1" applyFill="1" applyBorder="1" applyAlignment="1">
      <alignment horizontal="center" vertical="center" wrapText="1"/>
    </xf>
    <xf numFmtId="176" fontId="0" fillId="3" borderId="3" xfId="0" applyNumberFormat="1" applyFill="1" applyBorder="1" applyAlignment="1">
      <alignment horizontal="center" vertical="center" wrapText="1"/>
    </xf>
    <xf numFmtId="176" fontId="0" fillId="0" borderId="1" xfId="0" applyNumberFormat="1" applyBorder="1"/>
    <xf numFmtId="0" fontId="0" fillId="2" borderId="1" xfId="0" applyFill="1" applyBorder="1"/>
    <xf numFmtId="10" fontId="0" fillId="0" borderId="1" xfId="0" applyNumberFormat="1" applyBorder="1"/>
    <xf numFmtId="176" fontId="0" fillId="0" borderId="5" xfId="0" applyNumberFormat="1" applyBorder="1"/>
    <xf numFmtId="0" fontId="0" fillId="2" borderId="5" xfId="0" applyFill="1" applyBorder="1"/>
    <xf numFmtId="10" fontId="0" fillId="0" borderId="5" xfId="0" applyNumberFormat="1" applyBorder="1"/>
    <xf numFmtId="176" fontId="0" fillId="0" borderId="2" xfId="0" applyNumberFormat="1" applyBorder="1"/>
    <xf numFmtId="0" fontId="0" fillId="2" borderId="2" xfId="0" applyFill="1" applyBorder="1"/>
    <xf numFmtId="10" fontId="0" fillId="0" borderId="2" xfId="0" applyNumberFormat="1" applyBorder="1"/>
    <xf numFmtId="176" fontId="0" fillId="0" borderId="3" xfId="0" applyNumberFormat="1" applyBorder="1"/>
    <xf numFmtId="0" fontId="0" fillId="2" borderId="3" xfId="0" applyFill="1" applyBorder="1"/>
    <xf numFmtId="10" fontId="0" fillId="0" borderId="3" xfId="0" applyNumberFormat="1" applyBorder="1"/>
    <xf numFmtId="0" fontId="0" fillId="4" borderId="0" xfId="0" applyFill="1" applyBorder="1" applyAlignment="1">
      <alignment horizontal="center" vertical="center" wrapText="1"/>
    </xf>
    <xf numFmtId="0" fontId="0" fillId="4" borderId="6" xfId="0" applyFill="1" applyBorder="1" applyAlignment="1">
      <alignment horizontal="center" vertical="center" wrapText="1"/>
    </xf>
    <xf numFmtId="177" fontId="0" fillId="0" borderId="1" xfId="0" applyNumberFormat="1" applyBorder="1" applyAlignment="1">
      <alignment horizontal="center" vertical="center" wrapText="1"/>
    </xf>
    <xf numFmtId="177" fontId="0" fillId="0" borderId="2" xfId="0" applyNumberFormat="1" applyBorder="1" applyAlignment="1">
      <alignment horizontal="center" vertical="center" wrapText="1"/>
    </xf>
    <xf numFmtId="177" fontId="0" fillId="0" borderId="3" xfId="0" applyNumberFormat="1" applyBorder="1" applyAlignment="1">
      <alignment horizontal="center" vertical="center" wrapText="1"/>
    </xf>
    <xf numFmtId="177" fontId="0" fillId="0" borderId="5" xfId="0" applyNumberForma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4" borderId="0" xfId="0" applyFill="1" applyAlignment="1">
      <alignment horizontal="center" vertical="center" wrapText="1"/>
    </xf>
    <xf numFmtId="0" fontId="2" fillId="0" borderId="1" xfId="0" applyFont="1" applyFill="1" applyBorder="1" applyAlignment="1">
      <alignment horizontal="center" vertical="center" wrapText="1"/>
    </xf>
    <xf numFmtId="178" fontId="0" fillId="0" borderId="1" xfId="0" applyNumberFormat="1" applyFont="1" applyBorder="1" applyAlignment="1">
      <alignment horizontal="center" vertical="center" wrapText="1"/>
    </xf>
    <xf numFmtId="177" fontId="0" fillId="0" borderId="1" xfId="0" applyNumberFormat="1" applyFont="1" applyBorder="1" applyAlignment="1">
      <alignment horizontal="center" vertical="center" wrapText="1"/>
    </xf>
    <xf numFmtId="178" fontId="0" fillId="0" borderId="2" xfId="0" applyNumberFormat="1" applyFont="1" applyBorder="1" applyAlignment="1">
      <alignment horizontal="center" vertical="center" wrapText="1"/>
    </xf>
    <xf numFmtId="177" fontId="0" fillId="0" borderId="2" xfId="0" applyNumberFormat="1" applyFont="1" applyBorder="1" applyAlignment="1">
      <alignment horizontal="center" vertical="center" wrapText="1"/>
    </xf>
    <xf numFmtId="178" fontId="0" fillId="0" borderId="5" xfId="0" applyNumberFormat="1" applyFont="1" applyBorder="1" applyAlignment="1">
      <alignment horizontal="center" vertical="center" wrapText="1"/>
    </xf>
    <xf numFmtId="177" fontId="0" fillId="0" borderId="5" xfId="0" applyNumberFormat="1" applyFont="1" applyBorder="1" applyAlignment="1">
      <alignment horizontal="center" vertical="center" wrapText="1"/>
    </xf>
    <xf numFmtId="0" fontId="2" fillId="0" borderId="7" xfId="0" applyFont="1" applyFill="1" applyBorder="1" applyAlignment="1">
      <alignment horizontal="center" vertical="center" wrapText="1"/>
    </xf>
    <xf numFmtId="0" fontId="2" fillId="0" borderId="8" xfId="0" applyFont="1" applyFill="1" applyBorder="1" applyAlignment="1">
      <alignment horizontal="center" vertical="center" wrapText="1"/>
    </xf>
    <xf numFmtId="0" fontId="2" fillId="0" borderId="9" xfId="0" applyFont="1" applyFill="1" applyBorder="1" applyAlignment="1">
      <alignment horizontal="center" vertical="center" wrapText="1"/>
    </xf>
    <xf numFmtId="176" fontId="0" fillId="0" borderId="1" xfId="0" applyNumberFormat="1" applyBorder="1" applyAlignment="1">
      <alignment horizontal="center" vertical="center"/>
    </xf>
    <xf numFmtId="176" fontId="0" fillId="0" borderId="2" xfId="0" applyNumberFormat="1" applyBorder="1" applyAlignment="1">
      <alignment horizontal="center" vertical="center"/>
    </xf>
    <xf numFmtId="176" fontId="0" fillId="0" borderId="1" xfId="0" applyNumberFormat="1" applyFill="1" applyBorder="1" applyAlignment="1">
      <alignment horizontal="center" vertical="center"/>
    </xf>
    <xf numFmtId="176" fontId="0" fillId="0" borderId="3" xfId="0" applyNumberFormat="1" applyFill="1" applyBorder="1" applyAlignment="1">
      <alignment horizontal="center" vertical="center"/>
    </xf>
    <xf numFmtId="176" fontId="0" fillId="0" borderId="2" xfId="0" applyNumberFormat="1" applyFill="1" applyBorder="1" applyAlignment="1">
      <alignment horizontal="center" vertical="center"/>
    </xf>
    <xf numFmtId="177" fontId="0" fillId="0" borderId="10" xfId="0" applyNumberFormat="1" applyFont="1" applyBorder="1" applyAlignment="1">
      <alignment horizontal="center" vertical="center" wrapText="1"/>
    </xf>
    <xf numFmtId="176" fontId="0" fillId="0" borderId="5" xfId="0" applyNumberFormat="1" applyFill="1" applyBorder="1" applyAlignment="1">
      <alignment horizontal="center" vertical="center"/>
    </xf>
    <xf numFmtId="0" fontId="2" fillId="0" borderId="3" xfId="0" applyFont="1" applyBorder="1" applyAlignment="1">
      <alignment horizontal="center" vertical="center" wrapText="1"/>
    </xf>
    <xf numFmtId="177" fontId="0" fillId="0" borderId="1" xfId="0" applyNumberFormat="1" applyFont="1" applyFill="1" applyBorder="1" applyAlignment="1">
      <alignment horizontal="center" vertical="center" wrapText="1"/>
    </xf>
    <xf numFmtId="176" fontId="0" fillId="0" borderId="1" xfId="0" applyNumberFormat="1" applyFont="1" applyFill="1" applyBorder="1" applyAlignment="1">
      <alignment horizontal="center" vertical="center" wrapText="1"/>
    </xf>
    <xf numFmtId="10" fontId="0" fillId="0" borderId="1" xfId="0" applyNumberFormat="1" applyFont="1" applyFill="1" applyBorder="1" applyAlignment="1">
      <alignment horizontal="center" vertical="center" wrapText="1"/>
    </xf>
    <xf numFmtId="177" fontId="0" fillId="0" borderId="4" xfId="0" applyNumberFormat="1" applyFont="1" applyBorder="1" applyAlignment="1">
      <alignment horizontal="center" vertical="center" wrapText="1"/>
    </xf>
    <xf numFmtId="177" fontId="0" fillId="0" borderId="4" xfId="0" applyNumberFormat="1" applyFont="1" applyFill="1" applyBorder="1" applyAlignment="1">
      <alignment horizontal="center" vertical="center" wrapText="1"/>
    </xf>
    <xf numFmtId="176" fontId="0" fillId="0" borderId="4" xfId="0" applyNumberFormat="1" applyFont="1" applyFill="1" applyBorder="1" applyAlignment="1">
      <alignment horizontal="center" vertical="center" wrapText="1"/>
    </xf>
    <xf numFmtId="10" fontId="0" fillId="0" borderId="4" xfId="0" applyNumberFormat="1" applyFont="1" applyFill="1" applyBorder="1" applyAlignment="1">
      <alignment horizontal="center" vertical="center" wrapText="1"/>
    </xf>
    <xf numFmtId="177" fontId="0" fillId="0" borderId="3" xfId="0" applyNumberFormat="1" applyFont="1" applyBorder="1" applyAlignment="1">
      <alignment horizontal="center" vertical="center" wrapText="1"/>
    </xf>
    <xf numFmtId="177" fontId="0" fillId="0" borderId="3" xfId="0" applyNumberFormat="1" applyFont="1" applyFill="1" applyBorder="1" applyAlignment="1">
      <alignment horizontal="center" vertical="center" wrapText="1"/>
    </xf>
    <xf numFmtId="176" fontId="0" fillId="0" borderId="3" xfId="0" applyNumberFormat="1" applyFont="1" applyFill="1" applyBorder="1" applyAlignment="1">
      <alignment horizontal="center" vertical="center" wrapText="1"/>
    </xf>
    <xf numFmtId="10" fontId="0" fillId="0" borderId="3" xfId="0" applyNumberFormat="1" applyFont="1" applyFill="1" applyBorder="1" applyAlignment="1">
      <alignment horizontal="center" vertical="center" wrapText="1"/>
    </xf>
    <xf numFmtId="0" fontId="0" fillId="0" borderId="0" xfId="0" applyFont="1" applyAlignment="1">
      <alignment horizontal="center"/>
    </xf>
    <xf numFmtId="0" fontId="0" fillId="0" borderId="0" xfId="0" applyAlignment="1">
      <alignment vertical="top"/>
    </xf>
    <xf numFmtId="0" fontId="3" fillId="0" borderId="7" xfId="0" applyFont="1" applyBorder="1" applyAlignment="1">
      <alignment horizontal="center" vertical="center" wrapText="1"/>
    </xf>
    <xf numFmtId="0" fontId="3" fillId="0" borderId="9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0" fillId="2" borderId="0" xfId="0" applyFill="1"/>
    <xf numFmtId="0" fontId="4" fillId="2" borderId="11" xfId="0" applyFont="1" applyFill="1" applyBorder="1" applyAlignment="1">
      <alignment horizontal="center" vertical="center" wrapText="1"/>
    </xf>
    <xf numFmtId="0" fontId="0" fillId="5" borderId="0" xfId="0" applyFill="1" applyAlignment="1">
      <alignment horizontal="center"/>
    </xf>
    <xf numFmtId="0" fontId="0" fillId="5" borderId="12" xfId="0" applyFill="1" applyBorder="1" applyAlignment="1">
      <alignment horizontal="center" vertical="center"/>
    </xf>
    <xf numFmtId="10" fontId="0" fillId="5" borderId="12" xfId="0" applyNumberFormat="1" applyFill="1" applyBorder="1" applyAlignment="1">
      <alignment horizontal="center" vertical="center"/>
    </xf>
    <xf numFmtId="0" fontId="4" fillId="2" borderId="13" xfId="0" applyFont="1" applyFill="1" applyBorder="1" applyAlignment="1">
      <alignment horizontal="center" vertical="center" wrapText="1"/>
    </xf>
    <xf numFmtId="0" fontId="0" fillId="5" borderId="0" xfId="0" applyFill="1" applyAlignment="1">
      <alignment horizontal="center" vertical="center"/>
    </xf>
    <xf numFmtId="10" fontId="0" fillId="5" borderId="0" xfId="0" applyNumberFormat="1" applyFill="1" applyAlignment="1">
      <alignment horizontal="center" vertical="center"/>
    </xf>
    <xf numFmtId="0" fontId="4" fillId="2" borderId="14" xfId="0" applyFont="1" applyFill="1" applyBorder="1" applyAlignment="1">
      <alignment horizontal="center" vertical="center" wrapText="1"/>
    </xf>
    <xf numFmtId="2" fontId="0" fillId="2" borderId="0" xfId="0" applyNumberFormat="1" applyFill="1"/>
    <xf numFmtId="0" fontId="0" fillId="4" borderId="0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177" fontId="0" fillId="5" borderId="1" xfId="0" applyNumberFormat="1" applyFill="1" applyBorder="1" applyAlignment="1">
      <alignment horizontal="center" vertical="center" wrapText="1"/>
    </xf>
    <xf numFmtId="178" fontId="0" fillId="5" borderId="1" xfId="0" applyNumberFormat="1" applyFont="1" applyFill="1" applyBorder="1" applyAlignment="1">
      <alignment horizontal="center" vertical="center" wrapText="1"/>
    </xf>
    <xf numFmtId="176" fontId="0" fillId="5" borderId="1" xfId="0" applyNumberFormat="1" applyFont="1" applyFill="1" applyBorder="1" applyAlignment="1">
      <alignment horizontal="center" vertical="center" wrapText="1"/>
    </xf>
    <xf numFmtId="177" fontId="0" fillId="5" borderId="2" xfId="0" applyNumberFormat="1" applyFill="1" applyBorder="1" applyAlignment="1">
      <alignment horizontal="center" vertical="center" wrapText="1"/>
    </xf>
    <xf numFmtId="177" fontId="0" fillId="5" borderId="3" xfId="0" applyNumberFormat="1" applyFill="1" applyBorder="1" applyAlignment="1">
      <alignment horizontal="center" vertical="center" wrapText="1"/>
    </xf>
    <xf numFmtId="178" fontId="0" fillId="5" borderId="2" xfId="0" applyNumberFormat="1" applyFont="1" applyFill="1" applyBorder="1" applyAlignment="1">
      <alignment horizontal="center" vertical="center" wrapText="1"/>
    </xf>
    <xf numFmtId="176" fontId="0" fillId="5" borderId="2" xfId="0" applyNumberFormat="1" applyFont="1" applyFill="1" applyBorder="1" applyAlignment="1">
      <alignment horizontal="center" vertical="center" wrapText="1"/>
    </xf>
    <xf numFmtId="177" fontId="0" fillId="5" borderId="5" xfId="0" applyNumberFormat="1" applyFill="1" applyBorder="1" applyAlignment="1">
      <alignment horizontal="center" vertical="center" wrapText="1"/>
    </xf>
    <xf numFmtId="178" fontId="0" fillId="5" borderId="5" xfId="0" applyNumberFormat="1" applyFont="1" applyFill="1" applyBorder="1" applyAlignment="1">
      <alignment horizontal="center" vertical="center" wrapText="1"/>
    </xf>
    <xf numFmtId="176" fontId="0" fillId="5" borderId="5" xfId="0" applyNumberFormat="1" applyFont="1" applyFill="1" applyBorder="1" applyAlignment="1">
      <alignment horizontal="center" vertical="center" wrapText="1"/>
    </xf>
    <xf numFmtId="0" fontId="0" fillId="0" borderId="0" xfId="0" applyFill="1" applyAlignment="1">
      <alignment horizontal="center" vertical="center" wrapText="1"/>
    </xf>
    <xf numFmtId="0" fontId="0" fillId="0" borderId="6" xfId="0" applyFill="1" applyBorder="1" applyAlignment="1">
      <alignment horizontal="center" vertical="center" wrapText="1"/>
    </xf>
    <xf numFmtId="176" fontId="0" fillId="5" borderId="1" xfId="0" applyNumberFormat="1" applyFill="1" applyBorder="1" applyAlignment="1">
      <alignment horizontal="center" vertical="center" wrapText="1"/>
    </xf>
    <xf numFmtId="176" fontId="0" fillId="5" borderId="1" xfId="0" applyNumberFormat="1" applyFill="1" applyBorder="1" applyAlignment="1">
      <alignment horizontal="center" vertical="center"/>
    </xf>
    <xf numFmtId="176" fontId="0" fillId="5" borderId="2" xfId="0" applyNumberFormat="1" applyFill="1" applyBorder="1" applyAlignment="1">
      <alignment horizontal="center" vertical="center"/>
    </xf>
    <xf numFmtId="176" fontId="0" fillId="5" borderId="3" xfId="0" applyNumberFormat="1" applyFill="1" applyBorder="1" applyAlignment="1">
      <alignment horizontal="center" vertical="center"/>
    </xf>
    <xf numFmtId="176" fontId="0" fillId="5" borderId="10" xfId="0" applyNumberFormat="1" applyFont="1" applyFill="1" applyBorder="1" applyAlignment="1">
      <alignment horizontal="center" vertical="center" wrapText="1"/>
    </xf>
    <xf numFmtId="176" fontId="0" fillId="5" borderId="5" xfId="0" applyNumberFormat="1" applyFill="1" applyBorder="1" applyAlignment="1">
      <alignment horizontal="center" vertical="center"/>
    </xf>
    <xf numFmtId="177" fontId="0" fillId="5" borderId="1" xfId="0" applyNumberFormat="1" applyFont="1" applyFill="1" applyBorder="1" applyAlignment="1">
      <alignment horizontal="center" vertical="center" wrapText="1"/>
    </xf>
    <xf numFmtId="10" fontId="0" fillId="5" borderId="1" xfId="0" applyNumberFormat="1" applyFont="1" applyFill="1" applyBorder="1" applyAlignment="1">
      <alignment horizontal="center" vertical="center" wrapText="1"/>
    </xf>
    <xf numFmtId="177" fontId="0" fillId="5" borderId="4" xfId="0" applyNumberFormat="1" applyFont="1" applyFill="1" applyBorder="1" applyAlignment="1">
      <alignment horizontal="center" vertical="center" wrapText="1"/>
    </xf>
    <xf numFmtId="176" fontId="0" fillId="5" borderId="4" xfId="0" applyNumberFormat="1" applyFont="1" applyFill="1" applyBorder="1" applyAlignment="1">
      <alignment horizontal="center" vertical="center" wrapText="1"/>
    </xf>
    <xf numFmtId="10" fontId="0" fillId="5" borderId="4" xfId="0" applyNumberFormat="1" applyFont="1" applyFill="1" applyBorder="1" applyAlignment="1">
      <alignment horizontal="center" vertical="center" wrapText="1"/>
    </xf>
    <xf numFmtId="177" fontId="0" fillId="5" borderId="3" xfId="0" applyNumberFormat="1" applyFont="1" applyFill="1" applyBorder="1" applyAlignment="1">
      <alignment horizontal="center" vertical="center" wrapText="1"/>
    </xf>
    <xf numFmtId="176" fontId="0" fillId="5" borderId="3" xfId="0" applyNumberFormat="1" applyFont="1" applyFill="1" applyBorder="1" applyAlignment="1">
      <alignment horizontal="center" vertical="center" wrapText="1"/>
    </xf>
    <xf numFmtId="10" fontId="0" fillId="5" borderId="3" xfId="0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left"/>
    </xf>
    <xf numFmtId="0" fontId="5" fillId="6" borderId="1" xfId="0" applyFont="1" applyFill="1" applyBorder="1" applyAlignment="1">
      <alignment horizontal="center" vertical="center"/>
    </xf>
    <xf numFmtId="176" fontId="6" fillId="0" borderId="1" xfId="0" applyNumberFormat="1" applyFont="1" applyFill="1" applyBorder="1" applyAlignment="1">
      <alignment horizontal="center" vertical="center" wrapText="1"/>
    </xf>
    <xf numFmtId="176" fontId="0" fillId="5" borderId="5" xfId="0" applyNumberFormat="1" applyFill="1" applyBorder="1" applyAlignment="1">
      <alignment horizontal="center" vertical="center" wrapText="1"/>
    </xf>
    <xf numFmtId="176" fontId="0" fillId="5" borderId="3" xfId="0" applyNumberFormat="1" applyFill="1" applyBorder="1" applyAlignment="1">
      <alignment horizontal="center" vertical="center" wrapText="1"/>
    </xf>
    <xf numFmtId="176" fontId="6" fillId="0" borderId="2" xfId="0" applyNumberFormat="1" applyFont="1" applyFill="1" applyBorder="1" applyAlignment="1">
      <alignment horizontal="center" vertical="center" wrapText="1"/>
    </xf>
    <xf numFmtId="0" fontId="0" fillId="4" borderId="0" xfId="0" applyNumberFormat="1" applyFill="1" applyAlignment="1">
      <alignment horizontal="center" vertical="center" wrapText="1"/>
    </xf>
    <xf numFmtId="176" fontId="0" fillId="5" borderId="1" xfId="0" applyNumberFormat="1" applyFill="1" applyBorder="1"/>
    <xf numFmtId="0" fontId="1" fillId="0" borderId="3" xfId="0" applyFont="1" applyBorder="1" applyAlignment="1">
      <alignment horizontal="center" vertical="center" wrapText="1"/>
    </xf>
    <xf numFmtId="0" fontId="2" fillId="0" borderId="15" xfId="0" applyFont="1" applyBorder="1" applyAlignment="1">
      <alignment horizontal="center" vertical="center" wrapText="1"/>
    </xf>
    <xf numFmtId="0" fontId="0" fillId="5" borderId="1" xfId="0" applyFill="1" applyBorder="1"/>
    <xf numFmtId="10" fontId="0" fillId="5" borderId="1" xfId="0" applyNumberFormat="1" applyFill="1" applyBorder="1"/>
    <xf numFmtId="176" fontId="0" fillId="0" borderId="0" xfId="0" applyNumberFormat="1"/>
    <xf numFmtId="176" fontId="0" fillId="5" borderId="5" xfId="0" applyNumberFormat="1" applyFill="1" applyBorder="1"/>
    <xf numFmtId="0" fontId="0" fillId="5" borderId="5" xfId="0" applyFill="1" applyBorder="1"/>
    <xf numFmtId="10" fontId="0" fillId="5" borderId="5" xfId="0" applyNumberFormat="1" applyFill="1" applyBorder="1"/>
    <xf numFmtId="176" fontId="0" fillId="5" borderId="2" xfId="0" applyNumberFormat="1" applyFill="1" applyBorder="1"/>
    <xf numFmtId="0" fontId="0" fillId="5" borderId="2" xfId="0" applyFill="1" applyBorder="1"/>
    <xf numFmtId="10" fontId="0" fillId="5" borderId="2" xfId="0" applyNumberFormat="1" applyFill="1" applyBorder="1"/>
    <xf numFmtId="176" fontId="0" fillId="5" borderId="3" xfId="0" applyNumberFormat="1" applyFill="1" applyBorder="1"/>
    <xf numFmtId="0" fontId="0" fillId="5" borderId="3" xfId="0" applyFill="1" applyBorder="1"/>
    <xf numFmtId="10" fontId="0" fillId="5" borderId="3" xfId="0" applyNumberFormat="1" applyFill="1" applyBorder="1"/>
    <xf numFmtId="176" fontId="0" fillId="5" borderId="2" xfId="0" applyNumberFormat="1" applyFill="1" applyBorder="1" applyAlignment="1">
      <alignment horizontal="center" vertical="center" wrapText="1"/>
    </xf>
    <xf numFmtId="176" fontId="0" fillId="0" borderId="0" xfId="0" applyNumberFormat="1" applyFont="1"/>
    <xf numFmtId="14" fontId="0" fillId="0" borderId="0" xfId="0" applyNumberFormat="1"/>
    <xf numFmtId="0" fontId="7" fillId="0" borderId="0" xfId="0" applyFont="1" applyAlignment="1">
      <alignment horizontal="center"/>
    </xf>
    <xf numFmtId="0" fontId="8" fillId="0" borderId="0" xfId="0" applyFont="1" applyAlignment="1">
      <alignment horizontal="center"/>
    </xf>
    <xf numFmtId="49" fontId="9" fillId="0" borderId="0" xfId="0" applyNumberFormat="1" applyFont="1" applyFill="1" applyBorder="1" applyAlignment="1" applyProtection="1">
      <alignment vertical="center" wrapText="1"/>
      <protection hidden="1"/>
    </xf>
    <xf numFmtId="49" fontId="10" fillId="0" borderId="0" xfId="0" applyNumberFormat="1" applyFont="1" applyFill="1" applyBorder="1" applyAlignment="1">
      <alignment horizontal="center" vertical="center"/>
    </xf>
    <xf numFmtId="49" fontId="11" fillId="0" borderId="0" xfId="0" applyNumberFormat="1" applyFont="1" applyFill="1" applyBorder="1" applyAlignment="1">
      <alignment horizontal="center" vertical="center"/>
    </xf>
    <xf numFmtId="49" fontId="12" fillId="0" borderId="0" xfId="0" applyNumberFormat="1" applyFont="1" applyFill="1" applyBorder="1" applyAlignment="1" applyProtection="1">
      <alignment vertical="center" wrapText="1"/>
      <protection hidden="1"/>
    </xf>
    <xf numFmtId="49" fontId="13" fillId="0" borderId="0" xfId="0" applyNumberFormat="1" applyFont="1" applyFill="1" applyBorder="1" applyAlignment="1" applyProtection="1">
      <alignment vertical="center" wrapText="1"/>
      <protection hidden="1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5" Type="http://schemas.microsoft.com/office/2006/relationships/vbaProject" Target="vbaProject.bin"/><Relationship Id="rId14" Type="http://schemas.openxmlformats.org/officeDocument/2006/relationships/sharedStrings" Target="sharedStrings.xml"/><Relationship Id="rId13" Type="http://schemas.openxmlformats.org/officeDocument/2006/relationships/styles" Target="styles.xml"/><Relationship Id="rId12" Type="http://schemas.openxmlformats.org/officeDocument/2006/relationships/theme" Target="theme/theme1.xml"/><Relationship Id="rId11" Type="http://schemas.openxmlformats.org/officeDocument/2006/relationships/worksheet" Target="worksheets/sheet11.xml"/><Relationship Id="rId10" Type="http://schemas.openxmlformats.org/officeDocument/2006/relationships/worksheet" Target="worksheets/sheet10.xml"/><Relationship Id="rId1" Type="http://schemas.openxmlformats.org/officeDocument/2006/relationships/worksheet" Target="worksheets/sheet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挠度!$B$13:$B$26</c:f>
              <c:strCache>
                <c:ptCount val="14"/>
                <c:pt idx="0">
                  <c:v>1#</c:v>
                </c:pt>
                <c:pt idx="1">
                  <c:v>2#</c:v>
                </c:pt>
                <c:pt idx="2">
                  <c:v>3#</c:v>
                </c:pt>
                <c:pt idx="3">
                  <c:v>4#</c:v>
                </c:pt>
                <c:pt idx="4">
                  <c:v>5#</c:v>
                </c:pt>
                <c:pt idx="5">
                  <c:v>6#</c:v>
                </c:pt>
                <c:pt idx="6">
                  <c:v>7#</c:v>
                </c:pt>
                <c:pt idx="7">
                  <c:v>8#</c:v>
                </c:pt>
                <c:pt idx="8">
                  <c:v>9#</c:v>
                </c:pt>
                <c:pt idx="9">
                  <c:v>10#</c:v>
                </c:pt>
                <c:pt idx="10">
                  <c:v>11#</c:v>
                </c:pt>
                <c:pt idx="11">
                  <c:v>12#</c:v>
                </c:pt>
                <c:pt idx="12">
                  <c:v>13#</c:v>
                </c:pt>
                <c:pt idx="13">
                  <c:v>14#</c:v>
                </c:pt>
              </c:strCache>
            </c:strRef>
          </c:cat>
          <c:val>
            <c:numRef>
              <c:f>挠度!$F$13:$F$26</c:f>
              <c:numCache>
                <c:formatCode>0.00_ </c:formatCode>
                <c:ptCount val="14"/>
                <c:pt idx="0">
                  <c:v>1.95</c:v>
                </c:pt>
                <c:pt idx="1">
                  <c:v>2.06</c:v>
                </c:pt>
                <c:pt idx="2">
                  <c:v>2.19</c:v>
                </c:pt>
                <c:pt idx="3">
                  <c:v>2.27</c:v>
                </c:pt>
                <c:pt idx="4">
                  <c:v>2.32</c:v>
                </c:pt>
                <c:pt idx="5">
                  <c:v>2.32</c:v>
                </c:pt>
                <c:pt idx="6">
                  <c:v>2.26</c:v>
                </c:pt>
                <c:pt idx="7">
                  <c:v>2.16</c:v>
                </c:pt>
                <c:pt idx="8">
                  <c:v>2</c:v>
                </c:pt>
                <c:pt idx="9">
                  <c:v>1.8</c:v>
                </c:pt>
                <c:pt idx="10">
                  <c:v>1.56</c:v>
                </c:pt>
                <c:pt idx="11">
                  <c:v>1.31</c:v>
                </c:pt>
                <c:pt idx="12">
                  <c:v>1.07</c:v>
                </c:pt>
                <c:pt idx="13">
                  <c:v>0.85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挠度!$B$13:$B$26</c:f>
              <c:strCache>
                <c:ptCount val="14"/>
                <c:pt idx="0">
                  <c:v>1#</c:v>
                </c:pt>
                <c:pt idx="1">
                  <c:v>2#</c:v>
                </c:pt>
                <c:pt idx="2">
                  <c:v>3#</c:v>
                </c:pt>
                <c:pt idx="3">
                  <c:v>4#</c:v>
                </c:pt>
                <c:pt idx="4">
                  <c:v>5#</c:v>
                </c:pt>
                <c:pt idx="5">
                  <c:v>6#</c:v>
                </c:pt>
                <c:pt idx="6">
                  <c:v>7#</c:v>
                </c:pt>
                <c:pt idx="7">
                  <c:v>8#</c:v>
                </c:pt>
                <c:pt idx="8">
                  <c:v>9#</c:v>
                </c:pt>
                <c:pt idx="9">
                  <c:v>10#</c:v>
                </c:pt>
                <c:pt idx="10">
                  <c:v>11#</c:v>
                </c:pt>
                <c:pt idx="11">
                  <c:v>12#</c:v>
                </c:pt>
                <c:pt idx="12">
                  <c:v>13#</c:v>
                </c:pt>
                <c:pt idx="13">
                  <c:v>14#</c:v>
                </c:pt>
              </c:strCache>
            </c:strRef>
          </c:cat>
          <c:val>
            <c:numRef>
              <c:f>挠度!$Q$13:$Q$26</c:f>
              <c:numCache>
                <c:formatCode>0.00_ </c:formatCode>
                <c:ptCount val="14"/>
                <c:pt idx="0">
                  <c:v>0.15</c:v>
                </c:pt>
                <c:pt idx="1">
                  <c:v>0.22</c:v>
                </c:pt>
                <c:pt idx="2">
                  <c:v>0.58</c:v>
                </c:pt>
                <c:pt idx="3">
                  <c:v>0.73</c:v>
                </c:pt>
                <c:pt idx="4">
                  <c:v>0.69</c:v>
                </c:pt>
                <c:pt idx="5">
                  <c:v>0.75</c:v>
                </c:pt>
                <c:pt idx="6">
                  <c:v>0.87</c:v>
                </c:pt>
                <c:pt idx="7">
                  <c:v>0.96</c:v>
                </c:pt>
                <c:pt idx="8">
                  <c:v>0.88</c:v>
                </c:pt>
                <c:pt idx="9">
                  <c:v>0.88</c:v>
                </c:pt>
                <c:pt idx="10">
                  <c:v>0.65</c:v>
                </c:pt>
                <c:pt idx="11">
                  <c:v>0.55</c:v>
                </c:pt>
                <c:pt idx="12">
                  <c:v>0.38</c:v>
                </c:pt>
                <c:pt idx="13">
                  <c:v>0.31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78539739"/>
        <c:axId val="935103846"/>
      </c:lineChart>
      <c:catAx>
        <c:axId val="97853973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935103846"/>
        <c:crosses val="autoZero"/>
        <c:auto val="1"/>
        <c:lblAlgn val="ctr"/>
        <c:lblOffset val="100"/>
        <c:noMultiLvlLbl val="0"/>
      </c:catAx>
      <c:valAx>
        <c:axId val="93510384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挠度值（mm）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#,##0.00_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97853973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挠度!$B$27:$B$48</c:f>
              <c:strCache>
                <c:ptCount val="22"/>
                <c:pt idx="0">
                  <c:v>1#</c:v>
                </c:pt>
                <c:pt idx="1">
                  <c:v>2#</c:v>
                </c:pt>
                <c:pt idx="2">
                  <c:v>3#</c:v>
                </c:pt>
                <c:pt idx="3">
                  <c:v>4#</c:v>
                </c:pt>
                <c:pt idx="4">
                  <c:v>5#</c:v>
                </c:pt>
                <c:pt idx="5">
                  <c:v>6#</c:v>
                </c:pt>
                <c:pt idx="6">
                  <c:v>7#</c:v>
                </c:pt>
                <c:pt idx="7">
                  <c:v>8#</c:v>
                </c:pt>
                <c:pt idx="8">
                  <c:v>9#</c:v>
                </c:pt>
                <c:pt idx="9">
                  <c:v>10#</c:v>
                </c:pt>
                <c:pt idx="10">
                  <c:v>11#</c:v>
                </c:pt>
                <c:pt idx="11">
                  <c:v>12#</c:v>
                </c:pt>
                <c:pt idx="12">
                  <c:v>13#</c:v>
                </c:pt>
                <c:pt idx="13">
                  <c:v>14#</c:v>
                </c:pt>
                <c:pt idx="14">
                  <c:v>15#</c:v>
                </c:pt>
                <c:pt idx="15">
                  <c:v>16#</c:v>
                </c:pt>
                <c:pt idx="16">
                  <c:v>17#</c:v>
                </c:pt>
                <c:pt idx="17">
                  <c:v>18#</c:v>
                </c:pt>
                <c:pt idx="18">
                  <c:v>19#</c:v>
                </c:pt>
                <c:pt idx="19">
                  <c:v>20#</c:v>
                </c:pt>
                <c:pt idx="20">
                  <c:v>21#</c:v>
                </c:pt>
                <c:pt idx="21">
                  <c:v>22#</c:v>
                </c:pt>
              </c:strCache>
            </c:strRef>
          </c:cat>
          <c:val>
            <c:numRef>
              <c:f>挠度!$F$27:$F$48</c:f>
              <c:numCache>
                <c:formatCode>0.00_ </c:formatCode>
                <c:ptCount val="22"/>
                <c:pt idx="0">
                  <c:v>1.95</c:v>
                </c:pt>
                <c:pt idx="1">
                  <c:v>2.06</c:v>
                </c:pt>
                <c:pt idx="2">
                  <c:v>2.19</c:v>
                </c:pt>
                <c:pt idx="3">
                  <c:v>2.27</c:v>
                </c:pt>
                <c:pt idx="4">
                  <c:v>2.32</c:v>
                </c:pt>
                <c:pt idx="5">
                  <c:v>2.32</c:v>
                </c:pt>
                <c:pt idx="6">
                  <c:v>2.26</c:v>
                </c:pt>
                <c:pt idx="7">
                  <c:v>2.16</c:v>
                </c:pt>
                <c:pt idx="8">
                  <c:v>2</c:v>
                </c:pt>
                <c:pt idx="9">
                  <c:v>1.8</c:v>
                </c:pt>
                <c:pt idx="10">
                  <c:v>1.56</c:v>
                </c:pt>
                <c:pt idx="11">
                  <c:v>1.31</c:v>
                </c:pt>
                <c:pt idx="12">
                  <c:v>1.07</c:v>
                </c:pt>
                <c:pt idx="13">
                  <c:v>0.85</c:v>
                </c:pt>
                <c:pt idx="14">
                  <c:v>0.66</c:v>
                </c:pt>
                <c:pt idx="15">
                  <c:v>0.5</c:v>
                </c:pt>
                <c:pt idx="16">
                  <c:v>0.38</c:v>
                </c:pt>
                <c:pt idx="17">
                  <c:v>0.28</c:v>
                </c:pt>
                <c:pt idx="18">
                  <c:v>0.108</c:v>
                </c:pt>
                <c:pt idx="19">
                  <c:v>-0.0340000000000001</c:v>
                </c:pt>
                <c:pt idx="20">
                  <c:v>-0.176</c:v>
                </c:pt>
                <c:pt idx="21">
                  <c:v>-0.318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挠度!$B$27:$B$48</c:f>
              <c:strCache>
                <c:ptCount val="22"/>
                <c:pt idx="0">
                  <c:v>1#</c:v>
                </c:pt>
                <c:pt idx="1">
                  <c:v>2#</c:v>
                </c:pt>
                <c:pt idx="2">
                  <c:v>3#</c:v>
                </c:pt>
                <c:pt idx="3">
                  <c:v>4#</c:v>
                </c:pt>
                <c:pt idx="4">
                  <c:v>5#</c:v>
                </c:pt>
                <c:pt idx="5">
                  <c:v>6#</c:v>
                </c:pt>
                <c:pt idx="6">
                  <c:v>7#</c:v>
                </c:pt>
                <c:pt idx="7">
                  <c:v>8#</c:v>
                </c:pt>
                <c:pt idx="8">
                  <c:v>9#</c:v>
                </c:pt>
                <c:pt idx="9">
                  <c:v>10#</c:v>
                </c:pt>
                <c:pt idx="10">
                  <c:v>11#</c:v>
                </c:pt>
                <c:pt idx="11">
                  <c:v>12#</c:v>
                </c:pt>
                <c:pt idx="12">
                  <c:v>13#</c:v>
                </c:pt>
                <c:pt idx="13">
                  <c:v>14#</c:v>
                </c:pt>
                <c:pt idx="14">
                  <c:v>15#</c:v>
                </c:pt>
                <c:pt idx="15">
                  <c:v>16#</c:v>
                </c:pt>
                <c:pt idx="16">
                  <c:v>17#</c:v>
                </c:pt>
                <c:pt idx="17">
                  <c:v>18#</c:v>
                </c:pt>
                <c:pt idx="18">
                  <c:v>19#</c:v>
                </c:pt>
                <c:pt idx="19">
                  <c:v>20#</c:v>
                </c:pt>
                <c:pt idx="20">
                  <c:v>21#</c:v>
                </c:pt>
                <c:pt idx="21">
                  <c:v>22#</c:v>
                </c:pt>
              </c:strCache>
            </c:strRef>
          </c:cat>
          <c:val>
            <c:numRef>
              <c:f>挠度!$Q$27:$Q$48</c:f>
              <c:numCache>
                <c:formatCode>0.00_ </c:formatCode>
                <c:ptCount val="22"/>
                <c:pt idx="0">
                  <c:v>0.15</c:v>
                </c:pt>
                <c:pt idx="1">
                  <c:v>0.22</c:v>
                </c:pt>
                <c:pt idx="2" c:formatCode="General">
                  <c:v>0.58</c:v>
                </c:pt>
                <c:pt idx="3" c:formatCode="General">
                  <c:v>0.73</c:v>
                </c:pt>
                <c:pt idx="4" c:formatCode="General">
                  <c:v>0.69</c:v>
                </c:pt>
                <c:pt idx="5" c:formatCode="General">
                  <c:v>0.75</c:v>
                </c:pt>
                <c:pt idx="6" c:formatCode="General">
                  <c:v>0.87</c:v>
                </c:pt>
                <c:pt idx="7" c:formatCode="General">
                  <c:v>0.96</c:v>
                </c:pt>
                <c:pt idx="8" c:formatCode="General">
                  <c:v>0.88</c:v>
                </c:pt>
                <c:pt idx="9" c:formatCode="General">
                  <c:v>0.88</c:v>
                </c:pt>
                <c:pt idx="10" c:formatCode="General">
                  <c:v>0.65</c:v>
                </c:pt>
                <c:pt idx="11" c:formatCode="General">
                  <c:v>0.55</c:v>
                </c:pt>
                <c:pt idx="12" c:formatCode="General">
                  <c:v>0.38</c:v>
                </c:pt>
                <c:pt idx="13" c:formatCode="General">
                  <c:v>0.31</c:v>
                </c:pt>
                <c:pt idx="14" c:formatCode="General">
                  <c:v>0.15</c:v>
                </c:pt>
                <c:pt idx="15" c:formatCode="General">
                  <c:v>0.14</c:v>
                </c:pt>
                <c:pt idx="16" c:formatCode="General">
                  <c:v>0.08</c:v>
                </c:pt>
                <c:pt idx="17" c:formatCode="General">
                  <c:v>0.09</c:v>
                </c:pt>
                <c:pt idx="18" c:formatCode="General">
                  <c:v>0.000999999999999945</c:v>
                </c:pt>
                <c:pt idx="19" c:formatCode="General">
                  <c:v>-0.0500000000000001</c:v>
                </c:pt>
                <c:pt idx="20" c:formatCode="General">
                  <c:v>-0.101</c:v>
                </c:pt>
                <c:pt idx="21" c:formatCode="General">
                  <c:v>-0.152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76378413"/>
        <c:axId val="270988278"/>
      </c:lineChart>
      <c:catAx>
        <c:axId val="976378413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270988278"/>
        <c:crosses val="autoZero"/>
        <c:auto val="1"/>
        <c:lblAlgn val="ctr"/>
        <c:lblOffset val="100"/>
        <c:noMultiLvlLbl val="0"/>
      </c:catAx>
      <c:valAx>
        <c:axId val="27098827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挠度值（mm）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#,##0.00_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97637841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挠度!$B$49:$B$73</c:f>
              <c:strCache>
                <c:ptCount val="25"/>
                <c:pt idx="0">
                  <c:v>1#</c:v>
                </c:pt>
                <c:pt idx="1">
                  <c:v>2#</c:v>
                </c:pt>
                <c:pt idx="2">
                  <c:v>3#</c:v>
                </c:pt>
                <c:pt idx="3">
                  <c:v>4#</c:v>
                </c:pt>
                <c:pt idx="4">
                  <c:v>5#</c:v>
                </c:pt>
                <c:pt idx="5">
                  <c:v>6#</c:v>
                </c:pt>
                <c:pt idx="6">
                  <c:v>7#</c:v>
                </c:pt>
                <c:pt idx="7">
                  <c:v>8#</c:v>
                </c:pt>
                <c:pt idx="8">
                  <c:v>9#</c:v>
                </c:pt>
                <c:pt idx="9">
                  <c:v>10#</c:v>
                </c:pt>
                <c:pt idx="10">
                  <c:v>11#</c:v>
                </c:pt>
                <c:pt idx="11">
                  <c:v>12#</c:v>
                </c:pt>
                <c:pt idx="12">
                  <c:v>13#</c:v>
                </c:pt>
                <c:pt idx="13">
                  <c:v>14#</c:v>
                </c:pt>
                <c:pt idx="14">
                  <c:v>15#</c:v>
                </c:pt>
                <c:pt idx="15">
                  <c:v>16#</c:v>
                </c:pt>
                <c:pt idx="16">
                  <c:v>17#</c:v>
                </c:pt>
                <c:pt idx="17">
                  <c:v>18#</c:v>
                </c:pt>
                <c:pt idx="18">
                  <c:v>19#</c:v>
                </c:pt>
                <c:pt idx="19">
                  <c:v>20#</c:v>
                </c:pt>
                <c:pt idx="20">
                  <c:v>21#</c:v>
                </c:pt>
                <c:pt idx="21">
                  <c:v>22#</c:v>
                </c:pt>
                <c:pt idx="22">
                  <c:v>23#</c:v>
                </c:pt>
                <c:pt idx="23">
                  <c:v>24#</c:v>
                </c:pt>
                <c:pt idx="24">
                  <c:v>25#</c:v>
                </c:pt>
              </c:strCache>
            </c:strRef>
          </c:cat>
          <c:val>
            <c:numRef>
              <c:f>挠度!$F$49:$F$73</c:f>
              <c:numCache>
                <c:formatCode>0.00_ </c:formatCode>
                <c:ptCount val="25"/>
                <c:pt idx="0">
                  <c:v>1.95</c:v>
                </c:pt>
                <c:pt idx="1">
                  <c:v>2.06</c:v>
                </c:pt>
                <c:pt idx="2">
                  <c:v>2.19</c:v>
                </c:pt>
                <c:pt idx="3">
                  <c:v>2.27</c:v>
                </c:pt>
                <c:pt idx="4">
                  <c:v>2.32</c:v>
                </c:pt>
                <c:pt idx="5">
                  <c:v>2.32</c:v>
                </c:pt>
                <c:pt idx="6">
                  <c:v>2.26</c:v>
                </c:pt>
                <c:pt idx="7">
                  <c:v>2.16</c:v>
                </c:pt>
                <c:pt idx="8">
                  <c:v>2</c:v>
                </c:pt>
                <c:pt idx="9">
                  <c:v>1.8</c:v>
                </c:pt>
                <c:pt idx="10">
                  <c:v>1.56</c:v>
                </c:pt>
                <c:pt idx="11">
                  <c:v>1.31</c:v>
                </c:pt>
                <c:pt idx="12">
                  <c:v>1.07</c:v>
                </c:pt>
                <c:pt idx="13">
                  <c:v>0.85</c:v>
                </c:pt>
                <c:pt idx="14">
                  <c:v>0.66</c:v>
                </c:pt>
                <c:pt idx="15">
                  <c:v>0.5</c:v>
                </c:pt>
                <c:pt idx="16">
                  <c:v>0.38</c:v>
                </c:pt>
                <c:pt idx="17">
                  <c:v>0.28</c:v>
                </c:pt>
                <c:pt idx="18">
                  <c:v>0.108</c:v>
                </c:pt>
                <c:pt idx="19">
                  <c:v>-0.0340000000000001</c:v>
                </c:pt>
                <c:pt idx="20">
                  <c:v>-0.176</c:v>
                </c:pt>
                <c:pt idx="21">
                  <c:v>-0.318</c:v>
                </c:pt>
                <c:pt idx="22">
                  <c:v>-0.46</c:v>
                </c:pt>
                <c:pt idx="23">
                  <c:v>-0.602</c:v>
                </c:pt>
                <c:pt idx="24">
                  <c:v>-0.744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挠度!$B$49:$B$73</c:f>
              <c:strCache>
                <c:ptCount val="25"/>
                <c:pt idx="0">
                  <c:v>1#</c:v>
                </c:pt>
                <c:pt idx="1">
                  <c:v>2#</c:v>
                </c:pt>
                <c:pt idx="2">
                  <c:v>3#</c:v>
                </c:pt>
                <c:pt idx="3">
                  <c:v>4#</c:v>
                </c:pt>
                <c:pt idx="4">
                  <c:v>5#</c:v>
                </c:pt>
                <c:pt idx="5">
                  <c:v>6#</c:v>
                </c:pt>
                <c:pt idx="6">
                  <c:v>7#</c:v>
                </c:pt>
                <c:pt idx="7">
                  <c:v>8#</c:v>
                </c:pt>
                <c:pt idx="8">
                  <c:v>9#</c:v>
                </c:pt>
                <c:pt idx="9">
                  <c:v>10#</c:v>
                </c:pt>
                <c:pt idx="10">
                  <c:v>11#</c:v>
                </c:pt>
                <c:pt idx="11">
                  <c:v>12#</c:v>
                </c:pt>
                <c:pt idx="12">
                  <c:v>13#</c:v>
                </c:pt>
                <c:pt idx="13">
                  <c:v>14#</c:v>
                </c:pt>
                <c:pt idx="14">
                  <c:v>15#</c:v>
                </c:pt>
                <c:pt idx="15">
                  <c:v>16#</c:v>
                </c:pt>
                <c:pt idx="16">
                  <c:v>17#</c:v>
                </c:pt>
                <c:pt idx="17">
                  <c:v>18#</c:v>
                </c:pt>
                <c:pt idx="18">
                  <c:v>19#</c:v>
                </c:pt>
                <c:pt idx="19">
                  <c:v>20#</c:v>
                </c:pt>
                <c:pt idx="20">
                  <c:v>21#</c:v>
                </c:pt>
                <c:pt idx="21">
                  <c:v>22#</c:v>
                </c:pt>
                <c:pt idx="22">
                  <c:v>23#</c:v>
                </c:pt>
                <c:pt idx="23">
                  <c:v>24#</c:v>
                </c:pt>
                <c:pt idx="24">
                  <c:v>25#</c:v>
                </c:pt>
              </c:strCache>
            </c:strRef>
          </c:cat>
          <c:val>
            <c:numRef>
              <c:f>挠度!$Q$49:$Q$73</c:f>
              <c:numCache>
                <c:formatCode>General</c:formatCode>
                <c:ptCount val="25"/>
                <c:pt idx="0">
                  <c:v>0.15</c:v>
                </c:pt>
                <c:pt idx="1">
                  <c:v>0.22</c:v>
                </c:pt>
                <c:pt idx="2">
                  <c:v>0.58</c:v>
                </c:pt>
                <c:pt idx="3">
                  <c:v>0.73</c:v>
                </c:pt>
                <c:pt idx="4">
                  <c:v>0.69</c:v>
                </c:pt>
                <c:pt idx="5">
                  <c:v>0.75</c:v>
                </c:pt>
                <c:pt idx="6">
                  <c:v>0.87</c:v>
                </c:pt>
                <c:pt idx="7">
                  <c:v>0.96</c:v>
                </c:pt>
                <c:pt idx="8">
                  <c:v>0.88</c:v>
                </c:pt>
                <c:pt idx="9">
                  <c:v>0.88</c:v>
                </c:pt>
                <c:pt idx="10">
                  <c:v>0.65</c:v>
                </c:pt>
                <c:pt idx="11">
                  <c:v>0.55</c:v>
                </c:pt>
                <c:pt idx="12">
                  <c:v>0.38</c:v>
                </c:pt>
                <c:pt idx="13">
                  <c:v>0.31</c:v>
                </c:pt>
                <c:pt idx="14">
                  <c:v>0.15</c:v>
                </c:pt>
                <c:pt idx="15">
                  <c:v>0.14</c:v>
                </c:pt>
                <c:pt idx="16">
                  <c:v>0.08</c:v>
                </c:pt>
                <c:pt idx="17">
                  <c:v>0.09</c:v>
                </c:pt>
                <c:pt idx="18">
                  <c:v>0.000999999999999945</c:v>
                </c:pt>
                <c:pt idx="19">
                  <c:v>-0.0500000000000001</c:v>
                </c:pt>
                <c:pt idx="20">
                  <c:v>-0.101</c:v>
                </c:pt>
                <c:pt idx="21">
                  <c:v>-0.152</c:v>
                </c:pt>
                <c:pt idx="22">
                  <c:v>-0.203</c:v>
                </c:pt>
                <c:pt idx="23">
                  <c:v>-0.254</c:v>
                </c:pt>
                <c:pt idx="24">
                  <c:v>-0.305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6629671"/>
        <c:axId val="399043522"/>
      </c:lineChart>
      <c:catAx>
        <c:axId val="736629671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399043522"/>
        <c:crosses val="autoZero"/>
        <c:auto val="1"/>
        <c:lblAlgn val="ctr"/>
        <c:lblOffset val="100"/>
        <c:noMultiLvlLbl val="0"/>
      </c:catAx>
      <c:valAx>
        <c:axId val="39904352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挠度值（mm）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#,##0.00_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7366296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应变!$B$15:$B$28</c:f>
              <c:strCache>
                <c:ptCount val="14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  <c:pt idx="4" c:formatCode="0.00">
                  <c:v>A-5</c:v>
                </c:pt>
                <c:pt idx="5" c:formatCode="0.00">
                  <c:v>A-6</c:v>
                </c:pt>
                <c:pt idx="6" c:formatCode="0.00">
                  <c:v>A-7</c:v>
                </c:pt>
                <c:pt idx="7" c:formatCode="0.00">
                  <c:v>A-8</c:v>
                </c:pt>
                <c:pt idx="8" c:formatCode="0.00">
                  <c:v>A-9</c:v>
                </c:pt>
                <c:pt idx="9" c:formatCode="0.00">
                  <c:v>A-10</c:v>
                </c:pt>
                <c:pt idx="10" c:formatCode="0.00">
                  <c:v>A-11</c:v>
                </c:pt>
                <c:pt idx="11" c:formatCode="0.00">
                  <c:v>A-12</c:v>
                </c:pt>
                <c:pt idx="12" c:formatCode="0.00">
                  <c:v>A-13</c:v>
                </c:pt>
                <c:pt idx="13" c:formatCode="0.00">
                  <c:v>A-14</c:v>
                </c:pt>
              </c:strCache>
            </c:strRef>
          </c:cat>
          <c:val>
            <c:numRef>
              <c:f>应变!$J$15:$J$28</c:f>
              <c:numCache>
                <c:formatCode>General</c:formatCode>
                <c:ptCount val="14"/>
                <c:pt idx="0">
                  <c:v>70</c:v>
                </c:pt>
                <c:pt idx="1">
                  <c:v>77</c:v>
                </c:pt>
                <c:pt idx="2">
                  <c:v>87</c:v>
                </c:pt>
                <c:pt idx="3">
                  <c:v>93</c:v>
                </c:pt>
                <c:pt idx="4">
                  <c:v>100</c:v>
                </c:pt>
                <c:pt idx="5">
                  <c:v>100</c:v>
                </c:pt>
                <c:pt idx="6">
                  <c:v>93</c:v>
                </c:pt>
                <c:pt idx="7">
                  <c:v>87</c:v>
                </c:pt>
                <c:pt idx="8">
                  <c:v>80</c:v>
                </c:pt>
                <c:pt idx="9">
                  <c:v>70</c:v>
                </c:pt>
                <c:pt idx="10">
                  <c:v>60</c:v>
                </c:pt>
                <c:pt idx="11">
                  <c:v>50</c:v>
                </c:pt>
                <c:pt idx="12">
                  <c:v>40</c:v>
                </c:pt>
                <c:pt idx="13">
                  <c:v>33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应变!$B$15:$B$28</c:f>
              <c:strCache>
                <c:ptCount val="14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  <c:pt idx="4" c:formatCode="0.00">
                  <c:v>A-5</c:v>
                </c:pt>
                <c:pt idx="5" c:formatCode="0.00">
                  <c:v>A-6</c:v>
                </c:pt>
                <c:pt idx="6" c:formatCode="0.00">
                  <c:v>A-7</c:v>
                </c:pt>
                <c:pt idx="7" c:formatCode="0.00">
                  <c:v>A-8</c:v>
                </c:pt>
                <c:pt idx="8" c:formatCode="0.00">
                  <c:v>A-9</c:v>
                </c:pt>
                <c:pt idx="9" c:formatCode="0.00">
                  <c:v>A-10</c:v>
                </c:pt>
                <c:pt idx="10" c:formatCode="0.00">
                  <c:v>A-11</c:v>
                </c:pt>
                <c:pt idx="11" c:formatCode="0.00">
                  <c:v>A-12</c:v>
                </c:pt>
                <c:pt idx="12" c:formatCode="0.00">
                  <c:v>A-13</c:v>
                </c:pt>
                <c:pt idx="13" c:formatCode="0.00">
                  <c:v>A-14</c:v>
                </c:pt>
              </c:strCache>
            </c:strRef>
          </c:cat>
          <c:val>
            <c:numRef>
              <c:f>应变!$AB$15:$AB$28</c:f>
              <c:numCache>
                <c:formatCode>0_ </c:formatCode>
                <c:ptCount val="14"/>
                <c:pt idx="0">
                  <c:v>15</c:v>
                </c:pt>
                <c:pt idx="1">
                  <c:v>24</c:v>
                </c:pt>
                <c:pt idx="2">
                  <c:v>30</c:v>
                </c:pt>
                <c:pt idx="3">
                  <c:v>34</c:v>
                </c:pt>
                <c:pt idx="4">
                  <c:v>26</c:v>
                </c:pt>
                <c:pt idx="5">
                  <c:v>48</c:v>
                </c:pt>
                <c:pt idx="6">
                  <c:v>43</c:v>
                </c:pt>
                <c:pt idx="7">
                  <c:v>31</c:v>
                </c:pt>
                <c:pt idx="8">
                  <c:v>37</c:v>
                </c:pt>
                <c:pt idx="9">
                  <c:v>24</c:v>
                </c:pt>
                <c:pt idx="10">
                  <c:v>27</c:v>
                </c:pt>
                <c:pt idx="11">
                  <c:v>16</c:v>
                </c:pt>
                <c:pt idx="12">
                  <c:v>14</c:v>
                </c:pt>
                <c:pt idx="13">
                  <c:v>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3235204"/>
        <c:axId val="261439681"/>
      </c:lineChart>
      <c:catAx>
        <c:axId val="57323520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261439681"/>
        <c:crosses val="autoZero"/>
        <c:auto val="1"/>
        <c:lblAlgn val="ctr"/>
        <c:lblOffset val="100"/>
        <c:noMultiLvlLbl val="0"/>
      </c:catAx>
      <c:valAx>
        <c:axId val="26143968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应变（με）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5732352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应变!$B$29:$B$50</c:f>
              <c:strCache>
                <c:ptCount val="22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  <c:pt idx="4" c:formatCode="0.00">
                  <c:v>A-5</c:v>
                </c:pt>
                <c:pt idx="5" c:formatCode="0.00">
                  <c:v>A-6</c:v>
                </c:pt>
                <c:pt idx="6" c:formatCode="0.00">
                  <c:v>A-7</c:v>
                </c:pt>
                <c:pt idx="7" c:formatCode="0.00">
                  <c:v>A-8</c:v>
                </c:pt>
                <c:pt idx="8" c:formatCode="0.00">
                  <c:v>A-9</c:v>
                </c:pt>
                <c:pt idx="9" c:formatCode="0.00">
                  <c:v>A-10</c:v>
                </c:pt>
                <c:pt idx="10" c:formatCode="0.00">
                  <c:v>A-11</c:v>
                </c:pt>
                <c:pt idx="11" c:formatCode="0.00">
                  <c:v>A-12</c:v>
                </c:pt>
                <c:pt idx="12" c:formatCode="0.00">
                  <c:v>A-13</c:v>
                </c:pt>
                <c:pt idx="13" c:formatCode="0.00">
                  <c:v>A-14</c:v>
                </c:pt>
                <c:pt idx="14" c:formatCode="0.00">
                  <c:v>A-15</c:v>
                </c:pt>
                <c:pt idx="15" c:formatCode="0.00">
                  <c:v>A-16</c:v>
                </c:pt>
                <c:pt idx="16" c:formatCode="0.00">
                  <c:v>A-17</c:v>
                </c:pt>
                <c:pt idx="17" c:formatCode="0.00">
                  <c:v>A-18</c:v>
                </c:pt>
                <c:pt idx="18" c:formatCode="0.00">
                  <c:v>A-19</c:v>
                </c:pt>
                <c:pt idx="19" c:formatCode="0.00">
                  <c:v>A-20</c:v>
                </c:pt>
                <c:pt idx="20" c:formatCode="0.00">
                  <c:v>A-21</c:v>
                </c:pt>
                <c:pt idx="21" c:formatCode="0.00">
                  <c:v>A-22</c:v>
                </c:pt>
              </c:strCache>
            </c:strRef>
          </c:cat>
          <c:val>
            <c:numRef>
              <c:f>应变!$J$29:$J$50</c:f>
              <c:numCache>
                <c:formatCode>General</c:formatCode>
                <c:ptCount val="22"/>
                <c:pt idx="0">
                  <c:v>70</c:v>
                </c:pt>
                <c:pt idx="1">
                  <c:v>77</c:v>
                </c:pt>
                <c:pt idx="2">
                  <c:v>87</c:v>
                </c:pt>
                <c:pt idx="3">
                  <c:v>93</c:v>
                </c:pt>
                <c:pt idx="4">
                  <c:v>100</c:v>
                </c:pt>
                <c:pt idx="5">
                  <c:v>100</c:v>
                </c:pt>
                <c:pt idx="6">
                  <c:v>93</c:v>
                </c:pt>
                <c:pt idx="7">
                  <c:v>87</c:v>
                </c:pt>
                <c:pt idx="8">
                  <c:v>80</c:v>
                </c:pt>
                <c:pt idx="9">
                  <c:v>70</c:v>
                </c:pt>
                <c:pt idx="10">
                  <c:v>60</c:v>
                </c:pt>
                <c:pt idx="11">
                  <c:v>50</c:v>
                </c:pt>
                <c:pt idx="12">
                  <c:v>40</c:v>
                </c:pt>
                <c:pt idx="13">
                  <c:v>33</c:v>
                </c:pt>
                <c:pt idx="14">
                  <c:v>27</c:v>
                </c:pt>
                <c:pt idx="15">
                  <c:v>20</c:v>
                </c:pt>
                <c:pt idx="16">
                  <c:v>27</c:v>
                </c:pt>
                <c:pt idx="17">
                  <c:v>20</c:v>
                </c:pt>
                <c:pt idx="18">
                  <c:v>27</c:v>
                </c:pt>
                <c:pt idx="19">
                  <c:v>20</c:v>
                </c:pt>
                <c:pt idx="20">
                  <c:v>27</c:v>
                </c:pt>
                <c:pt idx="21">
                  <c:v>20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应变!$B$29:$B$50</c:f>
              <c:strCache>
                <c:ptCount val="22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  <c:pt idx="4" c:formatCode="0.00">
                  <c:v>A-5</c:v>
                </c:pt>
                <c:pt idx="5" c:formatCode="0.00">
                  <c:v>A-6</c:v>
                </c:pt>
                <c:pt idx="6" c:formatCode="0.00">
                  <c:v>A-7</c:v>
                </c:pt>
                <c:pt idx="7" c:formatCode="0.00">
                  <c:v>A-8</c:v>
                </c:pt>
                <c:pt idx="8" c:formatCode="0.00">
                  <c:v>A-9</c:v>
                </c:pt>
                <c:pt idx="9" c:formatCode="0.00">
                  <c:v>A-10</c:v>
                </c:pt>
                <c:pt idx="10" c:formatCode="0.00">
                  <c:v>A-11</c:v>
                </c:pt>
                <c:pt idx="11" c:formatCode="0.00">
                  <c:v>A-12</c:v>
                </c:pt>
                <c:pt idx="12" c:formatCode="0.00">
                  <c:v>A-13</c:v>
                </c:pt>
                <c:pt idx="13" c:formatCode="0.00">
                  <c:v>A-14</c:v>
                </c:pt>
                <c:pt idx="14" c:formatCode="0.00">
                  <c:v>A-15</c:v>
                </c:pt>
                <c:pt idx="15" c:formatCode="0.00">
                  <c:v>A-16</c:v>
                </c:pt>
                <c:pt idx="16" c:formatCode="0.00">
                  <c:v>A-17</c:v>
                </c:pt>
                <c:pt idx="17" c:formatCode="0.00">
                  <c:v>A-18</c:v>
                </c:pt>
                <c:pt idx="18" c:formatCode="0.00">
                  <c:v>A-19</c:v>
                </c:pt>
                <c:pt idx="19" c:formatCode="0.00">
                  <c:v>A-20</c:v>
                </c:pt>
                <c:pt idx="20" c:formatCode="0.00">
                  <c:v>A-21</c:v>
                </c:pt>
                <c:pt idx="21" c:formatCode="0.00">
                  <c:v>A-22</c:v>
                </c:pt>
              </c:strCache>
            </c:strRef>
          </c:cat>
          <c:val>
            <c:numRef>
              <c:f>应变!$AB$29:$AB$50</c:f>
              <c:numCache>
                <c:formatCode>0_ </c:formatCode>
                <c:ptCount val="22"/>
                <c:pt idx="0">
                  <c:v>15</c:v>
                </c:pt>
                <c:pt idx="1">
                  <c:v>24</c:v>
                </c:pt>
                <c:pt idx="2">
                  <c:v>30</c:v>
                </c:pt>
                <c:pt idx="3">
                  <c:v>34</c:v>
                </c:pt>
                <c:pt idx="4">
                  <c:v>26</c:v>
                </c:pt>
                <c:pt idx="5">
                  <c:v>48</c:v>
                </c:pt>
                <c:pt idx="6">
                  <c:v>43</c:v>
                </c:pt>
                <c:pt idx="7">
                  <c:v>31</c:v>
                </c:pt>
                <c:pt idx="8">
                  <c:v>37</c:v>
                </c:pt>
                <c:pt idx="9">
                  <c:v>24</c:v>
                </c:pt>
                <c:pt idx="10">
                  <c:v>27</c:v>
                </c:pt>
                <c:pt idx="11">
                  <c:v>16</c:v>
                </c:pt>
                <c:pt idx="12">
                  <c:v>14</c:v>
                </c:pt>
                <c:pt idx="13">
                  <c:v>9</c:v>
                </c:pt>
                <c:pt idx="14" c:formatCode="General">
                  <c:v>5</c:v>
                </c:pt>
                <c:pt idx="15" c:formatCode="General">
                  <c:v>6</c:v>
                </c:pt>
                <c:pt idx="16" c:formatCode="General">
                  <c:v>5</c:v>
                </c:pt>
                <c:pt idx="17" c:formatCode="General">
                  <c:v>6</c:v>
                </c:pt>
                <c:pt idx="18" c:formatCode="General">
                  <c:v>5</c:v>
                </c:pt>
                <c:pt idx="19" c:formatCode="General">
                  <c:v>6</c:v>
                </c:pt>
                <c:pt idx="20" c:formatCode="General">
                  <c:v>5</c:v>
                </c:pt>
                <c:pt idx="21" c:formatCode="General">
                  <c:v>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4988370"/>
        <c:axId val="635247719"/>
      </c:lineChart>
      <c:catAx>
        <c:axId val="59498837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35247719"/>
        <c:crosses val="autoZero"/>
        <c:auto val="1"/>
        <c:lblAlgn val="ctr"/>
        <c:lblOffset val="100"/>
        <c:noMultiLvlLbl val="0"/>
      </c:catAx>
      <c:valAx>
        <c:axId val="6352477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应变（με）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59498837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应变!$B$51:$B$75</c:f>
              <c:strCache>
                <c:ptCount val="25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  <c:pt idx="4" c:formatCode="0.00">
                  <c:v>A-5</c:v>
                </c:pt>
                <c:pt idx="5" c:formatCode="0.00">
                  <c:v>A-6</c:v>
                </c:pt>
                <c:pt idx="6" c:formatCode="0.00">
                  <c:v>A-7</c:v>
                </c:pt>
                <c:pt idx="7" c:formatCode="0.00">
                  <c:v>A-8</c:v>
                </c:pt>
                <c:pt idx="8" c:formatCode="0.00">
                  <c:v>A-9</c:v>
                </c:pt>
                <c:pt idx="9" c:formatCode="0.00">
                  <c:v>A-10</c:v>
                </c:pt>
                <c:pt idx="10" c:formatCode="0.00">
                  <c:v>A-11</c:v>
                </c:pt>
                <c:pt idx="11" c:formatCode="0.00">
                  <c:v>A-12</c:v>
                </c:pt>
                <c:pt idx="12" c:formatCode="0.00">
                  <c:v>A-13</c:v>
                </c:pt>
                <c:pt idx="13" c:formatCode="0.00">
                  <c:v>A-14</c:v>
                </c:pt>
                <c:pt idx="14" c:formatCode="0.00">
                  <c:v>A-15</c:v>
                </c:pt>
                <c:pt idx="15" c:formatCode="0.00">
                  <c:v>A-16</c:v>
                </c:pt>
                <c:pt idx="16" c:formatCode="0.00">
                  <c:v>A-17</c:v>
                </c:pt>
                <c:pt idx="17" c:formatCode="0.00">
                  <c:v>A-18</c:v>
                </c:pt>
                <c:pt idx="18" c:formatCode="0.00">
                  <c:v>A-19</c:v>
                </c:pt>
                <c:pt idx="19" c:formatCode="0.00">
                  <c:v>A-20</c:v>
                </c:pt>
                <c:pt idx="20" c:formatCode="0.00">
                  <c:v>A-21</c:v>
                </c:pt>
                <c:pt idx="21" c:formatCode="0.00">
                  <c:v>A-22</c:v>
                </c:pt>
                <c:pt idx="22" c:formatCode="0.00">
                  <c:v>A-23</c:v>
                </c:pt>
                <c:pt idx="23" c:formatCode="0.00">
                  <c:v>A-24</c:v>
                </c:pt>
                <c:pt idx="24" c:formatCode="0.00">
                  <c:v>A-25</c:v>
                </c:pt>
              </c:strCache>
            </c:strRef>
          </c:cat>
          <c:val>
            <c:numRef>
              <c:f>应变!$J$51:$J$75</c:f>
              <c:numCache>
                <c:formatCode>General</c:formatCode>
                <c:ptCount val="25"/>
                <c:pt idx="0">
                  <c:v>70</c:v>
                </c:pt>
                <c:pt idx="1">
                  <c:v>77</c:v>
                </c:pt>
                <c:pt idx="2">
                  <c:v>87</c:v>
                </c:pt>
                <c:pt idx="3">
                  <c:v>93</c:v>
                </c:pt>
                <c:pt idx="4">
                  <c:v>100</c:v>
                </c:pt>
                <c:pt idx="5">
                  <c:v>100</c:v>
                </c:pt>
                <c:pt idx="6">
                  <c:v>93</c:v>
                </c:pt>
                <c:pt idx="7">
                  <c:v>87</c:v>
                </c:pt>
                <c:pt idx="8">
                  <c:v>80</c:v>
                </c:pt>
                <c:pt idx="9">
                  <c:v>70</c:v>
                </c:pt>
                <c:pt idx="10">
                  <c:v>60</c:v>
                </c:pt>
                <c:pt idx="11">
                  <c:v>50</c:v>
                </c:pt>
                <c:pt idx="12">
                  <c:v>40</c:v>
                </c:pt>
                <c:pt idx="13">
                  <c:v>33</c:v>
                </c:pt>
                <c:pt idx="14">
                  <c:v>27</c:v>
                </c:pt>
                <c:pt idx="15">
                  <c:v>20</c:v>
                </c:pt>
                <c:pt idx="16">
                  <c:v>27</c:v>
                </c:pt>
                <c:pt idx="17">
                  <c:v>20</c:v>
                </c:pt>
                <c:pt idx="18">
                  <c:v>27</c:v>
                </c:pt>
                <c:pt idx="19">
                  <c:v>20</c:v>
                </c:pt>
                <c:pt idx="20">
                  <c:v>27</c:v>
                </c:pt>
                <c:pt idx="21">
                  <c:v>20</c:v>
                </c:pt>
                <c:pt idx="22">
                  <c:v>20</c:v>
                </c:pt>
                <c:pt idx="23">
                  <c:v>27</c:v>
                </c:pt>
                <c:pt idx="24">
                  <c:v>20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应变!$B$51:$B$75</c:f>
              <c:strCache>
                <c:ptCount val="25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  <c:pt idx="4" c:formatCode="0.00">
                  <c:v>A-5</c:v>
                </c:pt>
                <c:pt idx="5" c:formatCode="0.00">
                  <c:v>A-6</c:v>
                </c:pt>
                <c:pt idx="6" c:formatCode="0.00">
                  <c:v>A-7</c:v>
                </c:pt>
                <c:pt idx="7" c:formatCode="0.00">
                  <c:v>A-8</c:v>
                </c:pt>
                <c:pt idx="8" c:formatCode="0.00">
                  <c:v>A-9</c:v>
                </c:pt>
                <c:pt idx="9" c:formatCode="0.00">
                  <c:v>A-10</c:v>
                </c:pt>
                <c:pt idx="10" c:formatCode="0.00">
                  <c:v>A-11</c:v>
                </c:pt>
                <c:pt idx="11" c:formatCode="0.00">
                  <c:v>A-12</c:v>
                </c:pt>
                <c:pt idx="12" c:formatCode="0.00">
                  <c:v>A-13</c:v>
                </c:pt>
                <c:pt idx="13" c:formatCode="0.00">
                  <c:v>A-14</c:v>
                </c:pt>
                <c:pt idx="14" c:formatCode="0.00">
                  <c:v>A-15</c:v>
                </c:pt>
                <c:pt idx="15" c:formatCode="0.00">
                  <c:v>A-16</c:v>
                </c:pt>
                <c:pt idx="16" c:formatCode="0.00">
                  <c:v>A-17</c:v>
                </c:pt>
                <c:pt idx="17" c:formatCode="0.00">
                  <c:v>A-18</c:v>
                </c:pt>
                <c:pt idx="18" c:formatCode="0.00">
                  <c:v>A-19</c:v>
                </c:pt>
                <c:pt idx="19" c:formatCode="0.00">
                  <c:v>A-20</c:v>
                </c:pt>
                <c:pt idx="20" c:formatCode="0.00">
                  <c:v>A-21</c:v>
                </c:pt>
                <c:pt idx="21" c:formatCode="0.00">
                  <c:v>A-22</c:v>
                </c:pt>
                <c:pt idx="22" c:formatCode="0.00">
                  <c:v>A-23</c:v>
                </c:pt>
                <c:pt idx="23" c:formatCode="0.00">
                  <c:v>A-24</c:v>
                </c:pt>
                <c:pt idx="24" c:formatCode="0.00">
                  <c:v>A-25</c:v>
                </c:pt>
              </c:strCache>
            </c:strRef>
          </c:cat>
          <c:val>
            <c:numRef>
              <c:f>应变!$AB$51:$AB$75</c:f>
              <c:numCache>
                <c:formatCode>General</c:formatCode>
                <c:ptCount val="25"/>
                <c:pt idx="0">
                  <c:v>15</c:v>
                </c:pt>
                <c:pt idx="1">
                  <c:v>24</c:v>
                </c:pt>
                <c:pt idx="2">
                  <c:v>30</c:v>
                </c:pt>
                <c:pt idx="3">
                  <c:v>34</c:v>
                </c:pt>
                <c:pt idx="4">
                  <c:v>26</c:v>
                </c:pt>
                <c:pt idx="5">
                  <c:v>48</c:v>
                </c:pt>
                <c:pt idx="6">
                  <c:v>43</c:v>
                </c:pt>
                <c:pt idx="7">
                  <c:v>31</c:v>
                </c:pt>
                <c:pt idx="8">
                  <c:v>37</c:v>
                </c:pt>
                <c:pt idx="9">
                  <c:v>24</c:v>
                </c:pt>
                <c:pt idx="10">
                  <c:v>27</c:v>
                </c:pt>
                <c:pt idx="11">
                  <c:v>16</c:v>
                </c:pt>
                <c:pt idx="12">
                  <c:v>14</c:v>
                </c:pt>
                <c:pt idx="13">
                  <c:v>9</c:v>
                </c:pt>
                <c:pt idx="14">
                  <c:v>5</c:v>
                </c:pt>
                <c:pt idx="15">
                  <c:v>6</c:v>
                </c:pt>
                <c:pt idx="16">
                  <c:v>5</c:v>
                </c:pt>
                <c:pt idx="17">
                  <c:v>6</c:v>
                </c:pt>
                <c:pt idx="18">
                  <c:v>5</c:v>
                </c:pt>
                <c:pt idx="19">
                  <c:v>6</c:v>
                </c:pt>
                <c:pt idx="20">
                  <c:v>5</c:v>
                </c:pt>
                <c:pt idx="21">
                  <c:v>6</c:v>
                </c:pt>
                <c:pt idx="22">
                  <c:v>6</c:v>
                </c:pt>
                <c:pt idx="23">
                  <c:v>5</c:v>
                </c:pt>
                <c:pt idx="24">
                  <c:v>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2790419"/>
        <c:axId val="277785578"/>
      </c:lineChart>
      <c:catAx>
        <c:axId val="32279041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277785578"/>
        <c:crosses val="autoZero"/>
        <c:auto val="1"/>
        <c:lblAlgn val="ctr"/>
        <c:lblOffset val="100"/>
        <c:noMultiLvlLbl val="0"/>
      </c:catAx>
      <c:valAx>
        <c:axId val="27778557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应变（με）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32279041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草稿!$B$1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草稿!$B$2:$B$11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2.03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草稿!$C$1</c:f>
              <c:strCache>
                <c:ptCount val="1"/>
                <c:pt idx="0">
                  <c:v>理论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草稿!$C$2:$C$11</c:f>
              <c:numCache>
                <c:formatCode>General</c:formatCode>
                <c:ptCount val="10"/>
                <c:pt idx="0">
                  <c:v>2.342</c:v>
                </c:pt>
                <c:pt idx="1">
                  <c:v>3.079</c:v>
                </c:pt>
                <c:pt idx="2">
                  <c:v>4.008</c:v>
                </c:pt>
                <c:pt idx="3">
                  <c:v>5.16</c:v>
                </c:pt>
                <c:pt idx="4">
                  <c:v>5.953</c:v>
                </c:pt>
                <c:pt idx="5">
                  <c:v>6.742</c:v>
                </c:pt>
                <c:pt idx="6">
                  <c:v>7.048</c:v>
                </c:pt>
                <c:pt idx="7">
                  <c:v>7.268</c:v>
                </c:pt>
                <c:pt idx="8">
                  <c:v>6.793</c:v>
                </c:pt>
                <c:pt idx="9">
                  <c:v>6.702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3717025"/>
        <c:axId val="771006398"/>
      </c:scatterChart>
      <c:valAx>
        <c:axId val="68371702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测点号</a:t>
                </a:r>
                <a:endParaRPr lang="zh-CN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771006398"/>
        <c:crosses val="autoZero"/>
        <c:crossBetween val="midCat"/>
      </c:valAx>
      <c:valAx>
        <c:axId val="77100639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挠度值（</a:t>
                </a:r>
                <a:r>
                  <a:rPr lang="en-US" altLang="zh-CN"/>
                  <a:t>mm</a:t>
                </a:r>
                <a:r>
                  <a:rPr lang="en-US" altLang="en-US">
                    <a:ea typeface="宋体" panose="02010600030101010101" pitchFamily="7" charset="-122"/>
                  </a:rPr>
                  <a:t>）</a:t>
                </a:r>
                <a:endParaRPr lang="en-US" altLang="en-US">
                  <a:ea typeface="宋体" panose="02010600030101010101" pitchFamily="7" charset="-122"/>
                </a:endParaRP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#,##0.00_ 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8371702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84444444444444"/>
          <c:y val="0.0927083333333333"/>
        </c:manualLayout>
      </c:layout>
      <c:overlay val="1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草稿!$B$1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草稿!$B$2:$B$11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2.03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草稿!$C$1</c:f>
              <c:strCache>
                <c:ptCount val="1"/>
                <c:pt idx="0">
                  <c:v>理论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草稿!$C$2:$C$11</c:f>
              <c:numCache>
                <c:formatCode>General</c:formatCode>
                <c:ptCount val="10"/>
                <c:pt idx="0">
                  <c:v>2.342</c:v>
                </c:pt>
                <c:pt idx="1">
                  <c:v>3.079</c:v>
                </c:pt>
                <c:pt idx="2">
                  <c:v>4.008</c:v>
                </c:pt>
                <c:pt idx="3">
                  <c:v>5.16</c:v>
                </c:pt>
                <c:pt idx="4">
                  <c:v>5.953</c:v>
                </c:pt>
                <c:pt idx="5">
                  <c:v>6.742</c:v>
                </c:pt>
                <c:pt idx="6">
                  <c:v>7.048</c:v>
                </c:pt>
                <c:pt idx="7">
                  <c:v>7.268</c:v>
                </c:pt>
                <c:pt idx="8">
                  <c:v>6.793</c:v>
                </c:pt>
                <c:pt idx="9">
                  <c:v>6.702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2926960"/>
        <c:axId val="604775472"/>
      </c:scatterChart>
      <c:valAx>
        <c:axId val="592926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测点号</a:t>
                </a:r>
                <a:endParaRPr lang="zh-CN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04775472"/>
        <c:crosses val="autoZero"/>
        <c:crossBetween val="midCat"/>
      </c:valAx>
      <c:valAx>
        <c:axId val="604775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挠度值（</a:t>
                </a:r>
                <a:r>
                  <a:rPr lang="en-US" altLang="zh-CN"/>
                  <a:t>mm</a:t>
                </a:r>
                <a:r>
                  <a:rPr lang="zh-CN" altLang="en-US"/>
                  <a:t>）</a:t>
                </a:r>
                <a:endParaRPr lang="zh-CN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5929269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75"/>
          <c:y val="0.204200933216681"/>
          <c:w val="0.183333333333333"/>
          <c:h val="0.156251093613298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草稿!$E$1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草稿!$D$2:$D$11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cat>
          <c:val>
            <c:numRef>
              <c:f>草稿!$E$2:$E$11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5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草稿!$F$1</c:f>
              <c:strCache>
                <c:ptCount val="1"/>
                <c:pt idx="0">
                  <c:v>理论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草稿!$D$2:$D$11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cat>
          <c:val>
            <c:numRef>
              <c:f>草稿!$F$2:$F$11</c:f>
              <c:numCache>
                <c:formatCode>General</c:formatCode>
                <c:ptCount val="10"/>
                <c:pt idx="0">
                  <c:v>2.342</c:v>
                </c:pt>
                <c:pt idx="1">
                  <c:v>3.079</c:v>
                </c:pt>
                <c:pt idx="2">
                  <c:v>4.008</c:v>
                </c:pt>
                <c:pt idx="3">
                  <c:v>5.16</c:v>
                </c:pt>
                <c:pt idx="4">
                  <c:v>5.953</c:v>
                </c:pt>
                <c:pt idx="5">
                  <c:v>6.742</c:v>
                </c:pt>
                <c:pt idx="6">
                  <c:v>7.048</c:v>
                </c:pt>
                <c:pt idx="7">
                  <c:v>7.268</c:v>
                </c:pt>
                <c:pt idx="8">
                  <c:v>6.793</c:v>
                </c:pt>
                <c:pt idx="9">
                  <c:v>6.702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4156077"/>
        <c:axId val="124674535"/>
      </c:lineChart>
      <c:catAx>
        <c:axId val="374156077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24674535"/>
        <c:crosses val="autoZero"/>
        <c:auto val="1"/>
        <c:lblAlgn val="ctr"/>
        <c:lblOffset val="100"/>
        <c:noMultiLvlLbl val="0"/>
      </c:catAx>
      <c:valAx>
        <c:axId val="1246745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37415607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0802083333333333"/>
          <c:y val="0.169212962962963"/>
        </c:manualLayout>
      </c:layout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9298523206751"/>
          <c:y val="0.0755531570426336"/>
          <c:w val="0.828639240506329"/>
          <c:h val="0.752905198776758"/>
        </c:manualLayout>
      </c:layout>
      <c:lineChart>
        <c:grouping val="standard"/>
        <c:varyColors val="0"/>
        <c:ser>
          <c:idx val="0"/>
          <c:order val="0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挠度!$B$13:$B$16</c:f>
              <c:strCache>
                <c:ptCount val="4"/>
                <c:pt idx="0">
                  <c:v>1#</c:v>
                </c:pt>
                <c:pt idx="1">
                  <c:v>2#</c:v>
                </c:pt>
                <c:pt idx="2">
                  <c:v>3#</c:v>
                </c:pt>
                <c:pt idx="3">
                  <c:v>4#</c:v>
                </c:pt>
              </c:strCache>
            </c:strRef>
          </c:cat>
          <c:val>
            <c:numRef>
              <c:f>挠度!$I$13:$I$16</c:f>
              <c:numCache>
                <c:formatCode>0.00_ </c:formatCode>
                <c:ptCount val="4"/>
              </c:numCache>
            </c:numRef>
          </c:val>
          <c:smooth val="0"/>
        </c:ser>
        <c:ser>
          <c:idx val="1"/>
          <c:order val="1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挠度!$B$13:$B$16</c:f>
              <c:strCache>
                <c:ptCount val="4"/>
                <c:pt idx="0">
                  <c:v>1#</c:v>
                </c:pt>
                <c:pt idx="1">
                  <c:v>2#</c:v>
                </c:pt>
                <c:pt idx="2">
                  <c:v>3#</c:v>
                </c:pt>
                <c:pt idx="3">
                  <c:v>4#</c:v>
                </c:pt>
              </c:strCache>
            </c:strRef>
          </c:cat>
          <c:val>
            <c:numRef>
              <c:f>挠度!$F$13:$F$16</c:f>
              <c:numCache>
                <c:formatCode>0.00_ </c:formatCode>
                <c:ptCount val="4"/>
                <c:pt idx="0">
                  <c:v>1.95</c:v>
                </c:pt>
                <c:pt idx="1">
                  <c:v>2.06</c:v>
                </c:pt>
                <c:pt idx="2">
                  <c:v>2.19</c:v>
                </c:pt>
                <c:pt idx="3">
                  <c:v>2.27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2708570"/>
        <c:axId val="407792918"/>
      </c:lineChart>
      <c:catAx>
        <c:axId val="742708570"/>
        <c:scaling>
          <c:orientation val="minMax"/>
        </c:scaling>
        <c:delete val="0"/>
        <c:axPos val="b"/>
        <c:title>
          <c:tx>
            <c:rich>
              <a:bodyPr rot="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测点号</a:t>
                </a:r>
              </a:p>
            </c:rich>
          </c:tx>
          <c:layout>
            <c:manualLayout>
              <c:xMode val="edge"/>
              <c:yMode val="edge"/>
              <c:x val="0.480828571428571"/>
              <c:y val="0.918564937664915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_ &quot;￥&quot;* #,##0.00_ ;_ &quot;￥&quot;* \-#,##0.00_ ;_ &quot;￥&quot;* &quot;-&quot;??_ ;_ @_ " sourceLinked="0"/>
        <c:majorTickMark val="cross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407792918"/>
        <c:crosses val="autoZero"/>
        <c:auto val="1"/>
        <c:lblAlgn val="ctr"/>
        <c:lblOffset val="100"/>
        <c:noMultiLvlLbl val="0"/>
      </c:catAx>
      <c:valAx>
        <c:axId val="407792918"/>
        <c:scaling>
          <c:orientation val="minMax"/>
        </c:scaling>
        <c:delete val="0"/>
        <c:axPos val="l"/>
        <c:majorGridlines>
          <c:spPr>
            <a:ln w="12700" cap="flat" cmpd="sng" algn="ctr">
              <a:solidFill>
                <a:schemeClr val="tx1"/>
              </a:solidFill>
              <a:prstDash val="sysDash"/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挠度值（mm）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.0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742708570"/>
        <c:crosses val="autoZero"/>
        <c:crossBetween val="midCat"/>
      </c:valAx>
      <c:spPr>
        <a:solidFill>
          <a:schemeClr val="bg1"/>
        </a:solidFill>
        <a:ln>
          <a:solidFill>
            <a:schemeClr val="tx1"/>
          </a:solidFill>
        </a:ln>
        <a:effectLst/>
      </c:spPr>
    </c:plotArea>
    <c:legend>
      <c:legendPos val="b"/>
      <c:layout>
        <c:manualLayout>
          <c:xMode val="edge"/>
          <c:yMode val="edge"/>
          <c:x val="0.632832225913621"/>
          <c:y val="0.358092916953701"/>
        </c:manualLayout>
      </c:layout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>
        <a:lumMod val="7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externalData r:id="rId1">
    <c:autoUpdate val="0"/>
  </c:externalData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ctrlProps/ctrlProp3.xml><?xml version="1.0" encoding="utf-8"?>
<formControlPr xmlns="http://schemas.microsoft.com/office/spreadsheetml/2009/9/main" objectType="Radio" checked="Checked" firstButton="1" noThreeD="1" val="0"/>
</file>

<file path=xl/ctrlProps/ctrlProp4.xml><?xml version="1.0" encoding="utf-8"?>
<formControlPr xmlns="http://schemas.microsoft.com/office/spreadsheetml/2009/9/main" objectType="GBox" noThreeD="1" val="0"/>
</file>

<file path=xl/ctrlProps/ctrlProp5.xml><?xml version="1.0" encoding="utf-8"?>
<formControlPr xmlns="http://schemas.microsoft.com/office/spreadsheetml/2009/9/main" objectType="Radio" noThreeD="1" val="0"/>
</file>

<file path=xl/ctrlProps/ctrlProp6.xml><?xml version="1.0" encoding="utf-8"?>
<formControlPr xmlns="http://schemas.microsoft.com/office/spreadsheetml/2009/9/main" objectType="Label" val="0"/>
</file>

<file path=xl/ctrlProps/ctrlProp7.xml><?xml version="1.0" encoding="utf-8"?>
<formControlPr xmlns="http://schemas.microsoft.com/office/spreadsheetml/2009/9/main" objectType="Label" val="0"/>
</file>

<file path=xl/ctrlProps/ctrlProp8.xml><?xml version="1.0" encoding="utf-8"?>
<formControlPr xmlns="http://schemas.microsoft.com/office/spreadsheetml/2009/9/main" objectType="Label" val="0"/>
</file>

<file path=xl/ctrlProps/ctrlProp9.xml><?xml version="1.0" encoding="utf-8"?>
<formControlPr xmlns="http://schemas.microsoft.com/office/spreadsheetml/2009/9/main" objectType="Button" val="0"/>
</file>

<file path=xl/ctrlProps/ctrlProp10.xml><?xml version="1.0" encoding="utf-8"?>
<formControlPr xmlns="http://schemas.microsoft.com/office/spreadsheetml/2009/9/main" objectType="Button" val="0"/>
</file>

<file path=xl/ctrlProps/ctrlProp11.xml><?xml version="1.0" encoding="utf-8"?>
<formControlPr xmlns="http://schemas.microsoft.com/office/spreadsheetml/2009/9/main" objectType="Button" val="0"/>
</file>

<file path=xl/ctrlProps/ctrlProp12.xml><?xml version="1.0" encoding="utf-8"?>
<formControlPr xmlns="http://schemas.microsoft.com/office/spreadsheetml/2009/9/main" objectType="CheckBox" val="0"/>
</file>

<file path=xl/ctrlProps/ctrlProp13.xml><?xml version="1.0" encoding="utf-8"?>
<formControlPr xmlns="http://schemas.microsoft.com/office/spreadsheetml/2009/9/main" objectType="CheckBox" val="0"/>
</file>

<file path=xl/ctrlProps/ctrlProp14.xml><?xml version="1.0" encoding="utf-8"?>
<formControlPr xmlns="http://schemas.microsoft.com/office/spreadsheetml/2009/9/main" objectType="CheckBox" val="0"/>
</file>

<file path=xl/ctrlProps/ctrlProp15.xml><?xml version="1.0" encoding="utf-8"?>
<formControlPr xmlns="http://schemas.microsoft.com/office/spreadsheetml/2009/9/main" objectType="CheckBox" val="0"/>
</file>

<file path=xl/ctrlProps/ctrlProp16.xml><?xml version="1.0" encoding="utf-8"?>
<formControlPr xmlns="http://schemas.microsoft.com/office/spreadsheetml/2009/9/main" objectType="CheckBox" val="0"/>
</file>

<file path=xl/ctrlProps/ctrlProp17.xml><?xml version="1.0" encoding="utf-8"?>
<formControlPr xmlns="http://schemas.microsoft.com/office/spreadsheetml/2009/9/main" objectType="CheckBox" val="0"/>
</file>

<file path=xl/ctrlProps/ctrlProp18.xml><?xml version="1.0" encoding="utf-8"?>
<formControlPr xmlns="http://schemas.microsoft.com/office/spreadsheetml/2009/9/main" objectType="CheckBox" val="0"/>
</file>

<file path=xl/ctrlProps/ctrlProp19.xml><?xml version="1.0" encoding="utf-8"?>
<formControlPr xmlns="http://schemas.microsoft.com/office/spreadsheetml/2009/9/main" objectType="CheckBox" val="0"/>
</file>

<file path=xl/ctrlProps/ctrlProp20.xml><?xml version="1.0" encoding="utf-8"?>
<formControlPr xmlns="http://schemas.microsoft.com/office/spreadsheetml/2009/9/main" objectType="CheckBox" val="0"/>
</file>

<file path=xl/ctrlProps/ctrlProp21.xml><?xml version="1.0" encoding="utf-8"?>
<formControlPr xmlns="http://schemas.microsoft.com/office/spreadsheetml/2009/9/main" objectType="CheckBox" val="0"/>
</file>

<file path=xl/ctrlProps/ctrlProp22.xml><?xml version="1.0" encoding="utf-8"?>
<formControlPr xmlns="http://schemas.microsoft.com/office/spreadsheetml/2009/9/main" objectType="CheckBox" val="0"/>
</file>

<file path=xl/ctrlProps/ctrlProp23.xml><?xml version="1.0" encoding="utf-8"?>
<formControlPr xmlns="http://schemas.microsoft.com/office/spreadsheetml/2009/9/main" objectType="CheckBox" val="0"/>
</file>

<file path=xl/ctrlProps/ctrlProp24.xml><?xml version="1.0" encoding="utf-8"?>
<formControlPr xmlns="http://schemas.microsoft.com/office/spreadsheetml/2009/9/main" objectType="CheckBox" val="0"/>
</file>

<file path=xl/ctrlProps/ctrlProp25.xml><?xml version="1.0" encoding="utf-8"?>
<formControlPr xmlns="http://schemas.microsoft.com/office/spreadsheetml/2009/9/main" objectType="CheckBox" checked="Checked" val="0"/>
</file>

<file path=xl/ctrlProps/ctrlProp26.xml><?xml version="1.0" encoding="utf-8"?>
<formControlPr xmlns="http://schemas.microsoft.com/office/spreadsheetml/2009/9/main" objectType="CheckBox" val="0"/>
</file>

<file path=xl/ctrlProps/ctrlProp27.xml><?xml version="1.0" encoding="utf-8"?>
<formControlPr xmlns="http://schemas.microsoft.com/office/spreadsheetml/2009/9/main" objectType="CheckBox" val="0"/>
</file>

<file path=xl/ctrlProps/ctrlProp28.xml><?xml version="1.0" encoding="utf-8"?>
<formControlPr xmlns="http://schemas.microsoft.com/office/spreadsheetml/2009/9/main" objectType="CheckBox" val="0"/>
</file>

<file path=xl/ctrlProps/ctrlProp29.xml><?xml version="1.0" encoding="utf-8"?>
<formControlPr xmlns="http://schemas.microsoft.com/office/spreadsheetml/2009/9/main" objectType="CheckBox" val="0"/>
</file>

<file path=xl/ctrlProps/ctrlProp30.xml><?xml version="1.0" encoding="utf-8"?>
<formControlPr xmlns="http://schemas.microsoft.com/office/spreadsheetml/2009/9/main" objectType="CheckBox" val="0"/>
</file>

<file path=xl/ctrlProps/ctrlProp31.xml><?xml version="1.0" encoding="utf-8"?>
<formControlPr xmlns="http://schemas.microsoft.com/office/spreadsheetml/2009/9/main" objectType="CheckBox" checked="Checked" val="0"/>
</file>

<file path=xl/ctrlProps/ctrlProp32.xml><?xml version="1.0" encoding="utf-8"?>
<formControlPr xmlns="http://schemas.microsoft.com/office/spreadsheetml/2009/9/main" objectType="Button" val="0"/>
</file>

<file path=xl/ctrlProps/ctrlProp33.xml><?xml version="1.0" encoding="utf-8"?>
<formControlPr xmlns="http://schemas.microsoft.com/office/spreadsheetml/2009/9/main" objectType="Button" val="0"/>
</file>

<file path=xl/ctrlProps/ctrlProp34.xml><?xml version="1.0" encoding="utf-8"?>
<formControlPr xmlns="http://schemas.microsoft.com/office/spreadsheetml/2009/9/main" objectType="Button" val="0"/>
</file>

<file path=xl/ctrlProps/ctrlProp35.xml><?xml version="1.0" encoding="utf-8"?>
<formControlPr xmlns="http://schemas.microsoft.com/office/spreadsheetml/2009/9/main" objectType="Button" val="0"/>
</file>

<file path=xl/ctrlProps/ctrlProp36.xml><?xml version="1.0" encoding="utf-8"?>
<formControlPr xmlns="http://schemas.microsoft.com/office/spreadsheetml/2009/9/main" objectType="Button" val="0"/>
</file>

<file path=xl/ctrlProps/ctrlProp37.xml><?xml version="1.0" encoding="utf-8"?>
<formControlPr xmlns="http://schemas.microsoft.com/office/spreadsheetml/2009/9/main" objectType="Button" val="0"/>
</file>

<file path=xl/ctrlProps/ctrlProp38.xml><?xml version="1.0" encoding="utf-8"?>
<formControlPr xmlns="http://schemas.microsoft.com/office/spreadsheetml/2009/9/main" objectType="GBox" noThreeD="1" val="0"/>
</file>

<file path=xl/ctrlProps/ctrlProp39.xml><?xml version="1.0" encoding="utf-8"?>
<formControlPr xmlns="http://schemas.microsoft.com/office/spreadsheetml/2009/9/main" objectType="Button" val="0"/>
</file>

<file path=xl/ctrlProps/ctrlProp40.xml><?xml version="1.0" encoding="utf-8"?>
<formControlPr xmlns="http://schemas.microsoft.com/office/spreadsheetml/2009/9/main" objectType="Button" val="0"/>
</file>

<file path=xl/ctrlProps/ctrlProp41.xml><?xml version="1.0" encoding="utf-8"?>
<formControlPr xmlns="http://schemas.microsoft.com/office/spreadsheetml/2009/9/main" objectType="Button" val="0"/>
</file>

<file path=xl/ctrlProps/ctrlProp42.xml><?xml version="1.0" encoding="utf-8"?>
<formControlPr xmlns="http://schemas.microsoft.com/office/spreadsheetml/2009/9/main" objectType="Button" val="0"/>
</file>

<file path=xl/ctrlProps/ctrlProp43.xml><?xml version="1.0" encoding="utf-8"?>
<formControlPr xmlns="http://schemas.microsoft.com/office/spreadsheetml/2009/9/main" objectType="Button" val="0"/>
</file>

<file path=xl/ctrlProps/ctrlProp44.xml><?xml version="1.0" encoding="utf-8"?>
<formControlPr xmlns="http://schemas.microsoft.com/office/spreadsheetml/2009/9/main" objectType="GBox" noThreeD="1" val="0"/>
</file>

<file path=xl/ctrlProps/ctrlProp45.xml><?xml version="1.0" encoding="utf-8"?>
<formControlPr xmlns="http://schemas.microsoft.com/office/spreadsheetml/2009/9/main" objectType="Button" val="0"/>
</file>

<file path=xl/ctrlProps/ctrlProp46.xml><?xml version="1.0" encoding="utf-8"?>
<formControlPr xmlns="http://schemas.microsoft.com/office/spreadsheetml/2009/9/main" objectType="Button" val="0"/>
</file>

<file path=xl/ctrlProps/ctrlProp47.xml><?xml version="1.0" encoding="utf-8"?>
<formControlPr xmlns="http://schemas.microsoft.com/office/spreadsheetml/2009/9/main" objectType="Button" val="0"/>
</file>

<file path=xl/ctrlProps/ctrlProp48.xml><?xml version="1.0" encoding="utf-8"?>
<formControlPr xmlns="http://schemas.microsoft.com/office/spreadsheetml/2009/9/main" objectType="Button" val="0"/>
</file>

<file path=xl/ctrlProps/ctrlProp49.xml><?xml version="1.0" encoding="utf-8"?>
<formControlPr xmlns="http://schemas.microsoft.com/office/spreadsheetml/2009/9/main" objectType="Button" val="0"/>
</file>

<file path=xl/ctrlProps/ctrlProp50.xml><?xml version="1.0" encoding="utf-8"?>
<formControlPr xmlns="http://schemas.microsoft.com/office/spreadsheetml/2009/9/main" objectType="Button" val="0"/>
</file>

<file path=xl/ctrlProps/ctrlProp51.xml><?xml version="1.0" encoding="utf-8"?>
<formControlPr xmlns="http://schemas.microsoft.com/office/spreadsheetml/2009/9/main" objectType="CheckBox" checked="Checked" val="0"/>
</file>

<file path=xl/ctrlProps/ctrlProp52.xml><?xml version="1.0" encoding="utf-8"?>
<formControlPr xmlns="http://schemas.microsoft.com/office/spreadsheetml/2009/9/main" objectType="GBox" val="0"/>
</file>

<file path=xl/ctrlProps/ctrlProp53.xml><?xml version="1.0" encoding="utf-8"?>
<formControlPr xmlns="http://schemas.microsoft.com/office/spreadsheetml/2009/9/main" objectType="GBox" val="0"/>
</file>

<file path=xl/ctrlProps/ctrlProp54.xml><?xml version="1.0" encoding="utf-8"?>
<formControlPr xmlns="http://schemas.microsoft.com/office/spreadsheetml/2009/9/main" objectType="Button" val="0"/>
</file>

<file path=xl/ctrlProps/ctrlProp55.xml><?xml version="1.0" encoding="utf-8"?>
<formControlPr xmlns="http://schemas.microsoft.com/office/spreadsheetml/2009/9/main" objectType="Button" val="0"/>
</file>

<file path=xl/ctrlProps/ctrlProp56.xml><?xml version="1.0" encoding="utf-8"?>
<formControlPr xmlns="http://schemas.microsoft.com/office/spreadsheetml/2009/9/main" objectType="CheckBox" checked="Checked" val="0"/>
</file>

<file path=xl/ctrlProps/ctrlProp57.xml><?xml version="1.0" encoding="utf-8"?>
<formControlPr xmlns="http://schemas.microsoft.com/office/spreadsheetml/2009/9/main" objectType="Button" val="0"/>
</file>

<file path=xl/ctrlProps/ctrlProp58.xml><?xml version="1.0" encoding="utf-8"?>
<formControlPr xmlns="http://schemas.microsoft.com/office/spreadsheetml/2009/9/main" objectType="Button" val="0"/>
</file>

<file path=xl/ctrlProps/ctrlProp59.xml><?xml version="1.0" encoding="utf-8"?>
<formControlPr xmlns="http://schemas.microsoft.com/office/spreadsheetml/2009/9/main" objectType="Button" val="0"/>
</file>

<file path=xl/ctrlProps/ctrlProp60.xml><?xml version="1.0" encoding="utf-8"?>
<formControlPr xmlns="http://schemas.microsoft.com/office/spreadsheetml/2009/9/main" objectType="Button" val="0"/>
</file>

<file path=xl/ctrlProps/ctrlProp61.xml><?xml version="1.0" encoding="utf-8"?>
<formControlPr xmlns="http://schemas.microsoft.com/office/spreadsheetml/2009/9/main" objectType="Button" val="0"/>
</file>

<file path=xl/ctrlProps/ctrlProp62.xml><?xml version="1.0" encoding="utf-8"?>
<formControlPr xmlns="http://schemas.microsoft.com/office/spreadsheetml/2009/9/main" objectType="Button" val="0"/>
</file>

<file path=xl/ctrlProps/ctrlProp63.xml><?xml version="1.0" encoding="utf-8"?>
<formControlPr xmlns="http://schemas.microsoft.com/office/spreadsheetml/2009/9/main" objectType="Button" val="0"/>
</file>

<file path=xl/ctrlProps/ctrlProp64.xml><?xml version="1.0" encoding="utf-8"?>
<formControlPr xmlns="http://schemas.microsoft.com/office/spreadsheetml/2009/9/main" objectType="Button" val="0"/>
</file>

<file path=xl/ctrlProps/ctrlProp65.xml><?xml version="1.0" encoding="utf-8"?>
<formControlPr xmlns="http://schemas.microsoft.com/office/spreadsheetml/2009/9/main" objectType="Button" val="0"/>
</file>

<file path=xl/ctrlProps/ctrlProp66.xml><?xml version="1.0" encoding="utf-8"?>
<formControlPr xmlns="http://schemas.microsoft.com/office/spreadsheetml/2009/9/main" objectType="Button" val="0"/>
</file>

<file path=xl/ctrlProps/ctrlProp67.xml><?xml version="1.0" encoding="utf-8"?>
<formControlPr xmlns="http://schemas.microsoft.com/office/spreadsheetml/2009/9/main" objectType="Button" val="0"/>
</file>

<file path=xl/drawings/_rels/drawing3.xml.rels><?xml version="1.0" encoding="UTF-8" standalone="yes"?>
<Relationships xmlns="http://schemas.openxmlformats.org/package/2006/relationships"><Relationship Id="rId6" Type="http://schemas.openxmlformats.org/officeDocument/2006/relationships/image" Target="../media/image3.png"/><Relationship Id="rId5" Type="http://schemas.openxmlformats.org/officeDocument/2006/relationships/image" Target="../media/image2.png"/><Relationship Id="rId4" Type="http://schemas.openxmlformats.org/officeDocument/2006/relationships/image" Target="../media/image1.png"/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9.xml.rels><?xml version="1.0" encoding="UTF-8" standalone="yes"?>
<Relationships xmlns="http://schemas.openxmlformats.org/package/2006/relationships"><Relationship Id="rId5" Type="http://schemas.openxmlformats.org/officeDocument/2006/relationships/image" Target="../media/image7.png"/><Relationship Id="rId4" Type="http://schemas.openxmlformats.org/officeDocument/2006/relationships/chart" Target="../charts/chart10.xml"/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10</xdr:row>
          <xdr:rowOff>123825</xdr:rowOff>
        </xdr:from>
        <xdr:to>
          <xdr:col>8</xdr:col>
          <xdr:colOff>276225</xdr:colOff>
          <xdr:row>12</xdr:row>
          <xdr:rowOff>0</xdr:rowOff>
        </xdr:to>
        <xdr:sp macro="[0]!instructions_Click">
          <xdr:nvSpPr>
            <xdr:cNvPr id="7175" name="Button 7" hidden="1">
              <a:extLst>
                <a:ext uri="{63B3BB69-23CF-44E3-9099-C40C66FF867C}">
                  <a14:compatExt spid="_x0000_s7175"/>
                </a:ext>
              </a:extLst>
            </xdr:cNvPr>
            <xdr:cNvSpPr/>
          </xdr:nvSpPr>
          <xdr:spPr>
            <a:xfrm>
              <a:off x="4829175" y="1838325"/>
              <a:ext cx="933450" cy="2190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使用说明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38100</xdr:colOff>
      <xdr:row>7</xdr:row>
      <xdr:rowOff>104775</xdr:rowOff>
    </xdr:from>
    <xdr:to>
      <xdr:col>6</xdr:col>
      <xdr:colOff>76200</xdr:colOff>
      <xdr:row>11</xdr:row>
      <xdr:rowOff>123825</xdr:rowOff>
    </xdr:to>
    <xdr:grpSp>
      <xdr:nvGrpSpPr>
        <xdr:cNvPr id="2" name="组合 1"/>
        <xdr:cNvGrpSpPr/>
      </xdr:nvGrpSpPr>
      <xdr:grpSpPr>
        <a:xfrm>
          <a:off x="2095500" y="1304925"/>
          <a:ext cx="2095500" cy="704850"/>
          <a:chOff x="4124325" y="1209678"/>
          <a:chExt cx="2095500" cy="742950"/>
        </a:xfrm>
      </xdr:grpSpPr>
      <mc:AlternateContent xmlns:mc="http://schemas.openxmlformats.org/markup-compatibility/2006">
        <mc:Choice xmlns:a14="http://schemas.microsoft.com/office/drawing/2010/main" Requires="a14">
          <xdr:sp macro="[0]!CheckUpdate">
            <xdr:nvSpPr>
              <xdr:cNvPr id="7177" name="Button 9" hidden="1">
                <a:extLst>
                  <a:ext uri="{63B3BB69-23CF-44E3-9099-C40C66FF867C}">
                    <a14:compatExt spid="_x0000_s7177"/>
                  </a:ext>
                </a:extLst>
              </xdr:cNvPr>
              <xdr:cNvSpPr/>
            </xdr:nvSpPr>
            <xdr:spPr>
              <a:xfrm>
                <a:off x="4324350" y="1685925"/>
                <a:ext cx="895350" cy="209550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检查更新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7178" name="op1" hidden="1">
                <a:extLst>
                  <a:ext uri="{63B3BB69-23CF-44E3-9099-C40C66FF867C}">
                    <a14:compatExt spid="_x0000_s7178"/>
                  </a:ext>
                </a:extLst>
              </xdr:cNvPr>
              <xdr:cNvSpPr/>
            </xdr:nvSpPr>
            <xdr:spPr>
              <a:xfrm>
                <a:off x="4286250" y="1371600"/>
                <a:ext cx="695325" cy="276225"/>
              </a:xfrm>
              <a:prstGeom prst="rect">
                <a:avLst/>
              </a:prstGeom>
            </xdr:spPr>
            <xdr:txBody>
              <a:bodyPr vertOverflow="clip" wrap="square" lIns="27432" tIns="32004" rIns="0" bIns="32004" anchor="ctr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单位内网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7180" name="Group Box 12" hidden="1">
                <a:extLst>
                  <a:ext uri="{63B3BB69-23CF-44E3-9099-C40C66FF867C}">
                    <a14:compatExt spid="_x0000_s7180"/>
                  </a:ext>
                </a:extLst>
              </xdr:cNvPr>
              <xdr:cNvSpPr/>
            </xdr:nvSpPr>
            <xdr:spPr>
              <a:xfrm>
                <a:off x="4124325" y="1209678"/>
                <a:ext cx="2095500" cy="742950"/>
              </a:xfrm>
              <a:prstGeom prst="rect">
                <a:avLst/>
              </a:prstGeom>
            </xdr:spPr>
            <xdr:txBody>
              <a:bodyPr vertOverflow="clip" wrap="none" lIns="27432" tIns="32004" rIns="0" bIns="0" anchor="t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当前网络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7181" name="op2" hidden="1">
                <a:extLst>
                  <a:ext uri="{63B3BB69-23CF-44E3-9099-C40C66FF867C}">
                    <a14:compatExt spid="_x0000_s7181"/>
                  </a:ext>
                </a:extLst>
              </xdr:cNvPr>
              <xdr:cNvSpPr/>
            </xdr:nvSpPr>
            <xdr:spPr>
              <a:xfrm>
                <a:off x="5153025" y="1362075"/>
                <a:ext cx="923925" cy="276225"/>
              </a:xfrm>
              <a:prstGeom prst="rect">
                <a:avLst/>
              </a:prstGeom>
            </xdr:spPr>
            <xdr:txBody>
              <a:bodyPr vertOverflow="clip" wrap="square" lIns="27432" tIns="32004" rIns="0" bIns="32004" anchor="ctr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外网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13</xdr:row>
          <xdr:rowOff>9525</xdr:rowOff>
        </xdr:from>
        <xdr:to>
          <xdr:col>9</xdr:col>
          <xdr:colOff>466725</xdr:colOff>
          <xdr:row>14</xdr:row>
          <xdr:rowOff>152400</xdr:rowOff>
        </xdr:to>
        <xdr:sp>
          <xdr:nvSpPr>
            <xdr:cNvPr id="7182" name="label1" hidden="1">
              <a:extLst>
                <a:ext uri="{63B3BB69-23CF-44E3-9099-C40C66FF867C}">
                  <a14:compatExt spid="_x0000_s7182"/>
                </a:ext>
              </a:extLst>
            </xdr:cNvPr>
            <xdr:cNvSpPr/>
          </xdr:nvSpPr>
          <xdr:spPr>
            <a:xfrm>
              <a:off x="2066925" y="2238375"/>
              <a:ext cx="4572000" cy="314325"/>
            </a:xfrm>
            <a:prstGeom prst="rect">
              <a:avLst/>
            </a:prstGeom>
          </xdr:spPr>
          <xdr:txBody>
            <a:bodyPr vertOverflow="clip" wrap="square" lIns="27432" tIns="32004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rPr>
                <a:t>CopyRight 2019 - 福建省建筑科学研究院 - 福建省建筑工程质量检测中心有限公司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Microsoft YaHei UI" panose="020B0503020204020204" charset="-122"/>
                <a:ea typeface="Microsoft YaHei UI" panose="020B0503020204020204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14</xdr:row>
          <xdr:rowOff>114300</xdr:rowOff>
        </xdr:from>
        <xdr:to>
          <xdr:col>4</xdr:col>
          <xdr:colOff>228600</xdr:colOff>
          <xdr:row>16</xdr:row>
          <xdr:rowOff>76200</xdr:rowOff>
        </xdr:to>
        <xdr:sp>
          <xdr:nvSpPr>
            <xdr:cNvPr id="7183" name="VersionPrompt" hidden="1">
              <a:extLst>
                <a:ext uri="{63B3BB69-23CF-44E3-9099-C40C66FF867C}">
                  <a14:compatExt spid="_x0000_s7183"/>
                </a:ext>
              </a:extLst>
            </xdr:cNvPr>
            <xdr:cNvSpPr/>
          </xdr:nvSpPr>
          <xdr:spPr>
            <a:xfrm>
              <a:off x="2095500" y="2514600"/>
              <a:ext cx="876300" cy="304800"/>
            </a:xfrm>
            <a:prstGeom prst="rect">
              <a:avLst/>
            </a:prstGeom>
          </xdr:spPr>
          <xdr:txBody>
            <a:bodyPr vertOverflow="clip" wrap="square" lIns="27432" tIns="32004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rPr>
                <a:t>当前版本：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Microsoft YaHei UI" panose="020B0503020204020204" charset="-122"/>
                <a:ea typeface="Microsoft YaHei UI" panose="020B0503020204020204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14</xdr:row>
          <xdr:rowOff>114300</xdr:rowOff>
        </xdr:from>
        <xdr:to>
          <xdr:col>5</xdr:col>
          <xdr:colOff>276225</xdr:colOff>
          <xdr:row>16</xdr:row>
          <xdr:rowOff>76200</xdr:rowOff>
        </xdr:to>
        <xdr:sp>
          <xdr:nvSpPr>
            <xdr:cNvPr id="7184" name="Version" hidden="1">
              <a:extLst>
                <a:ext uri="{63B3BB69-23CF-44E3-9099-C40C66FF867C}">
                  <a14:compatExt spid="_x0000_s7184"/>
                </a:ext>
              </a:extLst>
            </xdr:cNvPr>
            <xdr:cNvSpPr/>
          </xdr:nvSpPr>
          <xdr:spPr>
            <a:xfrm>
              <a:off x="2752725" y="2514600"/>
              <a:ext cx="952500" cy="304800"/>
            </a:xfrm>
            <a:prstGeom prst="rect">
              <a:avLst/>
            </a:prstGeom>
          </xdr:spPr>
          <xdr:txBody>
            <a:bodyPr vertOverflow="clip" wrap="square" lIns="27432" tIns="32004" rIns="0" bIns="0" anchor="t" upright="1"/>
            <a:lstStyle/>
            <a:p>
              <a:pPr algn="l" rtl="0">
                <a:defRPr sz="1000"/>
              </a:pPr>
              <a:r>
                <a:rPr lang="zh-CN" altLang="en-US" sz="90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  <a:cs typeface="Microsoft YaHei UI" panose="020B0503020204020204" charset="-122"/>
                  <a:sym typeface="Microsoft YaHei UI" panose="020B0503020204020204" charset="-122"/>
                </a:rPr>
                <a:t>v3.1</a:t>
              </a:r>
              <a:endParaRPr lang="zh-CN" altLang="en-US" sz="900">
                <a:solidFill>
                  <a:srgbClr val="000000"/>
                </a:solidFill>
                <a:latin typeface="Microsoft YaHei UI" panose="020B0503020204020204" charset="-122"/>
                <a:ea typeface="Microsoft YaHei UI" panose="020B0503020204020204" charset="-122"/>
                <a:cs typeface="Microsoft YaHei UI" panose="020B0503020204020204" charset="-122"/>
                <a:sym typeface="Microsoft YaHei UI" panose="020B0503020204020204" charset="-122"/>
              </a:endParaRPr>
            </a:p>
          </xdr:txBody>
        </xdr:sp>
        <xdr:clientData/>
      </xdr:twoCellAnchor>
    </mc:Choice>
    <mc:Fallback/>
  </mc:AlternateContent>
  <xdr:twoCellAnchor>
    <xdr:from>
      <xdr:col>9</xdr:col>
      <xdr:colOff>666750</xdr:colOff>
      <xdr:row>7</xdr:row>
      <xdr:rowOff>9525</xdr:rowOff>
    </xdr:from>
    <xdr:to>
      <xdr:col>18</xdr:col>
      <xdr:colOff>227965</xdr:colOff>
      <xdr:row>12</xdr:row>
      <xdr:rowOff>152400</xdr:rowOff>
    </xdr:to>
    <xdr:sp>
      <xdr:nvSpPr>
        <xdr:cNvPr id="3" name="文本框 2"/>
        <xdr:cNvSpPr txBox="1"/>
      </xdr:nvSpPr>
      <xdr:spPr>
        <a:xfrm>
          <a:off x="6838950" y="1209675"/>
          <a:ext cx="5733415" cy="10001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p>
          <a:pPr algn="l"/>
          <a:r>
            <a:rPr lang="zh-CN" altLang="en-US" sz="1100"/>
            <a:t>开发负责 ：林迪南</a:t>
          </a:r>
          <a:endParaRPr lang="zh-CN" altLang="en-US" sz="1100"/>
        </a:p>
        <a:p>
          <a:pPr algn="l"/>
          <a:r>
            <a:rPr lang="zh-CN" altLang="en-US" sz="1100"/>
            <a:t>计算书图片插入算法、工程概况智能识别算法、仪器校准日期识别算法设计：陈思远</a:t>
          </a:r>
          <a:endParaRPr lang="zh-CN" altLang="en-US" sz="1100"/>
        </a:p>
        <a:p>
          <a:pPr algn="l"/>
          <a:r>
            <a:rPr lang="zh-CN" altLang="en-US" sz="1100">
              <a:ea typeface="宋体" panose="02010600030101010101" pitchFamily="7" charset="-122"/>
            </a:rPr>
            <a:t>应变、挠度图表生成算法校核、优化，应变、挠度计算公式校核：张玮</a:t>
          </a:r>
          <a:endParaRPr lang="zh-CN" altLang="en-US" sz="1100">
            <a:ea typeface="宋体" panose="02010600030101010101" pitchFamily="7" charset="-122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8</xdr:col>
      <xdr:colOff>114300</xdr:colOff>
      <xdr:row>47</xdr:row>
      <xdr:rowOff>9525</xdr:rowOff>
    </xdr:from>
    <xdr:to>
      <xdr:col>12</xdr:col>
      <xdr:colOff>628015</xdr:colOff>
      <xdr:row>52</xdr:row>
      <xdr:rowOff>19050</xdr:rowOff>
    </xdr:to>
    <xdr:sp>
      <xdr:nvSpPr>
        <xdr:cNvPr id="2" name="文本框 1"/>
        <xdr:cNvSpPr txBox="1"/>
      </xdr:nvSpPr>
      <xdr:spPr>
        <a:xfrm>
          <a:off x="6457950" y="8067675"/>
          <a:ext cx="3847465" cy="8667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p>
          <a:pPr algn="l"/>
          <a:r>
            <a:rPr lang="en-US" altLang="zh-CN" sz="1100"/>
            <a:t>1</a:t>
          </a:r>
          <a:r>
            <a:rPr lang="zh-CN" altLang="en-US" sz="1100"/>
            <a:t>、若特征字符串相同则必须填特征型号以进行区分；</a:t>
          </a:r>
          <a:endParaRPr lang="zh-CN" altLang="en-US" sz="1100"/>
        </a:p>
        <a:p>
          <a:pPr algn="l"/>
          <a:r>
            <a:rPr lang="en-US" altLang="zh-CN" sz="1100"/>
            <a:t>2</a:t>
          </a:r>
          <a:r>
            <a:rPr lang="zh-CN" altLang="en-US" sz="1100"/>
            <a:t>、可手动修改排序以修改搜索列表中各个仪器出现的顺序；</a:t>
          </a:r>
          <a:endParaRPr lang="zh-CN" altLang="en-US" sz="1100"/>
        </a:p>
        <a:p>
          <a:pPr algn="l"/>
          <a:r>
            <a:rPr lang="en-US" altLang="zh-CN" sz="1100"/>
            <a:t>3</a:t>
          </a:r>
          <a:r>
            <a:rPr lang="zh-CN" altLang="en-US" sz="1100"/>
            <a:t>、搜索结果的仪器校准有效期至均晚于临界校准日期；</a:t>
          </a:r>
          <a:endParaRPr lang="zh-CN" altLang="en-US" sz="1100"/>
        </a:p>
        <a:p>
          <a:pPr algn="l"/>
          <a:endParaRPr lang="zh-CN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409575</xdr:colOff>
          <xdr:row>28</xdr:row>
          <xdr:rowOff>161925</xdr:rowOff>
        </xdr:from>
        <xdr:to>
          <xdr:col>12</xdr:col>
          <xdr:colOff>600075</xdr:colOff>
          <xdr:row>30</xdr:row>
          <xdr:rowOff>57150</xdr:rowOff>
        </xdr:to>
        <xdr:sp macro="[0]!ListAvailableInstrument">
          <xdr:nvSpPr>
            <xdr:cNvPr id="23563" name="Button 11" hidden="1">
              <a:extLst>
                <a:ext uri="{63B3BB69-23CF-44E3-9099-C40C66FF867C}">
                  <a14:compatExt spid="_x0000_s23563"/>
                </a:ext>
              </a:extLst>
            </xdr:cNvPr>
            <xdr:cNvSpPr/>
          </xdr:nvSpPr>
          <xdr:spPr>
            <a:xfrm>
              <a:off x="8839200" y="4962525"/>
              <a:ext cx="1438275" cy="23812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搜索可用仪器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419735</xdr:colOff>
          <xdr:row>31</xdr:row>
          <xdr:rowOff>95250</xdr:rowOff>
        </xdr:from>
        <xdr:to>
          <xdr:col>12</xdr:col>
          <xdr:colOff>572135</xdr:colOff>
          <xdr:row>33</xdr:row>
          <xdr:rowOff>19050</xdr:rowOff>
        </xdr:to>
        <xdr:sp macro="[0]!ClearInstrumentList">
          <xdr:nvSpPr>
            <xdr:cNvPr id="23564" name="Button 12" hidden="1">
              <a:extLst>
                <a:ext uri="{63B3BB69-23CF-44E3-9099-C40C66FF867C}">
                  <a14:compatExt spid="_x0000_s23564"/>
                </a:ext>
              </a:extLst>
            </xdr:cNvPr>
            <xdr:cNvSpPr/>
          </xdr:nvSpPr>
          <xdr:spPr>
            <a:xfrm>
              <a:off x="8849360" y="5410200"/>
              <a:ext cx="1400175" cy="266700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手动清空列表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104775</xdr:colOff>
          <xdr:row>3</xdr:row>
          <xdr:rowOff>85725</xdr:rowOff>
        </xdr:from>
        <xdr:to>
          <xdr:col>21</xdr:col>
          <xdr:colOff>618490</xdr:colOff>
          <xdr:row>5</xdr:row>
          <xdr:rowOff>27940</xdr:rowOff>
        </xdr:to>
        <xdr:sp macro="[0]!GetSelectedInstrument">
          <xdr:nvSpPr>
            <xdr:cNvPr id="23694" name="Button 142" hidden="1">
              <a:extLst>
                <a:ext uri="{63B3BB69-23CF-44E3-9099-C40C66FF867C}">
                  <a14:compatExt spid="_x0000_s23694"/>
                </a:ext>
              </a:extLst>
            </xdr:cNvPr>
            <xdr:cNvSpPr/>
          </xdr:nvSpPr>
          <xdr:spPr>
            <a:xfrm>
              <a:off x="18411825" y="600075"/>
              <a:ext cx="1199515" cy="28511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选择勾选仪器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189865</xdr:colOff>
          <xdr:row>39</xdr:row>
          <xdr:rowOff>102235</xdr:rowOff>
        </xdr:from>
        <xdr:to>
          <xdr:col>3</xdr:col>
          <xdr:colOff>542925</xdr:colOff>
          <xdr:row>40</xdr:row>
          <xdr:rowOff>154305</xdr:rowOff>
        </xdr:to>
        <xdr:sp>
          <xdr:nvSpPr>
            <xdr:cNvPr id="24099" name="Check Box 20" hidden="1">
              <a:extLst>
                <a:ext uri="{63B3BB69-23CF-44E3-9099-C40C66FF867C}">
                  <a14:compatExt spid="_x0000_s24099"/>
                </a:ext>
              </a:extLst>
            </xdr:cNvPr>
            <xdr:cNvSpPr/>
          </xdr:nvSpPr>
          <xdr:spPr>
            <a:xfrm>
              <a:off x="1961515" y="6788785"/>
              <a:ext cx="1038860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全站仪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189865</xdr:colOff>
          <xdr:row>37</xdr:row>
          <xdr:rowOff>92710</xdr:rowOff>
        </xdr:from>
        <xdr:to>
          <xdr:col>4</xdr:col>
          <xdr:colOff>645160</xdr:colOff>
          <xdr:row>38</xdr:row>
          <xdr:rowOff>144780</xdr:rowOff>
        </xdr:to>
        <xdr:sp>
          <xdr:nvSpPr>
            <xdr:cNvPr id="24111" name="Check Box 19" hidden="1">
              <a:extLst>
                <a:ext uri="{63B3BB69-23CF-44E3-9099-C40C66FF867C}">
                  <a14:compatExt spid="_x0000_s24111"/>
                </a:ext>
              </a:extLst>
            </xdr:cNvPr>
            <xdr:cNvSpPr/>
          </xdr:nvSpPr>
          <xdr:spPr>
            <a:xfrm>
              <a:off x="1961515" y="6436360"/>
              <a:ext cx="1826895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混凝土电阻率仪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189865</xdr:colOff>
          <xdr:row>35</xdr:row>
          <xdr:rowOff>92710</xdr:rowOff>
        </xdr:from>
        <xdr:to>
          <xdr:col>4</xdr:col>
          <xdr:colOff>645160</xdr:colOff>
          <xdr:row>36</xdr:row>
          <xdr:rowOff>144780</xdr:rowOff>
        </xdr:to>
        <xdr:sp>
          <xdr:nvSpPr>
            <xdr:cNvPr id="24110" name="Check Box 18" hidden="1">
              <a:extLst>
                <a:ext uri="{63B3BB69-23CF-44E3-9099-C40C66FF867C}">
                  <a14:compatExt spid="_x0000_s24110"/>
                </a:ext>
              </a:extLst>
            </xdr:cNvPr>
            <xdr:cNvSpPr/>
          </xdr:nvSpPr>
          <xdr:spPr>
            <a:xfrm>
              <a:off x="1961515" y="6093460"/>
              <a:ext cx="1826895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贯入式砂浆强度检测仪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189865</xdr:colOff>
          <xdr:row>33</xdr:row>
          <xdr:rowOff>92710</xdr:rowOff>
        </xdr:from>
        <xdr:to>
          <xdr:col>4</xdr:col>
          <xdr:colOff>645160</xdr:colOff>
          <xdr:row>34</xdr:row>
          <xdr:rowOff>144780</xdr:rowOff>
        </xdr:to>
        <xdr:sp>
          <xdr:nvSpPr>
            <xdr:cNvPr id="24109" name="Check Box 17" hidden="1">
              <a:extLst>
                <a:ext uri="{63B3BB69-23CF-44E3-9099-C40C66FF867C}">
                  <a14:compatExt spid="_x0000_s24109"/>
                </a:ext>
              </a:extLst>
            </xdr:cNvPr>
            <xdr:cNvSpPr/>
          </xdr:nvSpPr>
          <xdr:spPr>
            <a:xfrm>
              <a:off x="1961515" y="5750560"/>
              <a:ext cx="1826895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钢筋锈蚀仪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206375</xdr:colOff>
          <xdr:row>31</xdr:row>
          <xdr:rowOff>73025</xdr:rowOff>
        </xdr:from>
        <xdr:to>
          <xdr:col>3</xdr:col>
          <xdr:colOff>520700</xdr:colOff>
          <xdr:row>32</xdr:row>
          <xdr:rowOff>115570</xdr:rowOff>
        </xdr:to>
        <xdr:sp>
          <xdr:nvSpPr>
            <xdr:cNvPr id="23557" name="Check Box 16" hidden="1">
              <a:extLst>
                <a:ext uri="{63B3BB69-23CF-44E3-9099-C40C66FF867C}">
                  <a14:compatExt spid="_x0000_s23557"/>
                </a:ext>
              </a:extLst>
            </xdr:cNvPr>
            <xdr:cNvSpPr/>
          </xdr:nvSpPr>
          <xdr:spPr>
            <a:xfrm>
              <a:off x="1978025" y="5387975"/>
              <a:ext cx="1000125" cy="21399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裂缝宽度观测仪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189865</xdr:colOff>
          <xdr:row>29</xdr:row>
          <xdr:rowOff>41910</xdr:rowOff>
        </xdr:from>
        <xdr:to>
          <xdr:col>4</xdr:col>
          <xdr:colOff>645160</xdr:colOff>
          <xdr:row>30</xdr:row>
          <xdr:rowOff>93980</xdr:rowOff>
        </xdr:to>
        <xdr:sp>
          <xdr:nvSpPr>
            <xdr:cNvPr id="24108" name="Check Box 15" hidden="1">
              <a:extLst>
                <a:ext uri="{63B3BB69-23CF-44E3-9099-C40C66FF867C}">
                  <a14:compatExt spid="_x0000_s24108"/>
                </a:ext>
              </a:extLst>
            </xdr:cNvPr>
            <xdr:cNvSpPr/>
          </xdr:nvSpPr>
          <xdr:spPr>
            <a:xfrm>
              <a:off x="1961515" y="5013960"/>
              <a:ext cx="1826895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钢筋扫描仪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189865</xdr:colOff>
          <xdr:row>27</xdr:row>
          <xdr:rowOff>41910</xdr:rowOff>
        </xdr:from>
        <xdr:to>
          <xdr:col>3</xdr:col>
          <xdr:colOff>92710</xdr:colOff>
          <xdr:row>28</xdr:row>
          <xdr:rowOff>93980</xdr:rowOff>
        </xdr:to>
        <xdr:sp>
          <xdr:nvSpPr>
            <xdr:cNvPr id="24107" name="Check Box 14" hidden="1">
              <a:extLst>
                <a:ext uri="{63B3BB69-23CF-44E3-9099-C40C66FF867C}">
                  <a14:compatExt spid="_x0000_s24107"/>
                </a:ext>
              </a:extLst>
            </xdr:cNvPr>
            <xdr:cNvSpPr/>
          </xdr:nvSpPr>
          <xdr:spPr>
            <a:xfrm>
              <a:off x="1961515" y="4671060"/>
              <a:ext cx="588645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回弹仪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177165</xdr:colOff>
          <xdr:row>25</xdr:row>
          <xdr:rowOff>41910</xdr:rowOff>
        </xdr:from>
        <xdr:to>
          <xdr:col>4</xdr:col>
          <xdr:colOff>233680</xdr:colOff>
          <xdr:row>26</xdr:row>
          <xdr:rowOff>93980</xdr:rowOff>
        </xdr:to>
        <xdr:sp>
          <xdr:nvSpPr>
            <xdr:cNvPr id="24104" name="Check Box 13" hidden="1">
              <a:extLst>
                <a:ext uri="{63B3BB69-23CF-44E3-9099-C40C66FF867C}">
                  <a14:compatExt spid="_x0000_s24104"/>
                </a:ext>
              </a:extLst>
            </xdr:cNvPr>
            <xdr:cNvSpPr/>
          </xdr:nvSpPr>
          <xdr:spPr>
            <a:xfrm>
              <a:off x="1948815" y="4328160"/>
              <a:ext cx="1428115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动态信号测试分析系统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180340</xdr:colOff>
          <xdr:row>23</xdr:row>
          <xdr:rowOff>60960</xdr:rowOff>
        </xdr:from>
        <xdr:to>
          <xdr:col>4</xdr:col>
          <xdr:colOff>427990</xdr:colOff>
          <xdr:row>24</xdr:row>
          <xdr:rowOff>113030</xdr:rowOff>
        </xdr:to>
        <xdr:sp>
          <xdr:nvSpPr>
            <xdr:cNvPr id="24112" name="Check Box 12" hidden="1">
              <a:extLst>
                <a:ext uri="{63B3BB69-23CF-44E3-9099-C40C66FF867C}">
                  <a14:compatExt spid="_x0000_s24112"/>
                </a:ext>
              </a:extLst>
            </xdr:cNvPr>
            <xdr:cNvSpPr/>
          </xdr:nvSpPr>
          <xdr:spPr>
            <a:xfrm>
              <a:off x="1951990" y="4004310"/>
              <a:ext cx="1619250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动态信号采集及分析系统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164465</xdr:colOff>
          <xdr:row>21</xdr:row>
          <xdr:rowOff>54610</xdr:rowOff>
        </xdr:from>
        <xdr:to>
          <xdr:col>4</xdr:col>
          <xdr:colOff>640080</xdr:colOff>
          <xdr:row>22</xdr:row>
          <xdr:rowOff>106680</xdr:rowOff>
        </xdr:to>
        <xdr:sp>
          <xdr:nvSpPr>
            <xdr:cNvPr id="24103" name="Check Box 11" hidden="1">
              <a:extLst>
                <a:ext uri="{63B3BB69-23CF-44E3-9099-C40C66FF867C}">
                  <a14:compatExt spid="_x0000_s24103"/>
                </a:ext>
              </a:extLst>
            </xdr:cNvPr>
            <xdr:cNvSpPr/>
          </xdr:nvSpPr>
          <xdr:spPr>
            <a:xfrm>
              <a:off x="1936115" y="3655060"/>
              <a:ext cx="1847215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无线遥测动态应变测试分析系统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165100</xdr:colOff>
          <xdr:row>19</xdr:row>
          <xdr:rowOff>57150</xdr:rowOff>
        </xdr:from>
        <xdr:to>
          <xdr:col>5</xdr:col>
          <xdr:colOff>640715</xdr:colOff>
          <xdr:row>20</xdr:row>
          <xdr:rowOff>99695</xdr:rowOff>
        </xdr:to>
        <xdr:sp>
          <xdr:nvSpPr>
            <xdr:cNvPr id="23558" name="Check Box 10" hidden="1">
              <a:extLst>
                <a:ext uri="{63B3BB69-23CF-44E3-9099-C40C66FF867C}">
                  <a14:compatExt spid="_x0000_s23558"/>
                </a:ext>
              </a:extLst>
            </xdr:cNvPr>
            <xdr:cNvSpPr/>
          </xdr:nvSpPr>
          <xdr:spPr>
            <a:xfrm>
              <a:off x="1936750" y="3314700"/>
              <a:ext cx="2533015" cy="21399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无线遥测振动(索力)测试分析系统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164465</xdr:colOff>
          <xdr:row>17</xdr:row>
          <xdr:rowOff>67310</xdr:rowOff>
        </xdr:from>
        <xdr:to>
          <xdr:col>4</xdr:col>
          <xdr:colOff>147320</xdr:colOff>
          <xdr:row>18</xdr:row>
          <xdr:rowOff>119380</xdr:rowOff>
        </xdr:to>
        <xdr:sp>
          <xdr:nvSpPr>
            <xdr:cNvPr id="24102" name="Check Box 9" hidden="1">
              <a:extLst>
                <a:ext uri="{63B3BB69-23CF-44E3-9099-C40C66FF867C}">
                  <a14:compatExt spid="_x0000_s24102"/>
                </a:ext>
              </a:extLst>
            </xdr:cNvPr>
            <xdr:cNvSpPr/>
          </xdr:nvSpPr>
          <xdr:spPr>
            <a:xfrm>
              <a:off x="1936115" y="2981960"/>
              <a:ext cx="1354455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桥梁实验模态测试系统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桥梁实验模态测试系统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164465</xdr:colOff>
          <xdr:row>15</xdr:row>
          <xdr:rowOff>67310</xdr:rowOff>
        </xdr:from>
        <xdr:to>
          <xdr:col>5</xdr:col>
          <xdr:colOff>106045</xdr:colOff>
          <xdr:row>16</xdr:row>
          <xdr:rowOff>119380</xdr:rowOff>
        </xdr:to>
        <xdr:sp>
          <xdr:nvSpPr>
            <xdr:cNvPr id="24105" name="Check Box 8" hidden="1">
              <a:extLst>
                <a:ext uri="{63B3BB69-23CF-44E3-9099-C40C66FF867C}">
                  <a14:compatExt spid="_x0000_s24105"/>
                </a:ext>
              </a:extLst>
            </xdr:cNvPr>
            <xdr:cNvSpPr/>
          </xdr:nvSpPr>
          <xdr:spPr>
            <a:xfrm>
              <a:off x="1936115" y="2639060"/>
              <a:ext cx="1998980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无线遥测静态应变测试分析系统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151765</xdr:colOff>
          <xdr:row>13</xdr:row>
          <xdr:rowOff>54610</xdr:rowOff>
        </xdr:from>
        <xdr:to>
          <xdr:col>3</xdr:col>
          <xdr:colOff>504825</xdr:colOff>
          <xdr:row>14</xdr:row>
          <xdr:rowOff>106680</xdr:rowOff>
        </xdr:to>
        <xdr:sp>
          <xdr:nvSpPr>
            <xdr:cNvPr id="24101" name="Check Box 7" hidden="1">
              <a:extLst>
                <a:ext uri="{63B3BB69-23CF-44E3-9099-C40C66FF867C}">
                  <a14:compatExt spid="_x0000_s24101"/>
                </a:ext>
              </a:extLst>
            </xdr:cNvPr>
            <xdr:cNvSpPr/>
          </xdr:nvSpPr>
          <xdr:spPr>
            <a:xfrm>
              <a:off x="1923415" y="2283460"/>
              <a:ext cx="1038860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振弦式读数仪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151765</xdr:colOff>
          <xdr:row>11</xdr:row>
          <xdr:rowOff>67310</xdr:rowOff>
        </xdr:from>
        <xdr:to>
          <xdr:col>3</xdr:col>
          <xdr:colOff>504825</xdr:colOff>
          <xdr:row>12</xdr:row>
          <xdr:rowOff>119380</xdr:rowOff>
        </xdr:to>
        <xdr:sp>
          <xdr:nvSpPr>
            <xdr:cNvPr id="23560" name="Check Box 6" hidden="1">
              <a:extLst>
                <a:ext uri="{63B3BB69-23CF-44E3-9099-C40C66FF867C}">
                  <a14:compatExt spid="_x0000_s23560"/>
                </a:ext>
              </a:extLst>
            </xdr:cNvPr>
            <xdr:cNvSpPr/>
          </xdr:nvSpPr>
          <xdr:spPr>
            <a:xfrm>
              <a:off x="1923415" y="1953260"/>
              <a:ext cx="1038860" cy="223520"/>
            </a:xfrm>
            <a:prstGeom prst="rect">
              <a:avLst/>
            </a:prstGeom>
          </xdr:spPr>
          <xdr:txBody>
            <a:bodyPr wrap="square" anchor="ctr" upright="1"/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百分表(0～30)mm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161925</xdr:colOff>
          <xdr:row>9</xdr:row>
          <xdr:rowOff>79375</xdr:rowOff>
        </xdr:from>
        <xdr:to>
          <xdr:col>3</xdr:col>
          <xdr:colOff>552450</xdr:colOff>
          <xdr:row>10</xdr:row>
          <xdr:rowOff>121920</xdr:rowOff>
        </xdr:to>
        <xdr:sp>
          <xdr:nvSpPr>
            <xdr:cNvPr id="23559" name="Check Box 5" hidden="1">
              <a:extLst>
                <a:ext uri="{63B3BB69-23CF-44E3-9099-C40C66FF867C}">
                  <a14:compatExt spid="_x0000_s23559"/>
                </a:ext>
              </a:extLst>
            </xdr:cNvPr>
            <xdr:cNvSpPr/>
          </xdr:nvSpPr>
          <xdr:spPr>
            <a:xfrm>
              <a:off x="1933575" y="1622425"/>
              <a:ext cx="1076325" cy="21399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百分表(0～10)mm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151765</xdr:colOff>
          <xdr:row>7</xdr:row>
          <xdr:rowOff>45085</xdr:rowOff>
        </xdr:from>
        <xdr:to>
          <xdr:col>3</xdr:col>
          <xdr:colOff>504825</xdr:colOff>
          <xdr:row>8</xdr:row>
          <xdr:rowOff>97155</xdr:rowOff>
        </xdr:to>
        <xdr:sp>
          <xdr:nvSpPr>
            <xdr:cNvPr id="24098" name="Check Box 4" hidden="1">
              <a:extLst>
                <a:ext uri="{63B3BB69-23CF-44E3-9099-C40C66FF867C}">
                  <a14:compatExt spid="_x0000_s24098"/>
                </a:ext>
              </a:extLst>
            </xdr:cNvPr>
            <xdr:cNvSpPr/>
          </xdr:nvSpPr>
          <xdr:spPr>
            <a:xfrm>
              <a:off x="1923415" y="1245235"/>
              <a:ext cx="1038860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水准仪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142875</xdr:colOff>
          <xdr:row>5</xdr:row>
          <xdr:rowOff>63500</xdr:rowOff>
        </xdr:from>
        <xdr:to>
          <xdr:col>4</xdr:col>
          <xdr:colOff>552450</xdr:colOff>
          <xdr:row>6</xdr:row>
          <xdr:rowOff>106045</xdr:rowOff>
        </xdr:to>
        <xdr:sp>
          <xdr:nvSpPr>
            <xdr:cNvPr id="23562" name="Check Box 3" hidden="1">
              <a:extLst>
                <a:ext uri="{63B3BB69-23CF-44E3-9099-C40C66FF867C}">
                  <a14:compatExt spid="_x0000_s23562"/>
                </a:ext>
              </a:extLst>
            </xdr:cNvPr>
            <xdr:cNvSpPr/>
          </xdr:nvSpPr>
          <xdr:spPr>
            <a:xfrm>
              <a:off x="1914525" y="920750"/>
              <a:ext cx="1781175" cy="213995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钢卷尺(0～30)m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149225</xdr:colOff>
          <xdr:row>3</xdr:row>
          <xdr:rowOff>60325</xdr:rowOff>
        </xdr:from>
        <xdr:to>
          <xdr:col>4</xdr:col>
          <xdr:colOff>558800</xdr:colOff>
          <xdr:row>4</xdr:row>
          <xdr:rowOff>102870</xdr:rowOff>
        </xdr:to>
        <xdr:sp>
          <xdr:nvSpPr>
            <xdr:cNvPr id="23561" name="Check Box 2" hidden="1">
              <a:extLst>
                <a:ext uri="{63B3BB69-23CF-44E3-9099-C40C66FF867C}">
                  <a14:compatExt spid="_x0000_s23561"/>
                </a:ext>
              </a:extLst>
            </xdr:cNvPr>
            <xdr:cNvSpPr/>
          </xdr:nvSpPr>
          <xdr:spPr>
            <a:xfrm>
              <a:off x="1920875" y="574675"/>
              <a:ext cx="1781175" cy="213995"/>
            </a:xfrm>
            <a:prstGeom prst="rect">
              <a:avLst/>
            </a:prstGeom>
          </xdr:spPr>
          <xdr:txBody>
            <a:bodyPr wrap="square" anchor="ctr" upright="1"/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钢卷尺(0～5)m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164465</xdr:colOff>
          <xdr:row>1</xdr:row>
          <xdr:rowOff>67310</xdr:rowOff>
        </xdr:from>
        <xdr:to>
          <xdr:col>3</xdr:col>
          <xdr:colOff>517525</xdr:colOff>
          <xdr:row>2</xdr:row>
          <xdr:rowOff>119380</xdr:rowOff>
        </xdr:to>
        <xdr:sp>
          <xdr:nvSpPr>
            <xdr:cNvPr id="24100" name="Check Box 1" hidden="1">
              <a:extLst>
                <a:ext uri="{63B3BB69-23CF-44E3-9099-C40C66FF867C}">
                  <a14:compatExt spid="_x0000_s24100"/>
                </a:ext>
              </a:extLst>
            </xdr:cNvPr>
            <xdr:cNvSpPr/>
          </xdr:nvSpPr>
          <xdr:spPr>
            <a:xfrm>
              <a:off x="1936115" y="238760"/>
              <a:ext cx="1038860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皮尺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114300</xdr:colOff>
          <xdr:row>6</xdr:row>
          <xdr:rowOff>9525</xdr:rowOff>
        </xdr:from>
        <xdr:to>
          <xdr:col>22</xdr:col>
          <xdr:colOff>18415</xdr:colOff>
          <xdr:row>7</xdr:row>
          <xdr:rowOff>113665</xdr:rowOff>
        </xdr:to>
        <xdr:sp macro="[0]!ClearSelectedInstrumentList">
          <xdr:nvSpPr>
            <xdr:cNvPr id="24121" name="Button 569" hidden="1">
              <a:extLst>
                <a:ext uri="{63B3BB69-23CF-44E3-9099-C40C66FF867C}">
                  <a14:compatExt spid="_x0000_s24121"/>
                </a:ext>
              </a:extLst>
            </xdr:cNvPr>
            <xdr:cNvSpPr/>
          </xdr:nvSpPr>
          <xdr:spPr>
            <a:xfrm>
              <a:off x="18421350" y="1038225"/>
              <a:ext cx="1275715" cy="275590"/>
            </a:xfrm>
            <a:prstGeom prst="rect">
              <a:avLst/>
            </a:prstGeom>
          </xdr:spPr>
          <xdr:txBody>
            <a:bodyPr wrap="square" anchor="ctr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手动清空已选仪器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7</xdr:col>
      <xdr:colOff>428625</xdr:colOff>
      <xdr:row>3</xdr:row>
      <xdr:rowOff>142240</xdr:rowOff>
    </xdr:from>
    <xdr:to>
      <xdr:col>11</xdr:col>
      <xdr:colOff>533400</xdr:colOff>
      <xdr:row>15</xdr:row>
      <xdr:rowOff>18416</xdr:rowOff>
    </xdr:to>
    <xdr:grpSp>
      <xdr:nvGrpSpPr>
        <xdr:cNvPr id="15" name="组合 14"/>
        <xdr:cNvGrpSpPr/>
      </xdr:nvGrpSpPr>
      <xdr:grpSpPr>
        <a:xfrm>
          <a:off x="5448300" y="656590"/>
          <a:ext cx="2847975" cy="2038350"/>
          <a:chOff x="10801350" y="1590673"/>
          <a:chExt cx="2847975" cy="2038351"/>
        </a:xfrm>
      </xdr:grpSpPr>
      <mc:AlternateContent xmlns:mc="http://schemas.openxmlformats.org/markup-compatibility/2006">
        <mc:Choice xmlns:a14="http://schemas.microsoft.com/office/drawing/2010/main" Requires="a14">
          <xdr:sp macro="[0]!AutoDisp_Click">
            <xdr:nvSpPr>
              <xdr:cNvPr id="1025" name="Button 1" hidden="1">
                <a:extLst>
                  <a:ext uri="{63B3BB69-23CF-44E3-9099-C40C66FF867C}">
                    <a14:compatExt spid="_x0000_s1025"/>
                  </a:ext>
                </a:extLst>
              </xdr:cNvPr>
              <xdr:cNvSpPr/>
            </xdr:nvSpPr>
            <xdr:spPr>
              <a:xfrm>
                <a:off x="11010900" y="2200275"/>
                <a:ext cx="981075" cy="295275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自动计算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GenerateRows_Click">
            <xdr:nvSpPr>
              <xdr:cNvPr id="1026" name="Button 2" hidden="1">
                <a:extLst>
                  <a:ext uri="{63B3BB69-23CF-44E3-9099-C40C66FF867C}">
                    <a14:compatExt spid="_x0000_s1026"/>
                  </a:ext>
                </a:extLst>
              </xdr:cNvPr>
              <xdr:cNvSpPr/>
            </xdr:nvSpPr>
            <xdr:spPr>
              <a:xfrm>
                <a:off x="12401550" y="1771650"/>
                <a:ext cx="962025" cy="285750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生成输入行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AutoGraph_Click">
            <xdr:nvSpPr>
              <xdr:cNvPr id="1027" name="Button 3" hidden="1">
                <a:extLst>
                  <a:ext uri="{63B3BB69-23CF-44E3-9099-C40C66FF867C}">
                    <a14:compatExt spid="_x0000_s1027"/>
                  </a:ext>
                </a:extLst>
              </xdr:cNvPr>
              <xdr:cNvSpPr/>
            </xdr:nvSpPr>
            <xdr:spPr>
              <a:xfrm>
                <a:off x="12411075" y="2209800"/>
                <a:ext cx="971550" cy="276225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自动作图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DeleteAllCharts">
            <xdr:nvSpPr>
              <xdr:cNvPr id="1028" name="Button 4" hidden="1">
                <a:extLst>
                  <a:ext uri="{63B3BB69-23CF-44E3-9099-C40C66FF867C}">
                    <a14:compatExt spid="_x0000_s1028"/>
                  </a:ext>
                </a:extLst>
              </xdr:cNvPr>
              <xdr:cNvSpPr/>
            </xdr:nvSpPr>
            <xdr:spPr>
              <a:xfrm>
                <a:off x="11010900" y="2676524"/>
                <a:ext cx="1381125" cy="295275"/>
              </a:xfrm>
              <a:prstGeom prst="rect">
                <a:avLst/>
              </a:prstGeom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宋体" panose="02010600030101010101" pitchFamily="7" charset="-122"/>
                    <a:ea typeface="宋体" panose="02010600030101010101" pitchFamily="7" charset="-122"/>
                  </a:rPr>
                  <a:t>删除本页所有图表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DispDataClear">
            <xdr:nvSpPr>
              <xdr:cNvPr id="1029" name="Button 5" hidden="1">
                <a:extLst>
                  <a:ext uri="{63B3BB69-23CF-44E3-9099-C40C66FF867C}">
                    <a14:compatExt spid="_x0000_s1029"/>
                  </a:ext>
                </a:extLst>
              </xdr:cNvPr>
              <xdr:cNvSpPr/>
            </xdr:nvSpPr>
            <xdr:spPr>
              <a:xfrm>
                <a:off x="10991850" y="1781175"/>
                <a:ext cx="1152525" cy="276225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清空输入数据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1030" name="Group Box 6" hidden="1">
                <a:extLst>
                  <a:ext uri="{63B3BB69-23CF-44E3-9099-C40C66FF867C}">
                    <a14:compatExt spid="_x0000_s1030"/>
                  </a:ext>
                </a:extLst>
              </xdr:cNvPr>
              <xdr:cNvSpPr/>
            </xdr:nvSpPr>
            <xdr:spPr>
              <a:xfrm>
                <a:off x="10801350" y="1590673"/>
                <a:ext cx="2847975" cy="2038351"/>
              </a:xfrm>
              <a:prstGeom prst="rect">
                <a:avLst/>
              </a:prstGeom>
            </xdr:spPr>
            <xdr:txBody>
              <a:bodyPr vertOverflow="clip" wrap="none" lIns="27432" tIns="32004" rIns="0" bIns="0" anchor="t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挠度功能区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</xdr:grpSp>
    <xdr:clientData/>
  </xdr:twoCellAnchor>
  <xdr:twoCellAnchor>
    <xdr:from>
      <xdr:col>7</xdr:col>
      <xdr:colOff>266065</xdr:colOff>
      <xdr:row>23</xdr:row>
      <xdr:rowOff>95250</xdr:rowOff>
    </xdr:from>
    <xdr:to>
      <xdr:col>12</xdr:col>
      <xdr:colOff>619125</xdr:colOff>
      <xdr:row>32</xdr:row>
      <xdr:rowOff>161925</xdr:rowOff>
    </xdr:to>
    <xdr:sp>
      <xdr:nvSpPr>
        <xdr:cNvPr id="6" name="文本框 5"/>
        <xdr:cNvSpPr txBox="1"/>
      </xdr:nvSpPr>
      <xdr:spPr>
        <a:xfrm>
          <a:off x="5285740" y="4371975"/>
          <a:ext cx="3782060" cy="18764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使用说明：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、输入组数、各组测点数（不超过</a:t>
          </a:r>
          <a:r>
            <a:rPr lang="en-US" altLang="zh-CN" sz="1100"/>
            <a:t>10</a:t>
          </a:r>
          <a:r>
            <a:rPr lang="zh-CN" altLang="en-US" sz="1100">
              <a:ea typeface="宋体" panose="02010600030101010101" pitchFamily="7" charset="-122"/>
            </a:rPr>
            <a:t>组</a:t>
          </a:r>
          <a:r>
            <a:rPr lang="zh-CN" altLang="en-US" sz="1100"/>
            <a:t>）；</a:t>
          </a:r>
          <a:endParaRPr lang="en-US" altLang="zh-CN" sz="1100"/>
        </a:p>
        <a:p>
          <a:r>
            <a:rPr lang="en-US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zh-CN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报告工况指报告中对应的工况号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（如连续梁桥工况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分别测试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A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（第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1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组）、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B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（第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组）截面，工况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测试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C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（第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3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组）截面，则第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1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、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组报告工况分别填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1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，第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3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组报告工况填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）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；</a:t>
          </a:r>
          <a:endParaRPr lang="zh-CN" altLang="en-US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/>
            <a:t>3</a:t>
          </a:r>
          <a:r>
            <a:rPr lang="zh-CN" altLang="en-US" sz="1100"/>
            <a:t>、测点编号以字母开头；</a:t>
          </a:r>
          <a:endParaRPr lang="zh-CN" altLang="en-US" sz="1100"/>
        </a:p>
        <a:p>
          <a:r>
            <a:rPr lang="en-US" altLang="zh-CN" sz="1100"/>
            <a:t>4</a:t>
          </a:r>
          <a:r>
            <a:rPr lang="zh-CN" altLang="en-US" sz="1100"/>
            <a:t>、位移单位为</a:t>
          </a:r>
          <a:r>
            <a:rPr lang="en-US" altLang="zh-CN" sz="1100"/>
            <a:t>mm</a:t>
          </a:r>
          <a:r>
            <a:rPr lang="zh-CN" altLang="en-US" sz="1100">
              <a:ea typeface="宋体" panose="02010600030101010101" pitchFamily="7" charset="-122"/>
            </a:rPr>
            <a:t>；</a:t>
          </a:r>
          <a:endParaRPr lang="en-US" altLang="zh-CN" sz="1100"/>
        </a:p>
        <a:p>
          <a:r>
            <a:rPr lang="en-US" altLang="zh-CN" sz="1100"/>
            <a:t>5</a:t>
          </a:r>
          <a:r>
            <a:rPr lang="zh-CN" altLang="en-US" sz="1100"/>
            <a:t>、挠度理论值程序取</a:t>
          </a:r>
          <a:r>
            <a:rPr lang="en-US" altLang="zh-CN" sz="1100"/>
            <a:t>2</a:t>
          </a:r>
          <a:r>
            <a:rPr lang="zh-CN" altLang="en-US" sz="1100"/>
            <a:t>位小数运算（四舍五入）；</a:t>
          </a:r>
          <a:endParaRPr lang="zh-CN" altLang="en-US" sz="1100"/>
        </a:p>
      </xdr:txBody>
    </xdr:sp>
    <xdr:clientData/>
  </xdr:twoCellAnchor>
  <xdr:twoCellAnchor>
    <xdr:from>
      <xdr:col>7</xdr:col>
      <xdr:colOff>247015</xdr:colOff>
      <xdr:row>33</xdr:row>
      <xdr:rowOff>152400</xdr:rowOff>
    </xdr:from>
    <xdr:to>
      <xdr:col>13</xdr:col>
      <xdr:colOff>8890</xdr:colOff>
      <xdr:row>42</xdr:row>
      <xdr:rowOff>28575</xdr:rowOff>
    </xdr:to>
    <xdr:sp>
      <xdr:nvSpPr>
        <xdr:cNvPr id="10" name="文本框 9"/>
        <xdr:cNvSpPr txBox="1"/>
      </xdr:nvSpPr>
      <xdr:spPr>
        <a:xfrm>
          <a:off x="5266690" y="6438900"/>
          <a:ext cx="3876675" cy="1676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操作步骤：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、点击“清空数据数据”；</a:t>
          </a:r>
          <a:endParaRPr lang="en-US" altLang="zh-CN" sz="1100"/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、填写挠度组数，各组测点数以及对应报告工况，点击“生成输入行”；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、请填写绿色列内容（工况除外）；</a:t>
          </a:r>
          <a:r>
            <a:rPr lang="zh-CN" altLang="en-US">
              <a:solidFill>
                <a:srgbClr val="FF0000"/>
              </a:solidFill>
            </a:rPr>
            <a:t> </a:t>
          </a:r>
          <a:endParaRPr lang="en-US" altLang="zh-CN">
            <a:solidFill>
              <a:srgbClr val="FF0000"/>
            </a:solidFill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、点击“自动计算”；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、点击“自动作图”。</a:t>
          </a:r>
          <a:endParaRPr lang="zh-CN" altLang="en-US" sz="1100"/>
        </a:p>
      </xdr:txBody>
    </xdr:sp>
    <xdr:clientData/>
  </xdr:twoCellAnchor>
  <xdr:twoCellAnchor>
    <xdr:from>
      <xdr:col>12</xdr:col>
      <xdr:colOff>352425</xdr:colOff>
      <xdr:row>5</xdr:row>
      <xdr:rowOff>152400</xdr:rowOff>
    </xdr:from>
    <xdr:to>
      <xdr:col>15</xdr:col>
      <xdr:colOff>647700</xdr:colOff>
      <xdr:row>9</xdr:row>
      <xdr:rowOff>38100</xdr:rowOff>
    </xdr:to>
    <xdr:sp>
      <xdr:nvSpPr>
        <xdr:cNvPr id="26" name="文本框 25"/>
        <xdr:cNvSpPr txBox="1"/>
      </xdr:nvSpPr>
      <xdr:spPr>
        <a:xfrm>
          <a:off x="8801100" y="1009650"/>
          <a:ext cx="2352675" cy="571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p>
          <a:pPr algn="l"/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提示：若作图结果不正确，请尝试再点击一次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“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自动作图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”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（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WPS bug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）</a:t>
          </a:r>
          <a:endParaRPr lang="zh-CN" altLang="en-US" sz="1100">
            <a:solidFill>
              <a:srgbClr val="FF0000"/>
            </a:solidFill>
            <a:ea typeface="宋体" panose="02010600030101010101" pitchFamily="7" charset="-122"/>
          </a:endParaRPr>
        </a:p>
      </xdr:txBody>
    </xdr:sp>
    <xdr:clientData/>
  </xdr:twoCellAnchor>
  <xdr:twoCellAnchor editAs="oneCell">
    <xdr:from>
      <xdr:col>24</xdr:col>
      <xdr:colOff>371475</xdr:colOff>
      <xdr:row>6</xdr:row>
      <xdr:rowOff>95250</xdr:rowOff>
    </xdr:from>
    <xdr:to>
      <xdr:col>27</xdr:col>
      <xdr:colOff>590550</xdr:colOff>
      <xdr:row>15</xdr:row>
      <xdr:rowOff>171450</xdr:rowOff>
    </xdr:to>
    <xdr:pic>
      <xdr:nvPicPr>
        <xdr:cNvPr id="22" name="图片 21"/>
        <xdr:cNvPicPr>
          <a:picLocks noChangeAspect="1"/>
        </xdr:cNvPicPr>
      </xdr:nvPicPr>
      <xdr:blipFill>
        <a:blip r:embed="rId4"/>
        <a:stretch>
          <a:fillRect/>
        </a:stretch>
      </xdr:blipFill>
      <xdr:spPr>
        <a:xfrm>
          <a:off x="17078325" y="1123950"/>
          <a:ext cx="2305050" cy="17240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24</xdr:col>
      <xdr:colOff>314325</xdr:colOff>
      <xdr:row>18</xdr:row>
      <xdr:rowOff>104775</xdr:rowOff>
    </xdr:from>
    <xdr:to>
      <xdr:col>29</xdr:col>
      <xdr:colOff>18415</xdr:colOff>
      <xdr:row>29</xdr:row>
      <xdr:rowOff>0</xdr:rowOff>
    </xdr:to>
    <xdr:pic>
      <xdr:nvPicPr>
        <xdr:cNvPr id="23" name="图片 22"/>
        <xdr:cNvPicPr>
          <a:picLocks noChangeAspect="1"/>
        </xdr:cNvPicPr>
      </xdr:nvPicPr>
      <xdr:blipFill>
        <a:blip r:embed="rId5"/>
        <a:stretch>
          <a:fillRect/>
        </a:stretch>
      </xdr:blipFill>
      <xdr:spPr>
        <a:xfrm>
          <a:off x="17021175" y="3381375"/>
          <a:ext cx="3161665" cy="21050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24</xdr:col>
      <xdr:colOff>342900</xdr:colOff>
      <xdr:row>33</xdr:row>
      <xdr:rowOff>19050</xdr:rowOff>
    </xdr:from>
    <xdr:to>
      <xdr:col>29</xdr:col>
      <xdr:colOff>75565</xdr:colOff>
      <xdr:row>47</xdr:row>
      <xdr:rowOff>18415</xdr:rowOff>
    </xdr:to>
    <xdr:pic>
      <xdr:nvPicPr>
        <xdr:cNvPr id="24" name="图片 23"/>
        <xdr:cNvPicPr>
          <a:picLocks noChangeAspect="1"/>
        </xdr:cNvPicPr>
      </xdr:nvPicPr>
      <xdr:blipFill>
        <a:blip r:embed="rId6"/>
        <a:stretch>
          <a:fillRect/>
        </a:stretch>
      </xdr:blipFill>
      <xdr:spPr>
        <a:xfrm>
          <a:off x="17049750" y="6305550"/>
          <a:ext cx="3190240" cy="279971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7</xdr:col>
      <xdr:colOff>60325</xdr:colOff>
      <xdr:row>11</xdr:row>
      <xdr:rowOff>9525</xdr:rowOff>
    </xdr:from>
    <xdr:to>
      <xdr:col>14</xdr:col>
      <xdr:colOff>85725</xdr:colOff>
      <xdr:row>26</xdr:row>
      <xdr:rowOff>66675</xdr:rowOff>
    </xdr:to>
    <xdr:graphicFrame>
      <xdr:nvGraphicFramePr>
        <xdr:cNvPr id="2" name="图表 1"/>
        <xdr:cNvGraphicFramePr/>
      </xdr:nvGraphicFramePr>
      <xdr:xfrm>
        <a:off x="5080000" y="1905000"/>
        <a:ext cx="4826000" cy="3048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60325</xdr:colOff>
      <xdr:row>27</xdr:row>
      <xdr:rowOff>120650</xdr:rowOff>
    </xdr:from>
    <xdr:to>
      <xdr:col>14</xdr:col>
      <xdr:colOff>466725</xdr:colOff>
      <xdr:row>43</xdr:row>
      <xdr:rowOff>95250</xdr:rowOff>
    </xdr:to>
    <xdr:graphicFrame>
      <xdr:nvGraphicFramePr>
        <xdr:cNvPr id="3" name="图表 2"/>
        <xdr:cNvGraphicFramePr/>
      </xdr:nvGraphicFramePr>
      <xdr:xfrm>
        <a:off x="5080000" y="5207000"/>
        <a:ext cx="5207000" cy="3175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60325</xdr:colOff>
      <xdr:row>44</xdr:row>
      <xdr:rowOff>22225</xdr:rowOff>
    </xdr:from>
    <xdr:to>
      <xdr:col>15</xdr:col>
      <xdr:colOff>288925</xdr:colOff>
      <xdr:row>61</xdr:row>
      <xdr:rowOff>50800</xdr:rowOff>
    </xdr:to>
    <xdr:graphicFrame>
      <xdr:nvGraphicFramePr>
        <xdr:cNvPr id="4" name="图表 3"/>
        <xdr:cNvGraphicFramePr/>
      </xdr:nvGraphicFramePr>
      <xdr:xfrm>
        <a:off x="5080000" y="8509000"/>
        <a:ext cx="5715000" cy="3429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12</xdr:col>
      <xdr:colOff>19050</xdr:colOff>
      <xdr:row>3</xdr:row>
      <xdr:rowOff>28575</xdr:rowOff>
    </xdr:from>
    <xdr:to>
      <xdr:col>16</xdr:col>
      <xdr:colOff>438150</xdr:colOff>
      <xdr:row>13</xdr:row>
      <xdr:rowOff>28575</xdr:rowOff>
    </xdr:to>
    <xdr:grpSp>
      <xdr:nvGrpSpPr>
        <xdr:cNvPr id="11" name="组合 10"/>
        <xdr:cNvGrpSpPr/>
      </xdr:nvGrpSpPr>
      <xdr:grpSpPr>
        <a:xfrm>
          <a:off x="8810625" y="542925"/>
          <a:ext cx="3162300" cy="1724025"/>
          <a:chOff x="7762875" y="619126"/>
          <a:chExt cx="3162300" cy="2019301"/>
        </a:xfrm>
      </xdr:grpSpPr>
      <mc:AlternateContent xmlns:mc="http://schemas.openxmlformats.org/markup-compatibility/2006">
        <mc:Choice xmlns:a14="http://schemas.microsoft.com/office/drawing/2010/main" Requires="a14">
          <xdr:sp macro="[0]!AutoStrain_Click">
            <xdr:nvSpPr>
              <xdr:cNvPr id="2049" name="Button 1" hidden="1">
                <a:extLst>
                  <a:ext uri="{63B3BB69-23CF-44E3-9099-C40C66FF867C}">
                    <a14:compatExt spid="_x0000_s2049"/>
                  </a:ext>
                </a:extLst>
              </xdr:cNvPr>
              <xdr:cNvSpPr/>
            </xdr:nvSpPr>
            <xdr:spPr>
              <a:xfrm>
                <a:off x="8058150" y="1352549"/>
                <a:ext cx="1047750" cy="333374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自动计算应变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GenerateStrainRows_Click">
            <xdr:nvSpPr>
              <xdr:cNvPr id="2050" name="Button 2" hidden="1">
                <a:extLst>
                  <a:ext uri="{63B3BB69-23CF-44E3-9099-C40C66FF867C}">
                    <a14:compatExt spid="_x0000_s2050"/>
                  </a:ext>
                </a:extLst>
              </xdr:cNvPr>
              <xdr:cNvSpPr/>
            </xdr:nvSpPr>
            <xdr:spPr>
              <a:xfrm>
                <a:off x="9486900" y="838199"/>
                <a:ext cx="962025" cy="295275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生成输入行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DeleteAllCharts">
            <xdr:nvSpPr>
              <xdr:cNvPr id="2051" name="Button 3" hidden="1">
                <a:extLst>
                  <a:ext uri="{63B3BB69-23CF-44E3-9099-C40C66FF867C}">
                    <a14:compatExt spid="_x0000_s2051"/>
                  </a:ext>
                </a:extLst>
              </xdr:cNvPr>
              <xdr:cNvSpPr/>
            </xdr:nvSpPr>
            <xdr:spPr>
              <a:xfrm>
                <a:off x="8067675" y="1905001"/>
                <a:ext cx="1314450" cy="333374"/>
              </a:xfrm>
              <a:prstGeom prst="rect">
                <a:avLst/>
              </a:prstGeom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宋体" panose="02010600030101010101" pitchFamily="7" charset="-122"/>
                    <a:ea typeface="宋体" panose="02010600030101010101" pitchFamily="7" charset="-122"/>
                  </a:rPr>
                  <a:t>删除本页所有图表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AutoStrainGraph">
            <xdr:nvSpPr>
              <xdr:cNvPr id="2052" name="Button 4" hidden="1">
                <a:extLst>
                  <a:ext uri="{63B3BB69-23CF-44E3-9099-C40C66FF867C}">
                    <a14:compatExt spid="_x0000_s2052"/>
                  </a:ext>
                </a:extLst>
              </xdr:cNvPr>
              <xdr:cNvSpPr/>
            </xdr:nvSpPr>
            <xdr:spPr>
              <a:xfrm>
                <a:off x="9486900" y="1390650"/>
                <a:ext cx="1228725" cy="295275"/>
              </a:xfrm>
              <a:prstGeom prst="rect">
                <a:avLst/>
              </a:prstGeom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宋体" panose="02010600030101010101" pitchFamily="7" charset="-122"/>
                    <a:ea typeface="宋体" panose="02010600030101010101" pitchFamily="7" charset="-122"/>
                  </a:rPr>
                  <a:t>自动作图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StrainDataClear">
            <xdr:nvSpPr>
              <xdr:cNvPr id="2053" name="Button 5" hidden="1">
                <a:extLst>
                  <a:ext uri="{63B3BB69-23CF-44E3-9099-C40C66FF867C}">
                    <a14:compatExt spid="_x0000_s2053"/>
                  </a:ext>
                </a:extLst>
              </xdr:cNvPr>
              <xdr:cNvSpPr/>
            </xdr:nvSpPr>
            <xdr:spPr>
              <a:xfrm>
                <a:off x="8029575" y="838199"/>
                <a:ext cx="1228725" cy="285750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清空输入数据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2054" name="Group Box 6" hidden="1">
                <a:extLst>
                  <a:ext uri="{63B3BB69-23CF-44E3-9099-C40C66FF867C}">
                    <a14:compatExt spid="_x0000_s2054"/>
                  </a:ext>
                </a:extLst>
              </xdr:cNvPr>
              <xdr:cNvSpPr/>
            </xdr:nvSpPr>
            <xdr:spPr>
              <a:xfrm>
                <a:off x="7762875" y="619126"/>
                <a:ext cx="3162300" cy="2019301"/>
              </a:xfrm>
              <a:prstGeom prst="rect">
                <a:avLst/>
              </a:prstGeom>
            </xdr:spPr>
            <xdr:txBody>
              <a:bodyPr vertOverflow="clip" wrap="none" lIns="27432" tIns="32004" rIns="0" bIns="0" anchor="t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应变功能区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</xdr:grpSp>
    <xdr:clientData/>
  </xdr:twoCellAnchor>
  <xdr:twoCellAnchor>
    <xdr:from>
      <xdr:col>11</xdr:col>
      <xdr:colOff>542925</xdr:colOff>
      <xdr:row>22</xdr:row>
      <xdr:rowOff>76200</xdr:rowOff>
    </xdr:from>
    <xdr:to>
      <xdr:col>17</xdr:col>
      <xdr:colOff>304800</xdr:colOff>
      <xdr:row>28</xdr:row>
      <xdr:rowOff>95250</xdr:rowOff>
    </xdr:to>
    <xdr:sp>
      <xdr:nvSpPr>
        <xdr:cNvPr id="3" name="文本框 2"/>
        <xdr:cNvSpPr txBox="1"/>
      </xdr:nvSpPr>
      <xdr:spPr>
        <a:xfrm>
          <a:off x="8648700" y="3867150"/>
          <a:ext cx="3876675" cy="10572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zh-CN" altLang="en-US" sz="1100"/>
            <a:t>使用说明：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、输入</a:t>
          </a:r>
          <a:r>
            <a:rPr lang="zh-CN" altLang="en-US">
              <a:ea typeface="宋体" panose="02010600030101010101" pitchFamily="7" charset="-122"/>
              <a:sym typeface="+mn-ea"/>
            </a:rPr>
            <a:t>组</a:t>
          </a:r>
          <a:r>
            <a:rPr lang="zh-CN" altLang="en-US" sz="1100"/>
            <a:t>数、各</a:t>
          </a:r>
          <a:r>
            <a:rPr lang="zh-CN" altLang="en-US">
              <a:ea typeface="宋体" panose="02010600030101010101" pitchFamily="7" charset="-122"/>
              <a:sym typeface="+mn-ea"/>
            </a:rPr>
            <a:t>组</a:t>
          </a:r>
          <a:r>
            <a:rPr lang="zh-CN" altLang="en-US" sz="1100"/>
            <a:t>测点数（不超过</a:t>
          </a:r>
          <a:r>
            <a:rPr lang="en-US" altLang="zh-CN" sz="1100"/>
            <a:t>10</a:t>
          </a:r>
          <a:r>
            <a:rPr lang="zh-CN" altLang="en-US" sz="1100">
              <a:ea typeface="宋体" panose="02010600030101010101" pitchFamily="7" charset="-122"/>
            </a:rPr>
            <a:t>组</a:t>
          </a:r>
          <a:r>
            <a:rPr lang="zh-CN" altLang="en-US" sz="1100"/>
            <a:t>）；</a:t>
          </a:r>
          <a:endParaRPr lang="en-US" altLang="zh-CN" sz="1100"/>
        </a:p>
        <a:p>
          <a:r>
            <a:rPr lang="en-US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zh-CN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报告工况指报告中对应的工况号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；</a:t>
          </a:r>
          <a:endParaRPr lang="en-US" altLang="zh-CN" sz="1100"/>
        </a:p>
        <a:p>
          <a:r>
            <a:rPr lang="en-US" altLang="zh-CN" sz="1100"/>
            <a:t>3</a:t>
          </a:r>
          <a:r>
            <a:rPr lang="zh-CN" altLang="en-US" sz="1100"/>
            <a:t>、测点编号以字母开头；</a:t>
          </a:r>
          <a:endParaRPr lang="en-US" altLang="zh-CN" sz="1100"/>
        </a:p>
        <a:p>
          <a:r>
            <a:rPr lang="en-US" altLang="zh-CN" sz="1100"/>
            <a:t>4</a:t>
          </a:r>
          <a:r>
            <a:rPr lang="zh-CN" altLang="en-US" sz="1100"/>
            <a:t>、</a:t>
          </a:r>
          <a:r>
            <a:rPr lang="zh-CN" altLang="en-US">
              <a:sym typeface="+mn-ea"/>
            </a:rPr>
            <a:t>满载理论值填写整数。</a:t>
          </a:r>
          <a:endParaRPr lang="zh-CN" altLang="en-US">
            <a:sym typeface="+mn-ea"/>
          </a:endParaRPr>
        </a:p>
      </xdr:txBody>
    </xdr:sp>
    <xdr:clientData/>
  </xdr:twoCellAnchor>
  <xdr:twoCellAnchor>
    <xdr:from>
      <xdr:col>11</xdr:col>
      <xdr:colOff>628650</xdr:colOff>
      <xdr:row>28</xdr:row>
      <xdr:rowOff>95250</xdr:rowOff>
    </xdr:from>
    <xdr:to>
      <xdr:col>17</xdr:col>
      <xdr:colOff>390525</xdr:colOff>
      <xdr:row>38</xdr:row>
      <xdr:rowOff>114300</xdr:rowOff>
    </xdr:to>
    <xdr:sp>
      <xdr:nvSpPr>
        <xdr:cNvPr id="4" name="文本框 3"/>
        <xdr:cNvSpPr txBox="1"/>
      </xdr:nvSpPr>
      <xdr:spPr>
        <a:xfrm>
          <a:off x="8734425" y="4924425"/>
          <a:ext cx="3876675" cy="17335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zh-CN" altLang="en-US" sz="1100"/>
            <a:t>操作步骤：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、点击“清空数据数据”；</a:t>
          </a:r>
          <a:endParaRPr lang="en-US" altLang="zh-CN" sz="1100"/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、填写应变</a:t>
          </a:r>
          <a:r>
            <a:rPr lang="zh-CN" altLang="en-US">
              <a:ea typeface="宋体" panose="02010600030101010101" pitchFamily="7" charset="-122"/>
              <a:sym typeface="+mn-ea"/>
            </a:rPr>
            <a:t>组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数，各个</a:t>
          </a:r>
          <a:r>
            <a:rPr lang="zh-CN" altLang="en-US">
              <a:ea typeface="宋体" panose="02010600030101010101" pitchFamily="7" charset="-122"/>
              <a:sym typeface="+mn-ea"/>
            </a:rPr>
            <a:t>组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测点数以及对应报告工况，点击“生成输入行”；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、请填写绿色列内容（工况除外）；</a:t>
          </a:r>
          <a:r>
            <a:rPr lang="zh-CN" altLang="en-US">
              <a:solidFill>
                <a:srgbClr val="FF0000"/>
              </a:solidFill>
            </a:rPr>
            <a:t> </a:t>
          </a:r>
          <a:endParaRPr lang="en-US" altLang="zh-CN">
            <a:solidFill>
              <a:srgbClr val="FF0000"/>
            </a:solidFill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、点击“自动计算”；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、点击“自动作图”。</a:t>
          </a:r>
          <a:endParaRPr lang="zh-CN" altLang="en-US" sz="1100"/>
        </a:p>
      </xdr:txBody>
    </xdr:sp>
    <xdr:clientData/>
  </xdr:twoCellAnchor>
  <xdr:twoCellAnchor>
    <xdr:from>
      <xdr:col>17</xdr:col>
      <xdr:colOff>238125</xdr:colOff>
      <xdr:row>6</xdr:row>
      <xdr:rowOff>85725</xdr:rowOff>
    </xdr:from>
    <xdr:to>
      <xdr:col>20</xdr:col>
      <xdr:colOff>533400</xdr:colOff>
      <xdr:row>9</xdr:row>
      <xdr:rowOff>142875</xdr:rowOff>
    </xdr:to>
    <xdr:sp>
      <xdr:nvSpPr>
        <xdr:cNvPr id="18" name="文本框 17"/>
        <xdr:cNvSpPr txBox="1"/>
      </xdr:nvSpPr>
      <xdr:spPr>
        <a:xfrm>
          <a:off x="12458700" y="1114425"/>
          <a:ext cx="2352675" cy="571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提示：若作图结果不正确，请尝试再点击一次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“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自动作图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”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（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WPS bug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）</a:t>
          </a:r>
          <a:endParaRPr lang="zh-CN" altLang="en-US" sz="1100">
            <a:solidFill>
              <a:srgbClr val="FF0000"/>
            </a:solidFill>
            <a:ea typeface="宋体" panose="02010600030101010101" pitchFamily="7" charset="-122"/>
          </a:endParaRPr>
        </a:p>
      </xdr:txBody>
    </xdr:sp>
    <xdr:clientData/>
  </xdr:twoCellAnchor>
  <xdr:twoCellAnchor editAs="oneCell">
    <xdr:from>
      <xdr:col>34</xdr:col>
      <xdr:colOff>476250</xdr:colOff>
      <xdr:row>8</xdr:row>
      <xdr:rowOff>38100</xdr:rowOff>
    </xdr:from>
    <xdr:to>
      <xdr:col>40</xdr:col>
      <xdr:colOff>599440</xdr:colOff>
      <xdr:row>26</xdr:row>
      <xdr:rowOff>94615</xdr:rowOff>
    </xdr:to>
    <xdr:pic>
      <xdr:nvPicPr>
        <xdr:cNvPr id="23" name="图片 22"/>
        <xdr:cNvPicPr>
          <a:picLocks noChangeAspect="1"/>
        </xdr:cNvPicPr>
      </xdr:nvPicPr>
      <xdr:blipFill>
        <a:blip r:embed="rId4"/>
        <a:stretch>
          <a:fillRect/>
        </a:stretch>
      </xdr:blipFill>
      <xdr:spPr>
        <a:xfrm>
          <a:off x="24355425" y="1409700"/>
          <a:ext cx="4237990" cy="3161665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34</xdr:col>
      <xdr:colOff>438150</xdr:colOff>
      <xdr:row>29</xdr:row>
      <xdr:rowOff>114300</xdr:rowOff>
    </xdr:from>
    <xdr:to>
      <xdr:col>40</xdr:col>
      <xdr:colOff>313690</xdr:colOff>
      <xdr:row>45</xdr:row>
      <xdr:rowOff>75565</xdr:rowOff>
    </xdr:to>
    <xdr:pic>
      <xdr:nvPicPr>
        <xdr:cNvPr id="24" name="图片 23"/>
        <xdr:cNvPicPr>
          <a:picLocks noChangeAspect="1"/>
        </xdr:cNvPicPr>
      </xdr:nvPicPr>
      <xdr:blipFill>
        <a:blip r:embed="rId5"/>
        <a:stretch>
          <a:fillRect/>
        </a:stretch>
      </xdr:blipFill>
      <xdr:spPr>
        <a:xfrm>
          <a:off x="24317325" y="5114925"/>
          <a:ext cx="3990340" cy="2704465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34</xdr:col>
      <xdr:colOff>590550</xdr:colOff>
      <xdr:row>48</xdr:row>
      <xdr:rowOff>76200</xdr:rowOff>
    </xdr:from>
    <xdr:to>
      <xdr:col>39</xdr:col>
      <xdr:colOff>618490</xdr:colOff>
      <xdr:row>63</xdr:row>
      <xdr:rowOff>151765</xdr:rowOff>
    </xdr:to>
    <xdr:pic>
      <xdr:nvPicPr>
        <xdr:cNvPr id="25" name="图片 24"/>
        <xdr:cNvPicPr>
          <a:picLocks noChangeAspect="1"/>
        </xdr:cNvPicPr>
      </xdr:nvPicPr>
      <xdr:blipFill>
        <a:blip r:embed="rId6"/>
        <a:stretch>
          <a:fillRect/>
        </a:stretch>
      </xdr:blipFill>
      <xdr:spPr>
        <a:xfrm>
          <a:off x="24469725" y="8334375"/>
          <a:ext cx="3456940" cy="264731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13</xdr:col>
      <xdr:colOff>682625</xdr:colOff>
      <xdr:row>11</xdr:row>
      <xdr:rowOff>19050</xdr:rowOff>
    </xdr:from>
    <xdr:to>
      <xdr:col>21</xdr:col>
      <xdr:colOff>22225</xdr:colOff>
      <xdr:row>28</xdr:row>
      <xdr:rowOff>123825</xdr:rowOff>
    </xdr:to>
    <xdr:graphicFrame>
      <xdr:nvGraphicFramePr>
        <xdr:cNvPr id="2" name="图表 1"/>
        <xdr:cNvGraphicFramePr/>
      </xdr:nvGraphicFramePr>
      <xdr:xfrm>
        <a:off x="10160000" y="1905000"/>
        <a:ext cx="4826000" cy="3048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682625</xdr:colOff>
      <xdr:row>30</xdr:row>
      <xdr:rowOff>34925</xdr:rowOff>
    </xdr:from>
    <xdr:to>
      <xdr:col>21</xdr:col>
      <xdr:colOff>276225</xdr:colOff>
      <xdr:row>48</xdr:row>
      <xdr:rowOff>123825</xdr:rowOff>
    </xdr:to>
    <xdr:graphicFrame>
      <xdr:nvGraphicFramePr>
        <xdr:cNvPr id="5" name="图表 4"/>
        <xdr:cNvGraphicFramePr/>
      </xdr:nvGraphicFramePr>
      <xdr:xfrm>
        <a:off x="10160000" y="5207000"/>
        <a:ext cx="5080000" cy="3175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682625</xdr:colOff>
      <xdr:row>49</xdr:row>
      <xdr:rowOff>79375</xdr:rowOff>
    </xdr:from>
    <xdr:to>
      <xdr:col>22</xdr:col>
      <xdr:colOff>225425</xdr:colOff>
      <xdr:row>69</xdr:row>
      <xdr:rowOff>79375</xdr:rowOff>
    </xdr:to>
    <xdr:graphicFrame>
      <xdr:nvGraphicFramePr>
        <xdr:cNvPr id="6" name="图表 5"/>
        <xdr:cNvGraphicFramePr/>
      </xdr:nvGraphicFramePr>
      <xdr:xfrm>
        <a:off x="10160000" y="8509000"/>
        <a:ext cx="5715000" cy="3429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676275</xdr:colOff>
          <xdr:row>4</xdr:row>
          <xdr:rowOff>161925</xdr:rowOff>
        </xdr:from>
        <xdr:to>
          <xdr:col>8</xdr:col>
          <xdr:colOff>381000</xdr:colOff>
          <xdr:row>6</xdr:row>
          <xdr:rowOff>28575</xdr:rowOff>
        </xdr:to>
        <xdr:sp macro="[0]!ThrustDataClear">
          <xdr:nvSpPr>
            <xdr:cNvPr id="14338" name="Button 2" hidden="1">
              <a:extLst>
                <a:ext uri="{63B3BB69-23CF-44E3-9099-C40C66FF867C}">
                  <a14:compatExt spid="_x0000_s14338"/>
                </a:ext>
              </a:extLst>
            </xdr:cNvPr>
            <xdr:cNvSpPr/>
          </xdr:nvSpPr>
          <xdr:spPr>
            <a:xfrm>
              <a:off x="4791075" y="847725"/>
              <a:ext cx="1076325" cy="20955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清空输入数据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676275</xdr:colOff>
          <xdr:row>6</xdr:row>
          <xdr:rowOff>171450</xdr:rowOff>
        </xdr:from>
        <xdr:to>
          <xdr:col>8</xdr:col>
          <xdr:colOff>371475</xdr:colOff>
          <xdr:row>8</xdr:row>
          <xdr:rowOff>9525</xdr:rowOff>
        </xdr:to>
        <xdr:sp macro="[0]!GenerateThrustRows">
          <xdr:nvSpPr>
            <xdr:cNvPr id="14339" name="Button 3" hidden="1">
              <a:extLst>
                <a:ext uri="{63B3BB69-23CF-44E3-9099-C40C66FF867C}">
                  <a14:compatExt spid="_x0000_s14339"/>
                </a:ext>
              </a:extLst>
            </xdr:cNvPr>
            <xdr:cNvSpPr/>
          </xdr:nvSpPr>
          <xdr:spPr>
            <a:xfrm>
              <a:off x="4791075" y="1200150"/>
              <a:ext cx="1066800" cy="1809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生成输入行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</xdr:row>
          <xdr:rowOff>171450</xdr:rowOff>
        </xdr:from>
        <xdr:to>
          <xdr:col>8</xdr:col>
          <xdr:colOff>371475</xdr:colOff>
          <xdr:row>10</xdr:row>
          <xdr:rowOff>19050</xdr:rowOff>
        </xdr:to>
        <xdr:sp macro="[0]!AutoThrust.AutoThrust">
          <xdr:nvSpPr>
            <xdr:cNvPr id="14340" name="Button 4" hidden="1">
              <a:extLst>
                <a:ext uri="{63B3BB69-23CF-44E3-9099-C40C66FF867C}">
                  <a14:compatExt spid="_x0000_s14340"/>
                </a:ext>
              </a:extLst>
            </xdr:cNvPr>
            <xdr:cNvSpPr/>
          </xdr:nvSpPr>
          <xdr:spPr>
            <a:xfrm>
              <a:off x="4810125" y="1543050"/>
              <a:ext cx="1047750" cy="19050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419100</xdr:colOff>
      <xdr:row>12</xdr:row>
      <xdr:rowOff>28575</xdr:rowOff>
    </xdr:from>
    <xdr:to>
      <xdr:col>14</xdr:col>
      <xdr:colOff>190500</xdr:colOff>
      <xdr:row>19</xdr:row>
      <xdr:rowOff>104775</xdr:rowOff>
    </xdr:to>
    <xdr:sp>
      <xdr:nvSpPr>
        <xdr:cNvPr id="3" name="文本框 2"/>
        <xdr:cNvSpPr txBox="1"/>
      </xdr:nvSpPr>
      <xdr:spPr>
        <a:xfrm>
          <a:off x="6591300" y="2114550"/>
          <a:ext cx="3200400" cy="1428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zh-CN" altLang="en-US" sz="1100"/>
            <a:t>操作步骤：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、点击“清空数据数据”；</a:t>
          </a:r>
          <a:endParaRPr lang="en-US" altLang="zh-CN" sz="1100"/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、填写测点数，加载级数，点击“生成输入行”；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、请填写</a:t>
          </a:r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“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总变形</a:t>
          </a:r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”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；</a:t>
          </a:r>
          <a:r>
            <a:rPr lang="zh-CN" altLang="en-US">
              <a:solidFill>
                <a:srgbClr val="FF0000"/>
              </a:solidFill>
            </a:rPr>
            <a:t> </a:t>
          </a:r>
          <a:endParaRPr lang="en-US" altLang="zh-CN">
            <a:solidFill>
              <a:srgbClr val="FF0000"/>
            </a:solidFill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、点击“自动计算”；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/>
            <a:t>5</a:t>
          </a:r>
          <a:r>
            <a:rPr lang="zh-CN" altLang="en-US" sz="1100">
              <a:ea typeface="宋体" panose="02010600030101010101" pitchFamily="7" charset="-122"/>
            </a:rPr>
            <a:t>、在</a:t>
          </a:r>
          <a:r>
            <a:rPr lang="en-US" altLang="zh-CN" sz="1100">
              <a:ea typeface="宋体" panose="02010600030101010101" pitchFamily="7" charset="-122"/>
            </a:rPr>
            <a:t>“</a:t>
          </a:r>
          <a:r>
            <a:rPr lang="zh-CN" altLang="en-US" sz="1100">
              <a:ea typeface="宋体" panose="02010600030101010101" pitchFamily="7" charset="-122"/>
            </a:rPr>
            <a:t>生成</a:t>
          </a:r>
          <a:r>
            <a:rPr lang="en-US" altLang="zh-CN" sz="1100">
              <a:ea typeface="宋体" panose="02010600030101010101" pitchFamily="7" charset="-122"/>
            </a:rPr>
            <a:t>Word</a:t>
          </a:r>
          <a:r>
            <a:rPr lang="zh-CN" altLang="en-US" sz="1100">
              <a:ea typeface="宋体" panose="02010600030101010101" pitchFamily="7" charset="-122"/>
            </a:rPr>
            <a:t>报告</a:t>
          </a:r>
          <a:r>
            <a:rPr lang="en-US" altLang="zh-CN" sz="1100">
              <a:ea typeface="宋体" panose="02010600030101010101" pitchFamily="7" charset="-122"/>
            </a:rPr>
            <a:t>”</a:t>
          </a:r>
          <a:r>
            <a:rPr lang="zh-CN" altLang="en-US" sz="1100">
              <a:ea typeface="宋体" panose="02010600030101010101" pitchFamily="7" charset="-122"/>
            </a:rPr>
            <a:t>标签中，可导出结果。</a:t>
          </a:r>
          <a:endParaRPr lang="zh-CN" altLang="en-US" sz="1100">
            <a:ea typeface="宋体" panose="02010600030101010101" pitchFamily="7" charset="-122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123825</xdr:colOff>
          <xdr:row>4</xdr:row>
          <xdr:rowOff>47625</xdr:rowOff>
        </xdr:from>
        <xdr:to>
          <xdr:col>8</xdr:col>
          <xdr:colOff>85725</xdr:colOff>
          <xdr:row>6</xdr:row>
          <xdr:rowOff>0</xdr:rowOff>
        </xdr:to>
        <xdr:sp macro="[0]!AutoReport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4238625" y="733425"/>
              <a:ext cx="1333500" cy="2952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导出荷载试验报告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133350</xdr:colOff>
          <xdr:row>11</xdr:row>
          <xdr:rowOff>66675</xdr:rowOff>
        </xdr:from>
        <xdr:to>
          <xdr:col>8</xdr:col>
          <xdr:colOff>247650</xdr:colOff>
          <xdr:row>13</xdr:row>
          <xdr:rowOff>19050</xdr:rowOff>
        </xdr:to>
        <xdr:sp macro="[0]!AutoCalcReport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>
            <a:xfrm>
              <a:off x="4248150" y="1952625"/>
              <a:ext cx="1485900" cy="29527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导出荷载试验计算书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266700</xdr:colOff>
      <xdr:row>10</xdr:row>
      <xdr:rowOff>94615</xdr:rowOff>
    </xdr:from>
    <xdr:to>
      <xdr:col>18</xdr:col>
      <xdr:colOff>76200</xdr:colOff>
      <xdr:row>32</xdr:row>
      <xdr:rowOff>152400</xdr:rowOff>
    </xdr:to>
    <xdr:sp>
      <xdr:nvSpPr>
        <xdr:cNvPr id="4" name="文本框 3"/>
        <xdr:cNvSpPr txBox="1"/>
      </xdr:nvSpPr>
      <xdr:spPr>
        <a:xfrm>
          <a:off x="8496300" y="1809115"/>
          <a:ext cx="3924300" cy="382968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使用说明：</a:t>
          </a:r>
          <a:endParaRPr lang="en-US" altLang="zh-CN" sz="1100"/>
        </a:p>
        <a:p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、需要先计算挠度和应变，才能使用导出功能；</a:t>
          </a:r>
          <a:endParaRPr lang="en-US" altLang="zh-CN" sz="1100"/>
        </a:p>
        <a:p>
          <a:r>
            <a:rPr lang="zh-CN" altLang="en-US" sz="1100">
              <a:solidFill>
                <a:srgbClr val="FF0000"/>
              </a:solidFill>
            </a:rPr>
            <a:t>（</a:t>
          </a:r>
          <a:r>
            <a:rPr lang="zh-CN" altLang="zh-CN" sz="11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计算</a:t>
          </a:r>
          <a:r>
            <a:rPr lang="zh-CN" altLang="en-US" sz="1100">
              <a:solidFill>
                <a:srgbClr val="FF0000"/>
              </a:solidFill>
            </a:rPr>
            <a:t>应变、挠度后，若时间过太久，内存中的数据会被系统回收，此时需重新计算才能使用导出功能）</a:t>
          </a:r>
          <a:endParaRPr lang="en-US" altLang="zh-CN" sz="1100">
            <a:solidFill>
              <a:srgbClr val="FF0000"/>
            </a:solidFill>
          </a:endParaRPr>
        </a:p>
        <a:p>
          <a:endParaRPr lang="en-US" altLang="zh-CN" sz="1100"/>
        </a:p>
        <a:p>
          <a:r>
            <a:rPr lang="en-US" altLang="zh-CN" sz="1100">
              <a:solidFill>
                <a:srgbClr val="FF0000"/>
              </a:solidFill>
            </a:rPr>
            <a:t>2</a:t>
          </a:r>
          <a:r>
            <a:rPr lang="zh-CN" altLang="en-US" sz="1100">
              <a:solidFill>
                <a:srgbClr val="FF0000"/>
              </a:solidFill>
            </a:rPr>
            <a:t>、生成报告的数据是基于所输入的原始测量数据计算得到的结果，修改</a:t>
          </a:r>
          <a:r>
            <a:rPr lang="en-US" altLang="zh-CN" sz="1100">
              <a:solidFill>
                <a:srgbClr val="FF0000"/>
              </a:solidFill>
            </a:rPr>
            <a:t>excel</a:t>
          </a:r>
          <a:r>
            <a:rPr lang="zh-CN" altLang="en-US" sz="1100">
              <a:solidFill>
                <a:srgbClr val="FF0000"/>
              </a:solidFill>
            </a:rPr>
            <a:t>中的计算结果不影响导出报告的数据；</a:t>
          </a:r>
          <a:endParaRPr lang="en-US" altLang="zh-CN" sz="1100">
            <a:solidFill>
              <a:srgbClr val="FF0000"/>
            </a:solidFill>
          </a:endParaRPr>
        </a:p>
        <a:p>
          <a:endParaRPr lang="zh-CN" altLang="en-US" sz="110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defRPr/>
          </a:pPr>
          <a:r>
            <a:rPr lang="en-US" altLang="zh-CN" sz="1100"/>
            <a:t>3</a:t>
          </a:r>
          <a:r>
            <a:rPr lang="zh-CN" altLang="en-US" sz="1100"/>
            <a:t>、若导出失败，请尝试在任务管理器中关闭所有</a:t>
          </a:r>
          <a:r>
            <a:rPr lang="en-US" altLang="zh-CN" sz="1100"/>
            <a:t>word</a:t>
          </a:r>
          <a:r>
            <a:rPr lang="zh-CN" altLang="en-US" sz="1100"/>
            <a:t>进程，再重新进行导出（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打开任务管理器方法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：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Ctrl+alt+del</a:t>
          </a:r>
          <a:r>
            <a:rPr lang="zh-CN" altLang="en-US" sz="1100"/>
            <a:t>）；</a:t>
          </a:r>
          <a:endParaRPr lang="en-US" altLang="zh-CN" sz="1100"/>
        </a:p>
        <a:p>
          <a:pPr algn="l"/>
          <a:endParaRPr lang="en-US" altLang="zh-CN" sz="1100"/>
        </a:p>
        <a:p>
          <a:pPr algn="l"/>
          <a:r>
            <a:rPr lang="en-US" altLang="zh-CN" sz="1100"/>
            <a:t>4</a:t>
          </a:r>
          <a:r>
            <a:rPr lang="zh-CN" altLang="en-US" sz="1100"/>
            <a:t>、“导出</a:t>
          </a:r>
          <a:r>
            <a:rPr lang="en-US" altLang="zh-CN" sz="1100"/>
            <a:t>Word</a:t>
          </a:r>
          <a:r>
            <a:rPr lang="zh-CN" altLang="en-US" sz="1100"/>
            <a:t>报告”生成的报告为“自动生成的报告</a:t>
          </a:r>
          <a:r>
            <a:rPr lang="en-US" altLang="zh-CN" sz="1100"/>
            <a:t>.docx</a:t>
          </a:r>
          <a:r>
            <a:rPr lang="zh-CN" altLang="en-US" sz="1100"/>
            <a:t>”，“自动报告模板</a:t>
          </a:r>
          <a:r>
            <a:rPr lang="en-US" altLang="zh-CN" sz="1100"/>
            <a:t>.docx</a:t>
          </a:r>
          <a:r>
            <a:rPr lang="zh-CN" altLang="en-US" sz="1100"/>
            <a:t>”不要修改；</a:t>
          </a:r>
          <a:endParaRPr lang="en-US" altLang="zh-CN" sz="1100"/>
        </a:p>
        <a:p>
          <a:pPr algn="l"/>
          <a:endParaRPr lang="en-US" altLang="zh-CN" sz="1100"/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defRPr/>
          </a:pP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“导出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Word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计算书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”生成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的计算书为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“自动生成的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计算书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.docx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”，“自动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计算书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模板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.docx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”不要修改；</a:t>
          </a:r>
          <a:endParaRPr lang="zh-CN" altLang="zh-CN">
            <a:effectLst/>
          </a:endParaRPr>
        </a:p>
        <a:p>
          <a:pPr algn="l"/>
          <a:endParaRPr lang="en-US" altLang="zh-CN" sz="1100"/>
        </a:p>
        <a:p>
          <a:pPr algn="l"/>
          <a:endParaRPr lang="zh-CN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18</xdr:row>
          <xdr:rowOff>104775</xdr:rowOff>
        </xdr:from>
        <xdr:to>
          <xdr:col>8</xdr:col>
          <xdr:colOff>9525</xdr:colOff>
          <xdr:row>20</xdr:row>
          <xdr:rowOff>47625</xdr:rowOff>
        </xdr:to>
        <xdr:sp macro="[0]!AutoThrustReport">
          <xdr:nvSpPr>
            <xdr:cNvPr id="4100" name="Button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>
            <a:xfrm>
              <a:off x="4219575" y="3190875"/>
              <a:ext cx="1276350" cy="28575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导出栏杆推力报告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485775</xdr:colOff>
          <xdr:row>4</xdr:row>
          <xdr:rowOff>0</xdr:rowOff>
        </xdr:from>
        <xdr:to>
          <xdr:col>11</xdr:col>
          <xdr:colOff>400050</xdr:colOff>
          <xdr:row>6</xdr:row>
          <xdr:rowOff>9525</xdr:rowOff>
        </xdr:to>
        <xdr:sp>
          <xdr:nvSpPr>
            <xdr:cNvPr id="4101" name="ExportRelationChartCheckBox" hidden="1">
              <a:extLst>
                <a:ext uri="{63B3BB69-23CF-44E3-9099-C40C66FF867C}">
                  <a14:compatExt spid="_x0000_s4101"/>
                </a:ext>
              </a:extLst>
            </xdr:cNvPr>
            <xdr:cNvSpPr/>
          </xdr:nvSpPr>
          <xdr:spPr>
            <a:xfrm>
              <a:off x="5972175" y="685800"/>
              <a:ext cx="1971675" cy="352425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导出实测值与理论计算值关系曲线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xdr:twoCellAnchor>
    <xdr:from>
      <xdr:col>12</xdr:col>
      <xdr:colOff>381000</xdr:colOff>
      <xdr:row>3</xdr:row>
      <xdr:rowOff>133350</xdr:rowOff>
    </xdr:from>
    <xdr:to>
      <xdr:col>17</xdr:col>
      <xdr:colOff>485140</xdr:colOff>
      <xdr:row>6</xdr:row>
      <xdr:rowOff>123825</xdr:rowOff>
    </xdr:to>
    <xdr:sp>
      <xdr:nvSpPr>
        <xdr:cNvPr id="2" name="文本框 1"/>
        <xdr:cNvSpPr txBox="1"/>
      </xdr:nvSpPr>
      <xdr:spPr>
        <a:xfrm>
          <a:off x="8610600" y="647700"/>
          <a:ext cx="3533140" cy="5048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/>
        <a:p>
          <a:pPr algn="l"/>
          <a:r>
            <a:rPr lang="zh-CN" altLang="en-US" sz="1100">
              <a:ea typeface="宋体" panose="02010600030101010101" pitchFamily="7" charset="-122"/>
            </a:rPr>
            <a:t>注：</a:t>
          </a:r>
          <a:r>
            <a:rPr lang="en-US" altLang="zh-CN" sz="1100"/>
            <a:t>“</a:t>
          </a:r>
          <a:r>
            <a:rPr lang="zh-CN" altLang="en-US" sz="1100">
              <a:ea typeface="宋体" panose="02010600030101010101" pitchFamily="7" charset="-122"/>
            </a:rPr>
            <a:t>导出实测值与理论计算值关系曲线</a:t>
          </a:r>
          <a:r>
            <a:rPr lang="en-US" altLang="zh-CN" sz="1100">
              <a:ea typeface="宋体" panose="02010600030101010101" pitchFamily="7" charset="-122"/>
            </a:rPr>
            <a:t>”</a:t>
          </a:r>
          <a:r>
            <a:rPr lang="zh-CN" altLang="en-US" sz="1100">
              <a:ea typeface="宋体" panose="02010600030101010101" pitchFamily="7" charset="-122"/>
            </a:rPr>
            <a:t>功能使用需要先做出挠度和应变的关系曲线</a:t>
          </a:r>
          <a:endParaRPr lang="zh-CN" altLang="en-US" sz="1100">
            <a:ea typeface="宋体" panose="02010600030101010101" pitchFamily="7" charset="-122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85725</xdr:colOff>
          <xdr:row>3</xdr:row>
          <xdr:rowOff>85725</xdr:rowOff>
        </xdr:from>
        <xdr:to>
          <xdr:col>11</xdr:col>
          <xdr:colOff>457200</xdr:colOff>
          <xdr:row>8</xdr:row>
          <xdr:rowOff>114300</xdr:rowOff>
        </xdr:to>
        <xdr:sp>
          <xdr:nvSpPr>
            <xdr:cNvPr id="4103" name="Group Box 7" hidden="1">
              <a:extLst>
                <a:ext uri="{63B3BB69-23CF-44E3-9099-C40C66FF867C}">
                  <a14:compatExt spid="_x0000_s4103"/>
                </a:ext>
              </a:extLst>
            </xdr:cNvPr>
            <xdr:cNvSpPr/>
          </xdr:nvSpPr>
          <xdr:spPr>
            <a:xfrm>
              <a:off x="4200525" y="600075"/>
              <a:ext cx="3800475" cy="885825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荷载试验报告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10</xdr:row>
          <xdr:rowOff>9525</xdr:rowOff>
        </xdr:from>
        <xdr:to>
          <xdr:col>11</xdr:col>
          <xdr:colOff>485775</xdr:colOff>
          <xdr:row>16</xdr:row>
          <xdr:rowOff>66675</xdr:rowOff>
        </xdr:to>
        <xdr:sp>
          <xdr:nvSpPr>
            <xdr:cNvPr id="4104" name="Group Box 8" hidden="1">
              <a:extLst>
                <a:ext uri="{63B3BB69-23CF-44E3-9099-C40C66FF867C}">
                  <a14:compatExt spid="_x0000_s4104"/>
                </a:ext>
              </a:extLst>
            </xdr:cNvPr>
            <xdr:cNvSpPr/>
          </xdr:nvSpPr>
          <xdr:spPr>
            <a:xfrm>
              <a:off x="4181475" y="1724025"/>
              <a:ext cx="3848100" cy="108585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荷载试验计算书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133350</xdr:colOff>
          <xdr:row>6</xdr:row>
          <xdr:rowOff>76200</xdr:rowOff>
        </xdr:from>
        <xdr:to>
          <xdr:col>8</xdr:col>
          <xdr:colOff>76200</xdr:colOff>
          <xdr:row>7</xdr:row>
          <xdr:rowOff>161925</xdr:rowOff>
        </xdr:to>
        <xdr:sp macro="[0]!OpenReport">
          <xdr:nvSpPr>
            <xdr:cNvPr id="4106" name="Button 10" hidden="1">
              <a:extLst>
                <a:ext uri="{63B3BB69-23CF-44E3-9099-C40C66FF867C}">
                  <a14:compatExt spid="_x0000_s4106"/>
                </a:ext>
              </a:extLst>
            </xdr:cNvPr>
            <xdr:cNvSpPr/>
          </xdr:nvSpPr>
          <xdr:spPr>
            <a:xfrm>
              <a:off x="4248150" y="1104900"/>
              <a:ext cx="1314450" cy="25717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打开报告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13</xdr:row>
          <xdr:rowOff>123825</xdr:rowOff>
        </xdr:from>
        <xdr:to>
          <xdr:col>8</xdr:col>
          <xdr:colOff>228600</xdr:colOff>
          <xdr:row>15</xdr:row>
          <xdr:rowOff>47625</xdr:rowOff>
        </xdr:to>
        <xdr:sp macro="[0]!OpenCalcReport">
          <xdr:nvSpPr>
            <xdr:cNvPr id="4107" name="Button 11" hidden="1">
              <a:extLst>
                <a:ext uri="{63B3BB69-23CF-44E3-9099-C40C66FF867C}">
                  <a14:compatExt spid="_x0000_s4107"/>
                </a:ext>
              </a:extLst>
            </xdr:cNvPr>
            <xdr:cNvSpPr/>
          </xdr:nvSpPr>
          <xdr:spPr>
            <a:xfrm>
              <a:off x="4276725" y="2352675"/>
              <a:ext cx="1438275" cy="26670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打开计算书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11</xdr:row>
          <xdr:rowOff>57150</xdr:rowOff>
        </xdr:from>
        <xdr:to>
          <xdr:col>11</xdr:col>
          <xdr:colOff>333375</xdr:colOff>
          <xdr:row>13</xdr:row>
          <xdr:rowOff>66675</xdr:rowOff>
        </xdr:to>
        <xdr:sp>
          <xdr:nvSpPr>
            <xdr:cNvPr id="4108" name="ExportRelationChartCheckBox_Calc" hidden="1">
              <a:extLst>
                <a:ext uri="{63B3BB69-23CF-44E3-9099-C40C66FF867C}">
                  <a14:compatExt spid="_x0000_s4108"/>
                </a:ext>
              </a:extLst>
            </xdr:cNvPr>
            <xdr:cNvSpPr/>
          </xdr:nvSpPr>
          <xdr:spPr>
            <a:xfrm>
              <a:off x="5905500" y="1943100"/>
              <a:ext cx="1971675" cy="352425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导出实测值与理论计算值关系曲线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161925</xdr:colOff>
          <xdr:row>6</xdr:row>
          <xdr:rowOff>95250</xdr:rowOff>
        </xdr:from>
        <xdr:to>
          <xdr:col>9</xdr:col>
          <xdr:colOff>313055</xdr:colOff>
          <xdr:row>7</xdr:row>
          <xdr:rowOff>152400</xdr:rowOff>
        </xdr:to>
        <xdr:sp macro="[0]!AutoCover">
          <xdr:nvSpPr>
            <xdr:cNvPr id="19458" name="Button 2" hidden="1">
              <a:extLst>
                <a:ext uri="{63B3BB69-23CF-44E3-9099-C40C66FF867C}">
                  <a14:compatExt spid="_x0000_s19458"/>
                </a:ext>
              </a:extLst>
            </xdr:cNvPr>
            <xdr:cNvSpPr/>
          </xdr:nvSpPr>
          <xdr:spPr>
            <a:xfrm>
              <a:off x="4962525" y="1123950"/>
              <a:ext cx="1522730" cy="228600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生成原始记录封面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114300</xdr:colOff>
          <xdr:row>8</xdr:row>
          <xdr:rowOff>142875</xdr:rowOff>
        </xdr:from>
        <xdr:to>
          <xdr:col>9</xdr:col>
          <xdr:colOff>514350</xdr:colOff>
          <xdr:row>10</xdr:row>
          <xdr:rowOff>75565</xdr:rowOff>
        </xdr:to>
        <xdr:sp macro="[0]!AutoContractReview">
          <xdr:nvSpPr>
            <xdr:cNvPr id="19459" name="Button 3" hidden="1">
              <a:extLst>
                <a:ext uri="{63B3BB69-23CF-44E3-9099-C40C66FF867C}">
                  <a14:compatExt spid="_x0000_s19459"/>
                </a:ext>
              </a:extLst>
            </xdr:cNvPr>
            <xdr:cNvSpPr/>
          </xdr:nvSpPr>
          <xdr:spPr>
            <a:xfrm>
              <a:off x="4914900" y="1514475"/>
              <a:ext cx="1771650" cy="275590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生成合同定期评审记录表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11</xdr:row>
          <xdr:rowOff>38100</xdr:rowOff>
        </xdr:from>
        <xdr:to>
          <xdr:col>9</xdr:col>
          <xdr:colOff>581025</xdr:colOff>
          <xdr:row>12</xdr:row>
          <xdr:rowOff>105410</xdr:rowOff>
        </xdr:to>
        <xdr:sp macro="[0]!AutoInspectionBasicInfo">
          <xdr:nvSpPr>
            <xdr:cNvPr id="19460" name="Button 4" hidden="1">
              <a:extLst>
                <a:ext uri="{63B3BB69-23CF-44E3-9099-C40C66FF867C}">
                  <a14:compatExt spid="_x0000_s19460"/>
                </a:ext>
              </a:extLst>
            </xdr:cNvPr>
            <xdr:cNvSpPr/>
          </xdr:nvSpPr>
          <xdr:spPr>
            <a:xfrm>
              <a:off x="4905375" y="1924050"/>
              <a:ext cx="1847850" cy="238760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生成现场检测基本信息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3</xdr:row>
          <xdr:rowOff>47625</xdr:rowOff>
        </xdr:from>
        <xdr:to>
          <xdr:col>10</xdr:col>
          <xdr:colOff>218440</xdr:colOff>
          <xdr:row>5</xdr:row>
          <xdr:rowOff>114300</xdr:rowOff>
        </xdr:to>
        <xdr:sp macro="[0]!AutoAllOriginalRecord">
          <xdr:nvSpPr>
            <xdr:cNvPr id="19462" name="Button 6" hidden="1">
              <a:extLst>
                <a:ext uri="{63B3BB69-23CF-44E3-9099-C40C66FF867C}">
                  <a14:compatExt spid="_x0000_s19462"/>
                </a:ext>
              </a:extLst>
            </xdr:cNvPr>
            <xdr:cNvSpPr/>
          </xdr:nvSpPr>
          <xdr:spPr>
            <a:xfrm>
              <a:off x="4933950" y="561975"/>
              <a:ext cx="2142490" cy="40957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生成原始记录封面、合同定期评审记录表和现场检测基本信息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238125</xdr:colOff>
      <xdr:row>16</xdr:row>
      <xdr:rowOff>19050</xdr:rowOff>
    </xdr:from>
    <xdr:to>
      <xdr:col>16</xdr:col>
      <xdr:colOff>180975</xdr:colOff>
      <xdr:row>23</xdr:row>
      <xdr:rowOff>132715</xdr:rowOff>
    </xdr:to>
    <xdr:sp>
      <xdr:nvSpPr>
        <xdr:cNvPr id="2" name="文本框 1"/>
        <xdr:cNvSpPr txBox="1"/>
      </xdr:nvSpPr>
      <xdr:spPr>
        <a:xfrm>
          <a:off x="7781925" y="2762250"/>
          <a:ext cx="3371850" cy="131381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p>
          <a:pPr algn="l"/>
          <a:r>
            <a:rPr lang="zh-CN" altLang="en-US" sz="1100"/>
            <a:t>注意事项：</a:t>
          </a:r>
          <a:endParaRPr lang="zh-CN" altLang="en-US" sz="1100"/>
        </a:p>
        <a:p>
          <a:pPr algn="l"/>
          <a:r>
            <a:rPr lang="en-US" altLang="zh-CN" sz="1100"/>
            <a:t>1</a:t>
          </a:r>
          <a:r>
            <a:rPr lang="zh-CN" altLang="en-US" sz="1100"/>
            <a:t>、生成记录后请打开文档</a:t>
          </a:r>
          <a:r>
            <a:rPr lang="zh-CN" altLang="en-US" sz="1100">
              <a:solidFill>
                <a:srgbClr val="FF0000"/>
              </a:solidFill>
            </a:rPr>
            <a:t>检查生成结果是否正确</a:t>
          </a:r>
          <a:r>
            <a:rPr lang="zh-CN" altLang="en-US" sz="1100"/>
            <a:t>；</a:t>
          </a:r>
          <a:endParaRPr lang="zh-CN" altLang="en-US" sz="1100"/>
        </a:p>
        <a:p>
          <a:pPr algn="l"/>
          <a:r>
            <a:rPr lang="en-US" altLang="zh-CN" sz="1100"/>
            <a:t>2</a:t>
          </a:r>
          <a:r>
            <a:rPr lang="zh-CN" altLang="en-US" sz="1100"/>
            <a:t>、自动生成的现场检测基本信息不包括校准有效期，请自行填写；</a:t>
          </a:r>
          <a:endParaRPr lang="zh-CN" altLang="en-US" sz="1100"/>
        </a:p>
        <a:p>
          <a:pPr algn="l"/>
          <a:r>
            <a:rPr lang="en-US" altLang="zh-CN" sz="1100"/>
            <a:t>3</a:t>
          </a:r>
          <a:r>
            <a:rPr lang="zh-CN" altLang="en-US" sz="1100">
              <a:ea typeface="宋体" panose="02010600030101010101" pitchFamily="7" charset="-122"/>
            </a:rPr>
            <a:t>、请自行校核现场仪器是否存在使用时间、空间上的冲突；</a:t>
          </a:r>
          <a:endParaRPr lang="zh-CN" altLang="en-US" sz="1100">
            <a:ea typeface="宋体" panose="02010600030101010101" pitchFamily="7" charset="-122"/>
          </a:endParaRPr>
        </a:p>
      </xdr:txBody>
    </xdr:sp>
    <xdr:clientData/>
  </xdr:twoCellAnchor>
  <xdr:twoCellAnchor>
    <xdr:from>
      <xdr:col>12</xdr:col>
      <xdr:colOff>66675</xdr:colOff>
      <xdr:row>4</xdr:row>
      <xdr:rowOff>104775</xdr:rowOff>
    </xdr:from>
    <xdr:to>
      <xdr:col>17</xdr:col>
      <xdr:colOff>47625</xdr:colOff>
      <xdr:row>11</xdr:row>
      <xdr:rowOff>161925</xdr:rowOff>
    </xdr:to>
    <xdr:sp>
      <xdr:nvSpPr>
        <xdr:cNvPr id="3" name="文本框 2"/>
        <xdr:cNvSpPr txBox="1"/>
      </xdr:nvSpPr>
      <xdr:spPr>
        <a:xfrm>
          <a:off x="8296275" y="790575"/>
          <a:ext cx="3409950" cy="12573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p>
          <a:pPr algn="l"/>
          <a:r>
            <a:rPr lang="zh-CN" altLang="en-US" sz="1100"/>
            <a:t>使用说明：</a:t>
          </a:r>
          <a:endParaRPr lang="zh-CN" altLang="en-US" sz="1100"/>
        </a:p>
        <a:p>
          <a:pPr algn="l"/>
          <a:r>
            <a:rPr lang="en-US" altLang="zh-CN" sz="1100"/>
            <a:t>1</a:t>
          </a:r>
          <a:r>
            <a:rPr lang="zh-CN" altLang="en-US" sz="1100"/>
            <a:t>、将写完的报告复制到</a:t>
          </a:r>
          <a:r>
            <a:rPr lang="en-US" altLang="zh-CN" sz="1100"/>
            <a:t>”报告”</a:t>
          </a:r>
          <a:r>
            <a:rPr lang="zh-CN" altLang="en-US" sz="1100"/>
            <a:t>文件夹下；</a:t>
          </a:r>
          <a:endParaRPr lang="zh-CN" altLang="en-US" sz="1100"/>
        </a:p>
        <a:p>
          <a:pPr algn="l"/>
          <a:r>
            <a:rPr lang="en-US" altLang="zh-CN" sz="1100"/>
            <a:t>2</a:t>
          </a:r>
          <a:r>
            <a:rPr lang="zh-CN" altLang="en-US" sz="1100"/>
            <a:t>、根据需要点击左边的按钮，等待结果的生成；</a:t>
          </a:r>
          <a:endParaRPr lang="zh-CN" altLang="en-US" sz="1100"/>
        </a:p>
        <a:p>
          <a:pPr algn="l"/>
          <a:r>
            <a:rPr lang="en-US" altLang="zh-CN" sz="1100"/>
            <a:t>3</a:t>
          </a:r>
          <a:r>
            <a:rPr lang="zh-CN" altLang="en-US" sz="1100"/>
            <a:t>、生成结果在</a:t>
          </a:r>
          <a:r>
            <a:rPr lang="en-US" altLang="zh-CN" sz="1100"/>
            <a:t>“自动生成的原始记录”</a:t>
          </a:r>
          <a:r>
            <a:rPr lang="zh-CN" altLang="en-US" sz="1100"/>
            <a:t>文件夹下；</a:t>
          </a:r>
          <a:endParaRPr lang="zh-CN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619125</xdr:colOff>
          <xdr:row>6</xdr:row>
          <xdr:rowOff>104775</xdr:rowOff>
        </xdr:from>
        <xdr:to>
          <xdr:col>11</xdr:col>
          <xdr:colOff>104775</xdr:colOff>
          <xdr:row>7</xdr:row>
          <xdr:rowOff>142875</xdr:rowOff>
        </xdr:to>
        <xdr:sp macro="[0]!OpenCover">
          <xdr:nvSpPr>
            <xdr:cNvPr id="19463" name="Button 7" hidden="1">
              <a:extLst>
                <a:ext uri="{63B3BB69-23CF-44E3-9099-C40C66FF867C}">
                  <a14:compatExt spid="_x0000_s19463"/>
                </a:ext>
              </a:extLst>
            </xdr:cNvPr>
            <xdr:cNvSpPr/>
          </xdr:nvSpPr>
          <xdr:spPr>
            <a:xfrm>
              <a:off x="6791325" y="1133475"/>
              <a:ext cx="857250" cy="209550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打开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666750</xdr:colOff>
          <xdr:row>8</xdr:row>
          <xdr:rowOff>152400</xdr:rowOff>
        </xdr:from>
        <xdr:to>
          <xdr:col>11</xdr:col>
          <xdr:colOff>152400</xdr:colOff>
          <xdr:row>10</xdr:row>
          <xdr:rowOff>28575</xdr:rowOff>
        </xdr:to>
        <xdr:sp macro="[0]!OpenContractReview">
          <xdr:nvSpPr>
            <xdr:cNvPr id="19464" name="Button 8" hidden="1">
              <a:extLst>
                <a:ext uri="{63B3BB69-23CF-44E3-9099-C40C66FF867C}">
                  <a14:compatExt spid="_x0000_s19464"/>
                </a:ext>
              </a:extLst>
            </xdr:cNvPr>
            <xdr:cNvSpPr/>
          </xdr:nvSpPr>
          <xdr:spPr>
            <a:xfrm>
              <a:off x="6838950" y="1524000"/>
              <a:ext cx="857250" cy="21907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打开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76200</xdr:colOff>
          <xdr:row>11</xdr:row>
          <xdr:rowOff>47625</xdr:rowOff>
        </xdr:from>
        <xdr:to>
          <xdr:col>11</xdr:col>
          <xdr:colOff>247650</xdr:colOff>
          <xdr:row>12</xdr:row>
          <xdr:rowOff>76200</xdr:rowOff>
        </xdr:to>
        <xdr:sp macro="[0]!OpenInspectionBasicInfo">
          <xdr:nvSpPr>
            <xdr:cNvPr id="19465" name="Button 9" hidden="1">
              <a:extLst>
                <a:ext uri="{63B3BB69-23CF-44E3-9099-C40C66FF867C}">
                  <a14:compatExt spid="_x0000_s19465"/>
                </a:ext>
              </a:extLst>
            </xdr:cNvPr>
            <xdr:cNvSpPr/>
          </xdr:nvSpPr>
          <xdr:spPr>
            <a:xfrm>
              <a:off x="6934200" y="1933575"/>
              <a:ext cx="857250" cy="20002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打开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619125</xdr:colOff>
          <xdr:row>6</xdr:row>
          <xdr:rowOff>171450</xdr:rowOff>
        </xdr:from>
        <xdr:to>
          <xdr:col>8</xdr:col>
          <xdr:colOff>257175</xdr:colOff>
          <xdr:row>8</xdr:row>
          <xdr:rowOff>47625</xdr:rowOff>
        </xdr:to>
        <xdr:sp macro="[0]!AutoLevelingSurveyTransform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6419850" y="1200150"/>
              <a:ext cx="1009650" cy="2190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647700</xdr:colOff>
          <xdr:row>4</xdr:row>
          <xdr:rowOff>85725</xdr:rowOff>
        </xdr:from>
        <xdr:to>
          <xdr:col>8</xdr:col>
          <xdr:colOff>609600</xdr:colOff>
          <xdr:row>5</xdr:row>
          <xdr:rowOff>152400</xdr:rowOff>
        </xdr:to>
        <xdr:sp macro="[0]!LevelingSurveyDataClear">
          <xdr:nvSpPr>
            <xdr:cNvPr id="8194" name="Button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>
            <a:xfrm>
              <a:off x="6448425" y="771525"/>
              <a:ext cx="1333500" cy="2381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重填水准测量数据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190500</xdr:colOff>
      <xdr:row>16</xdr:row>
      <xdr:rowOff>9525</xdr:rowOff>
    </xdr:from>
    <xdr:to>
      <xdr:col>10</xdr:col>
      <xdr:colOff>485775</xdr:colOff>
      <xdr:row>27</xdr:row>
      <xdr:rowOff>95250</xdr:rowOff>
    </xdr:to>
    <xdr:sp>
      <xdr:nvSpPr>
        <xdr:cNvPr id="4" name="文本框 3"/>
        <xdr:cNvSpPr txBox="1"/>
      </xdr:nvSpPr>
      <xdr:spPr>
        <a:xfrm>
          <a:off x="5991225" y="2752725"/>
          <a:ext cx="3200400" cy="19716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使用说明：</a:t>
          </a:r>
          <a:endParaRPr lang="en-US" altLang="zh-CN" sz="1100"/>
        </a:p>
        <a:p>
          <a:r>
            <a:rPr lang="en-US" altLang="zh-CN" sz="1100">
              <a:solidFill>
                <a:srgbClr val="FF0000"/>
              </a:solidFill>
            </a:rPr>
            <a:t>1</a:t>
          </a:r>
          <a:r>
            <a:rPr lang="zh-CN" altLang="en-US" sz="1100">
              <a:solidFill>
                <a:srgbClr val="FF0000"/>
              </a:solidFill>
            </a:rPr>
            <a:t>、本标签可实现水准测量数据自动转换功能；</a:t>
          </a:r>
          <a:endParaRPr lang="en-US" altLang="zh-CN" sz="1100">
            <a:solidFill>
              <a:srgbClr val="FF0000"/>
            </a:solidFill>
          </a:endParaRPr>
        </a:p>
        <a:p>
          <a:r>
            <a:rPr lang="en-US" altLang="zh-CN" sz="1100"/>
            <a:t>2</a:t>
          </a:r>
          <a:r>
            <a:rPr lang="zh-CN" altLang="en-US" sz="1100"/>
            <a:t>、参考输入示例填写水准测量数据；</a:t>
          </a:r>
          <a:endParaRPr lang="en-US" altLang="zh-CN" sz="1100"/>
        </a:p>
        <a:p>
          <a:r>
            <a:rPr lang="en-US" altLang="zh-CN" sz="1100"/>
            <a:t>3</a:t>
          </a:r>
          <a:r>
            <a:rPr lang="zh-CN" altLang="en-US" sz="1100"/>
            <a:t>、基点高程可填写</a:t>
          </a:r>
          <a:r>
            <a:rPr lang="en-US" altLang="zh-CN" sz="1100"/>
            <a:t>0</a:t>
          </a:r>
          <a:r>
            <a:rPr lang="zh-CN" altLang="en-US" sz="1100"/>
            <a:t>；</a:t>
          </a:r>
          <a:endParaRPr lang="en-US" altLang="zh-CN" sz="1100"/>
        </a:p>
        <a:p>
          <a:r>
            <a:rPr lang="en-US" altLang="zh-CN" sz="1100"/>
            <a:t>4</a:t>
          </a:r>
          <a:r>
            <a:rPr lang="zh-CN" altLang="en-US" sz="1100"/>
            <a:t>、点击“自动计算”进行计算；</a:t>
          </a:r>
          <a:endParaRPr lang="en-US" altLang="zh-CN" sz="1100"/>
        </a:p>
        <a:p>
          <a:r>
            <a:rPr lang="en-US" altLang="zh-CN" sz="1100"/>
            <a:t>5</a:t>
          </a:r>
          <a:r>
            <a:rPr lang="zh-CN" altLang="en-US" sz="1100"/>
            <a:t>、换算百分表读数是高程的相反数（高程读数换算后才能用百分表的计算公式计算挠度的有关结果）；</a:t>
          </a:r>
          <a:endParaRPr lang="en-US" altLang="zh-CN" sz="1100"/>
        </a:p>
        <a:p>
          <a:r>
            <a:rPr lang="en-US" altLang="zh-CN" sz="1100"/>
            <a:t>6</a:t>
          </a:r>
          <a:r>
            <a:rPr lang="zh-CN" altLang="en-US" sz="1100"/>
            <a:t>、“重填水准测量数据”可以快速清空已填写数据。</a:t>
          </a:r>
          <a:endParaRPr lang="zh-CN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</xdr:col>
      <xdr:colOff>339725</xdr:colOff>
      <xdr:row>17</xdr:row>
      <xdr:rowOff>19050</xdr:rowOff>
    </xdr:from>
    <xdr:to>
      <xdr:col>8</xdr:col>
      <xdr:colOff>111125</xdr:colOff>
      <xdr:row>33</xdr:row>
      <xdr:rowOff>19050</xdr:rowOff>
    </xdr:to>
    <xdr:graphicFrame>
      <xdr:nvGraphicFramePr>
        <xdr:cNvPr id="8" name="图表 7"/>
        <xdr:cNvGraphicFramePr/>
      </xdr:nvGraphicFramePr>
      <xdr:xfrm>
        <a:off x="1025525" y="2933700"/>
        <a:ext cx="4572000" cy="27432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452120</xdr:colOff>
      <xdr:row>13</xdr:row>
      <xdr:rowOff>28575</xdr:rowOff>
    </xdr:from>
    <xdr:to>
      <xdr:col>20</xdr:col>
      <xdr:colOff>223520</xdr:colOff>
      <xdr:row>28</xdr:row>
      <xdr:rowOff>57150</xdr:rowOff>
    </xdr:to>
    <xdr:graphicFrame>
      <xdr:nvGraphicFramePr>
        <xdr:cNvPr id="2" name="图表 1"/>
        <xdr:cNvGraphicFramePr/>
      </xdr:nvGraphicFramePr>
      <xdr:xfrm>
        <a:off x="9367520" y="2257425"/>
        <a:ext cx="4572000" cy="260032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320675</xdr:colOff>
      <xdr:row>14</xdr:row>
      <xdr:rowOff>155575</xdr:rowOff>
    </xdr:from>
    <xdr:to>
      <xdr:col>14</xdr:col>
      <xdr:colOff>92075</xdr:colOff>
      <xdr:row>30</xdr:row>
      <xdr:rowOff>155575</xdr:rowOff>
    </xdr:to>
    <xdr:graphicFrame>
      <xdr:nvGraphicFramePr>
        <xdr:cNvPr id="3" name="图表 2"/>
        <xdr:cNvGraphicFramePr/>
      </xdr:nvGraphicFramePr>
      <xdr:xfrm>
        <a:off x="5121275" y="2555875"/>
        <a:ext cx="4572000" cy="27432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228600</xdr:colOff>
      <xdr:row>5</xdr:row>
      <xdr:rowOff>105410</xdr:rowOff>
    </xdr:from>
    <xdr:to>
      <xdr:col>17</xdr:col>
      <xdr:colOff>243840</xdr:colOff>
      <xdr:row>26</xdr:row>
      <xdr:rowOff>34925</xdr:rowOff>
    </xdr:to>
    <xdr:graphicFrame>
      <xdr:nvGraphicFramePr>
        <xdr:cNvPr id="4" name="图表 3"/>
        <xdr:cNvGraphicFramePr/>
      </xdr:nvGraphicFramePr>
      <xdr:xfrm>
        <a:off x="7086600" y="962660"/>
        <a:ext cx="4815840" cy="352996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10</xdr:col>
      <xdr:colOff>257175</xdr:colOff>
      <xdr:row>27</xdr:row>
      <xdr:rowOff>104775</xdr:rowOff>
    </xdr:from>
    <xdr:to>
      <xdr:col>16</xdr:col>
      <xdr:colOff>599440</xdr:colOff>
      <xdr:row>42</xdr:row>
      <xdr:rowOff>85090</xdr:rowOff>
    </xdr:to>
    <xdr:pic>
      <xdr:nvPicPr>
        <xdr:cNvPr id="5" name="图片 4"/>
        <xdr:cNvPicPr>
          <a:picLocks noChangeAspect="1"/>
        </xdr:cNvPicPr>
      </xdr:nvPicPr>
      <xdr:blipFill>
        <a:blip r:embed="rId5"/>
        <a:stretch>
          <a:fillRect/>
        </a:stretch>
      </xdr:blipFill>
      <xdr:spPr>
        <a:xfrm>
          <a:off x="7115175" y="4733925"/>
          <a:ext cx="4457065" cy="2552065"/>
        </a:xfrm>
        <a:prstGeom prst="rect">
          <a:avLst/>
        </a:prstGeom>
        <a:noFill/>
        <a:ln w="9525">
          <a:noFill/>
        </a:ln>
      </xdr:spPr>
    </xdr:pic>
    <xdr:clientData/>
  </xdr:twoCellAnchor>
</xdr:wsDr>
</file>

<file path=xl/drawings/drawing10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2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3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4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12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7</xdr:row>
          <xdr:rowOff>161925</xdr:rowOff>
        </xdr:from>
        <xdr:to>
          <xdr:col>10</xdr:col>
          <xdr:colOff>95250</xdr:colOff>
          <xdr:row>9</xdr:row>
          <xdr:rowOff>133350</xdr:rowOff>
        </xdr:to>
        <xdr:sp macro="[0]!AutoStrain_Click">
          <xdr:nvSpPr>
            <xdr:cNvPr id="6151" name="Button 7" hidden="1">
              <a:extLst>
                <a:ext uri="{63B3BB69-23CF-44E3-9099-C40C66FF867C}">
                  <a14:compatExt spid="_x0000_s6151"/>
                </a:ext>
              </a:extLst>
            </xdr:cNvPr>
            <xdr:cNvSpPr/>
          </xdr:nvSpPr>
          <xdr:spPr>
            <a:xfrm>
              <a:off x="5905500" y="1362075"/>
              <a:ext cx="1047750" cy="3143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自动计算应变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5</xdr:row>
          <xdr:rowOff>133350</xdr:rowOff>
        </xdr:from>
        <xdr:to>
          <xdr:col>10</xdr:col>
          <xdr:colOff>9525</xdr:colOff>
          <xdr:row>7</xdr:row>
          <xdr:rowOff>66675</xdr:rowOff>
        </xdr:to>
        <xdr:sp macro="[0]!GenerateStrainRows_Click">
          <xdr:nvSpPr>
            <xdr:cNvPr id="6152" name="Button 8" hidden="1">
              <a:extLst>
                <a:ext uri="{63B3BB69-23CF-44E3-9099-C40C66FF867C}">
                  <a14:compatExt spid="_x0000_s6152"/>
                </a:ext>
              </a:extLst>
            </xdr:cNvPr>
            <xdr:cNvSpPr/>
          </xdr:nvSpPr>
          <xdr:spPr>
            <a:xfrm>
              <a:off x="5905500" y="990600"/>
              <a:ext cx="962025" cy="2762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生成输入行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7.xml"/><Relationship Id="rId8" Type="http://schemas.openxmlformats.org/officeDocument/2006/relationships/ctrlProp" Target="../ctrlProps/ctrlProp6.xml"/><Relationship Id="rId7" Type="http://schemas.openxmlformats.org/officeDocument/2006/relationships/ctrlProp" Target="../ctrlProps/ctrlProp5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0" Type="http://schemas.openxmlformats.org/officeDocument/2006/relationships/ctrlProp" Target="../ctrlProps/ctrlProp8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15.xml"/><Relationship Id="rId8" Type="http://schemas.openxmlformats.org/officeDocument/2006/relationships/ctrlProp" Target="../ctrlProps/ctrlProp14.xml"/><Relationship Id="rId7" Type="http://schemas.openxmlformats.org/officeDocument/2006/relationships/ctrlProp" Target="../ctrlProps/ctrlProp13.xml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3" Type="http://schemas.openxmlformats.org/officeDocument/2006/relationships/ctrlProp" Target="../ctrlProps/ctrlProp9.xml"/><Relationship Id="rId26" Type="http://schemas.openxmlformats.org/officeDocument/2006/relationships/ctrlProp" Target="../ctrlProps/ctrlProp32.xml"/><Relationship Id="rId25" Type="http://schemas.openxmlformats.org/officeDocument/2006/relationships/ctrlProp" Target="../ctrlProps/ctrlProp31.xml"/><Relationship Id="rId24" Type="http://schemas.openxmlformats.org/officeDocument/2006/relationships/ctrlProp" Target="../ctrlProps/ctrlProp30.xml"/><Relationship Id="rId23" Type="http://schemas.openxmlformats.org/officeDocument/2006/relationships/ctrlProp" Target="../ctrlProps/ctrlProp29.xml"/><Relationship Id="rId22" Type="http://schemas.openxmlformats.org/officeDocument/2006/relationships/ctrlProp" Target="../ctrlProps/ctrlProp28.xml"/><Relationship Id="rId21" Type="http://schemas.openxmlformats.org/officeDocument/2006/relationships/ctrlProp" Target="../ctrlProps/ctrlProp27.xml"/><Relationship Id="rId20" Type="http://schemas.openxmlformats.org/officeDocument/2006/relationships/ctrlProp" Target="../ctrlProps/ctrlProp26.xml"/><Relationship Id="rId2" Type="http://schemas.openxmlformats.org/officeDocument/2006/relationships/vmlDrawing" Target="../drawings/vmlDrawing2.vml"/><Relationship Id="rId19" Type="http://schemas.openxmlformats.org/officeDocument/2006/relationships/ctrlProp" Target="../ctrlProps/ctrlProp25.xml"/><Relationship Id="rId18" Type="http://schemas.openxmlformats.org/officeDocument/2006/relationships/ctrlProp" Target="../ctrlProps/ctrlProp24.xml"/><Relationship Id="rId17" Type="http://schemas.openxmlformats.org/officeDocument/2006/relationships/ctrlProp" Target="../ctrlProps/ctrlProp23.xml"/><Relationship Id="rId16" Type="http://schemas.openxmlformats.org/officeDocument/2006/relationships/ctrlProp" Target="../ctrlProps/ctrlProp22.xml"/><Relationship Id="rId15" Type="http://schemas.openxmlformats.org/officeDocument/2006/relationships/ctrlProp" Target="../ctrlProps/ctrlProp21.xml"/><Relationship Id="rId14" Type="http://schemas.openxmlformats.org/officeDocument/2006/relationships/ctrlProp" Target="../ctrlProps/ctrlProp20.xml"/><Relationship Id="rId13" Type="http://schemas.openxmlformats.org/officeDocument/2006/relationships/ctrlProp" Target="../ctrlProps/ctrlProp19.xml"/><Relationship Id="rId12" Type="http://schemas.openxmlformats.org/officeDocument/2006/relationships/ctrlProp" Target="../ctrlProps/ctrlProp18.xml"/><Relationship Id="rId11" Type="http://schemas.openxmlformats.org/officeDocument/2006/relationships/ctrlProp" Target="../ctrlProps/ctrlProp17.xml"/><Relationship Id="rId10" Type="http://schemas.openxmlformats.org/officeDocument/2006/relationships/ctrlProp" Target="../ctrlProps/ctrlProp16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8.xml"/><Relationship Id="rId7" Type="http://schemas.openxmlformats.org/officeDocument/2006/relationships/ctrlProp" Target="../ctrlProps/ctrlProp37.xml"/><Relationship Id="rId6" Type="http://schemas.openxmlformats.org/officeDocument/2006/relationships/ctrlProp" Target="../ctrlProps/ctrlProp36.xml"/><Relationship Id="rId5" Type="http://schemas.openxmlformats.org/officeDocument/2006/relationships/ctrlProp" Target="../ctrlProps/ctrlProp35.xml"/><Relationship Id="rId4" Type="http://schemas.openxmlformats.org/officeDocument/2006/relationships/ctrlProp" Target="../ctrlProps/ctrlProp34.xml"/><Relationship Id="rId3" Type="http://schemas.openxmlformats.org/officeDocument/2006/relationships/ctrlProp" Target="../ctrlProps/ctrlProp3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44.xml"/><Relationship Id="rId8" Type="http://schemas.openxmlformats.org/officeDocument/2006/relationships/ctrlProp" Target="../ctrlProps/ctrlProp43.xml"/><Relationship Id="rId7" Type="http://schemas.openxmlformats.org/officeDocument/2006/relationships/ctrlProp" Target="../ctrlProps/ctrlProp42.xml"/><Relationship Id="rId6" Type="http://schemas.openxmlformats.org/officeDocument/2006/relationships/ctrlProp" Target="../ctrlProps/ctrlProp41.xml"/><Relationship Id="rId5" Type="http://schemas.openxmlformats.org/officeDocument/2006/relationships/ctrlProp" Target="../ctrlProps/ctrlProp40.xml"/><Relationship Id="rId4" Type="http://schemas.openxmlformats.org/officeDocument/2006/relationships/ctrlProp" Target="../ctrlProps/ctrlProp39.xml"/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5" Type="http://schemas.openxmlformats.org/officeDocument/2006/relationships/ctrlProp" Target="../ctrlProps/ctrlProp47.xml"/><Relationship Id="rId4" Type="http://schemas.openxmlformats.org/officeDocument/2006/relationships/ctrlProp" Target="../ctrlProps/ctrlProp46.xml"/><Relationship Id="rId3" Type="http://schemas.openxmlformats.org/officeDocument/2006/relationships/ctrlProp" Target="../ctrlProps/ctrlProp4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54.xml"/><Relationship Id="rId8" Type="http://schemas.openxmlformats.org/officeDocument/2006/relationships/ctrlProp" Target="../ctrlProps/ctrlProp53.xml"/><Relationship Id="rId7" Type="http://schemas.openxmlformats.org/officeDocument/2006/relationships/ctrlProp" Target="../ctrlProps/ctrlProp52.xml"/><Relationship Id="rId6" Type="http://schemas.openxmlformats.org/officeDocument/2006/relationships/ctrlProp" Target="../ctrlProps/ctrlProp51.xml"/><Relationship Id="rId5" Type="http://schemas.openxmlformats.org/officeDocument/2006/relationships/ctrlProp" Target="../ctrlProps/ctrlProp50.xml"/><Relationship Id="rId4" Type="http://schemas.openxmlformats.org/officeDocument/2006/relationships/ctrlProp" Target="../ctrlProps/ctrlProp49.xml"/><Relationship Id="rId3" Type="http://schemas.openxmlformats.org/officeDocument/2006/relationships/ctrlProp" Target="../ctrlProps/ctrlProp48.xml"/><Relationship Id="rId2" Type="http://schemas.openxmlformats.org/officeDocument/2006/relationships/vmlDrawing" Target="../drawings/vmlDrawing6.vml"/><Relationship Id="rId11" Type="http://schemas.openxmlformats.org/officeDocument/2006/relationships/ctrlProp" Target="../ctrlProps/ctrlProp56.xml"/><Relationship Id="rId10" Type="http://schemas.openxmlformats.org/officeDocument/2006/relationships/ctrlProp" Target="../ctrlProps/ctrlProp55.x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63.xml"/><Relationship Id="rId8" Type="http://schemas.openxmlformats.org/officeDocument/2006/relationships/ctrlProp" Target="../ctrlProps/ctrlProp62.xml"/><Relationship Id="rId7" Type="http://schemas.openxmlformats.org/officeDocument/2006/relationships/ctrlProp" Target="../ctrlProps/ctrlProp61.xml"/><Relationship Id="rId6" Type="http://schemas.openxmlformats.org/officeDocument/2006/relationships/ctrlProp" Target="../ctrlProps/ctrlProp60.xml"/><Relationship Id="rId5" Type="http://schemas.openxmlformats.org/officeDocument/2006/relationships/ctrlProp" Target="../ctrlProps/ctrlProp59.xml"/><Relationship Id="rId4" Type="http://schemas.openxmlformats.org/officeDocument/2006/relationships/ctrlProp" Target="../ctrlProps/ctrlProp58.xml"/><Relationship Id="rId3" Type="http://schemas.openxmlformats.org/officeDocument/2006/relationships/ctrlProp" Target="../ctrlProps/ctrlProp5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65.xml"/><Relationship Id="rId3" Type="http://schemas.openxmlformats.org/officeDocument/2006/relationships/ctrlProp" Target="../ctrlProps/ctrlProp64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67.xml"/><Relationship Id="rId3" Type="http://schemas.openxmlformats.org/officeDocument/2006/relationships/ctrlProp" Target="../ctrlProps/ctrlProp66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8"/>
  <dimension ref="D14"/>
  <sheetViews>
    <sheetView tabSelected="1" topLeftCell="B1" workbookViewId="0">
      <selection activeCell="A27" sqref="A27"/>
    </sheetView>
  </sheetViews>
  <sheetFormatPr defaultColWidth="9" defaultRowHeight="13.5" outlineLevelCol="3"/>
  <sheetData>
    <row r="14" spans="4:4">
      <c r="D14" s="1"/>
    </row>
  </sheetData>
  <pageMargins left="0.699305555555556" right="0.699305555555556" top="0.75" bottom="0.75" header="0.3" footer="0.3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5" name="Button 7" r:id="rId3">
              <controlPr print="0" defaultSize="0">
                <anchor moveWithCells="1" sizeWithCells="1">
                  <from>
                    <xdr:col>7</xdr:col>
                    <xdr:colOff>28575</xdr:colOff>
                    <xdr:row>10</xdr:row>
                    <xdr:rowOff>123825</xdr:rowOff>
                  </from>
                  <to>
                    <xdr:col>8</xdr:col>
                    <xdr:colOff>276225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7" name="Button 9" r:id="rId4">
              <controlPr defaultSize="0">
                <anchor moveWithCells="1" sizeWithCells="1">
                  <from>
                    <xdr:col>3</xdr:col>
                    <xdr:colOff>238125</xdr:colOff>
                    <xdr:row>10</xdr:row>
                    <xdr:rowOff>41910</xdr:rowOff>
                  </from>
                  <to>
                    <xdr:col>4</xdr:col>
                    <xdr:colOff>447675</xdr:colOff>
                    <xdr:row>11</xdr:row>
                    <xdr:rowOff>69215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8" name="op1" r:id="rId5">
              <controlPr defaultSize="0">
                <anchor moveWithCells="1">
                  <from>
                    <xdr:col>3</xdr:col>
                    <xdr:colOff>200025</xdr:colOff>
                    <xdr:row>8</xdr:row>
                    <xdr:rowOff>86360</xdr:rowOff>
                  </from>
                  <to>
                    <xdr:col>4</xdr:col>
                    <xdr:colOff>209550</xdr:colOff>
                    <xdr:row>10</xdr:row>
                    <xdr:rowOff>5715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" name="Group Box 12" r:id="rId6">
              <controlPr defaultSize="0">
                <anchor moveWithCells="1">
                  <from>
                    <xdr:col>3</xdr:col>
                    <xdr:colOff>38100</xdr:colOff>
                    <xdr:row>7</xdr:row>
                    <xdr:rowOff>104775</xdr:rowOff>
                  </from>
                  <to>
                    <xdr:col>6</xdr:col>
                    <xdr:colOff>76200</xdr:colOff>
                    <xdr:row>11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" name="op2" r:id="rId7">
              <controlPr defaultSize="0">
                <anchor moveWithCells="1">
                  <from>
                    <xdr:col>4</xdr:col>
                    <xdr:colOff>381000</xdr:colOff>
                    <xdr:row>8</xdr:row>
                    <xdr:rowOff>77470</xdr:rowOff>
                  </from>
                  <to>
                    <xdr:col>5</xdr:col>
                    <xdr:colOff>619125</xdr:colOff>
                    <xdr:row>9</xdr:row>
                    <xdr:rowOff>168275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" name="label1" r:id="rId8">
              <controlPr defaultSize="0">
                <anchor moveWithCells="1" sizeWithCells="1">
                  <from>
                    <xdr:col>3</xdr:col>
                    <xdr:colOff>9525</xdr:colOff>
                    <xdr:row>13</xdr:row>
                    <xdr:rowOff>9525</xdr:rowOff>
                  </from>
                  <to>
                    <xdr:col>9</xdr:col>
                    <xdr:colOff>466725</xdr:colOff>
                    <xdr:row>14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" name="VersionPrompt" r:id="rId9">
              <controlPr defaultSize="0">
                <anchor moveWithCells="1" sizeWithCells="1">
                  <from>
                    <xdr:col>3</xdr:col>
                    <xdr:colOff>38100</xdr:colOff>
                    <xdr:row>14</xdr:row>
                    <xdr:rowOff>114300</xdr:rowOff>
                  </from>
                  <to>
                    <xdr:col>4</xdr:col>
                    <xdr:colOff>228600</xdr:colOff>
                    <xdr:row>16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" name="Version" r:id="rId10">
              <controlPr defaultSize="0">
                <anchor moveWithCells="1" sizeWithCells="1">
                  <from>
                    <xdr:col>4</xdr:col>
                    <xdr:colOff>9525</xdr:colOff>
                    <xdr:row>14</xdr:row>
                    <xdr:rowOff>114300</xdr:rowOff>
                  </from>
                  <to>
                    <xdr:col>5</xdr:col>
                    <xdr:colOff>276225</xdr:colOff>
                    <xdr:row>16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1"/>
  <dimension ref="A1:AA175"/>
  <sheetViews>
    <sheetView workbookViewId="0">
      <selection activeCell="G44" sqref="G44"/>
    </sheetView>
  </sheetViews>
  <sheetFormatPr defaultColWidth="9" defaultRowHeight="13.5"/>
  <cols>
    <col min="1" max="1" width="12.875" customWidth="1"/>
    <col min="2" max="2" width="10.375" customWidth="1"/>
    <col min="8" max="8" width="15" customWidth="1"/>
    <col min="9" max="9" width="9.375" customWidth="1"/>
    <col min="12" max="12" width="16.375" customWidth="1"/>
    <col min="13" max="13" width="14.875" customWidth="1"/>
    <col min="14" max="14" width="22.125" customWidth="1"/>
    <col min="15" max="15" width="17.875" customWidth="1"/>
    <col min="16" max="16" width="10.375"/>
    <col min="17" max="17" width="17.875" customWidth="1"/>
    <col min="18" max="18" width="12.125" customWidth="1"/>
    <col min="23" max="24" width="15" customWidth="1"/>
    <col min="25" max="26" width="14.875" customWidth="1"/>
    <col min="27" max="27" width="12.125" customWidth="1"/>
  </cols>
  <sheetData>
    <row r="1" spans="1:27">
      <c r="A1" t="s">
        <v>0</v>
      </c>
      <c r="B1" s="140">
        <v>43470</v>
      </c>
      <c r="G1" s="141" t="s">
        <v>1</v>
      </c>
      <c r="H1" s="142" t="s">
        <v>2</v>
      </c>
      <c r="I1" s="142" t="s">
        <v>3</v>
      </c>
      <c r="J1" s="142" t="s">
        <v>4</v>
      </c>
      <c r="L1" s="144" t="s">
        <v>5</v>
      </c>
      <c r="M1" s="144" t="s">
        <v>6</v>
      </c>
      <c r="N1" s="145" t="s">
        <v>7</v>
      </c>
      <c r="O1" s="145" t="s">
        <v>8</v>
      </c>
      <c r="P1" s="145" t="s">
        <v>9</v>
      </c>
      <c r="Q1" s="145" t="s">
        <v>10</v>
      </c>
      <c r="R1" s="145" t="s">
        <v>11</v>
      </c>
      <c r="S1" s="144" t="s">
        <v>12</v>
      </c>
      <c r="T1" s="144" t="s">
        <v>13</v>
      </c>
      <c r="W1" s="144" t="s">
        <v>5</v>
      </c>
      <c r="X1" s="145" t="s">
        <v>14</v>
      </c>
      <c r="Y1" s="144" t="s">
        <v>15</v>
      </c>
      <c r="Z1" s="144" t="s">
        <v>16</v>
      </c>
      <c r="AA1" s="145" t="s">
        <v>11</v>
      </c>
    </row>
    <row r="2" spans="1:27">
      <c r="A2" t="s">
        <v>17</v>
      </c>
      <c r="B2" t="s">
        <v>18</v>
      </c>
      <c r="G2">
        <v>1</v>
      </c>
      <c r="H2" t="s">
        <v>19</v>
      </c>
      <c r="J2" t="s">
        <v>19</v>
      </c>
      <c r="N2" s="140"/>
      <c r="O2" s="140"/>
      <c r="P2" s="140"/>
      <c r="R2" s="140"/>
      <c r="AA2" s="140"/>
    </row>
    <row r="3" spans="14:27">
      <c r="N3" s="140"/>
      <c r="O3" s="140"/>
      <c r="P3" s="140"/>
      <c r="R3" s="140"/>
      <c r="AA3" s="140"/>
    </row>
    <row r="4" spans="7:27">
      <c r="G4">
        <v>2</v>
      </c>
      <c r="H4" t="s">
        <v>20</v>
      </c>
      <c r="I4" t="s">
        <v>21</v>
      </c>
      <c r="J4" t="s">
        <v>20</v>
      </c>
      <c r="N4" s="140"/>
      <c r="O4" s="140"/>
      <c r="P4" s="140"/>
      <c r="R4" s="140"/>
      <c r="AA4" s="140"/>
    </row>
    <row r="5" spans="14:27">
      <c r="N5" s="140"/>
      <c r="O5" s="140"/>
      <c r="P5" s="140"/>
      <c r="R5" s="140"/>
      <c r="AA5" s="140"/>
    </row>
    <row r="6" spans="7:27">
      <c r="G6">
        <v>3</v>
      </c>
      <c r="H6" t="s">
        <v>20</v>
      </c>
      <c r="I6" t="s">
        <v>22</v>
      </c>
      <c r="J6" t="s">
        <v>20</v>
      </c>
      <c r="N6" s="140"/>
      <c r="O6" s="140"/>
      <c r="P6" s="140"/>
      <c r="R6" s="140"/>
      <c r="AA6" s="140"/>
    </row>
    <row r="7" spans="14:27">
      <c r="N7" s="140"/>
      <c r="O7" s="140"/>
      <c r="P7" s="140"/>
      <c r="Q7"/>
      <c r="R7" s="140"/>
      <c r="AA7" s="140"/>
    </row>
    <row r="8" spans="7:18">
      <c r="G8">
        <v>4</v>
      </c>
      <c r="H8" t="s">
        <v>23</v>
      </c>
      <c r="J8" t="s">
        <v>23</v>
      </c>
      <c r="N8" s="140"/>
      <c r="O8" s="140"/>
      <c r="P8" s="140"/>
      <c r="Q8"/>
      <c r="R8" s="140"/>
    </row>
    <row r="9" spans="14:18">
      <c r="N9" s="140"/>
      <c r="O9" s="140"/>
      <c r="P9" s="140"/>
      <c r="Q9"/>
      <c r="R9" s="140"/>
    </row>
    <row r="10" spans="7:18">
      <c r="G10">
        <v>5</v>
      </c>
      <c r="H10" t="s">
        <v>24</v>
      </c>
      <c r="I10" t="s">
        <v>25</v>
      </c>
      <c r="J10" t="s">
        <v>24</v>
      </c>
      <c r="N10" s="140"/>
      <c r="O10" s="140"/>
      <c r="P10" s="140"/>
      <c r="R10" s="140"/>
    </row>
    <row r="11" spans="14:18">
      <c r="N11" s="140"/>
      <c r="O11" s="140"/>
      <c r="P11" s="140"/>
      <c r="R11" s="140"/>
    </row>
    <row r="12" spans="7:18">
      <c r="G12">
        <v>6</v>
      </c>
      <c r="H12" t="s">
        <v>24</v>
      </c>
      <c r="I12" t="s">
        <v>26</v>
      </c>
      <c r="J12" t="s">
        <v>24</v>
      </c>
      <c r="N12" s="140"/>
      <c r="R12" s="140"/>
    </row>
    <row r="13" spans="14:18">
      <c r="N13" s="140"/>
      <c r="O13" s="140"/>
      <c r="P13" s="140"/>
      <c r="R13" s="140"/>
    </row>
    <row r="14" spans="7:18">
      <c r="G14">
        <v>7</v>
      </c>
      <c r="H14" t="s">
        <v>27</v>
      </c>
      <c r="J14" t="s">
        <v>27</v>
      </c>
      <c r="N14" s="140"/>
      <c r="O14" s="140"/>
      <c r="P14" s="140"/>
      <c r="R14" s="140"/>
    </row>
    <row r="15" spans="14:18">
      <c r="N15" s="140"/>
      <c r="O15" s="140"/>
      <c r="P15" s="140"/>
      <c r="R15" s="140"/>
    </row>
    <row r="16" spans="7:18">
      <c r="G16">
        <v>8</v>
      </c>
      <c r="H16" t="s">
        <v>28</v>
      </c>
      <c r="I16" s="146" t="s">
        <v>29</v>
      </c>
      <c r="J16" t="s">
        <v>28</v>
      </c>
      <c r="N16" s="140"/>
      <c r="O16" s="140"/>
      <c r="P16" s="140"/>
      <c r="R16" s="140"/>
    </row>
    <row r="17" spans="14:18">
      <c r="N17" s="140"/>
      <c r="O17" s="140"/>
      <c r="P17" s="140"/>
      <c r="R17" s="140"/>
    </row>
    <row r="18" spans="7:18">
      <c r="G18">
        <v>9</v>
      </c>
      <c r="H18" t="s">
        <v>30</v>
      </c>
      <c r="I18" s="146" t="s">
        <v>31</v>
      </c>
      <c r="J18" t="s">
        <v>30</v>
      </c>
      <c r="N18" s="140"/>
      <c r="O18" s="140"/>
      <c r="P18" s="140"/>
      <c r="R18" s="140"/>
    </row>
    <row r="19" spans="14:18">
      <c r="N19" s="140"/>
      <c r="O19" s="140"/>
      <c r="P19" s="140"/>
      <c r="R19" s="140"/>
    </row>
    <row r="20" spans="7:18">
      <c r="G20">
        <v>10</v>
      </c>
      <c r="H20" t="s">
        <v>32</v>
      </c>
      <c r="I20" s="146" t="s">
        <v>33</v>
      </c>
      <c r="J20" t="s">
        <v>32</v>
      </c>
      <c r="N20" s="140"/>
      <c r="O20" s="140"/>
      <c r="P20" s="140"/>
      <c r="R20" s="140"/>
    </row>
    <row r="21" spans="14:18">
      <c r="N21" s="140"/>
      <c r="O21" s="140"/>
      <c r="P21" s="140"/>
      <c r="R21" s="140"/>
    </row>
    <row r="22" spans="7:18">
      <c r="G22">
        <v>11</v>
      </c>
      <c r="H22" t="s">
        <v>34</v>
      </c>
      <c r="I22" s="146" t="s">
        <v>35</v>
      </c>
      <c r="J22" t="s">
        <v>34</v>
      </c>
      <c r="N22" s="140"/>
      <c r="O22" s="140"/>
      <c r="P22" s="140"/>
      <c r="R22" s="140"/>
    </row>
    <row r="23" spans="14:18">
      <c r="N23" s="140"/>
      <c r="O23" s="140"/>
      <c r="P23" s="140"/>
      <c r="R23" s="140"/>
    </row>
    <row r="24" spans="7:18">
      <c r="G24">
        <v>12</v>
      </c>
      <c r="H24" t="s">
        <v>36</v>
      </c>
      <c r="J24" t="s">
        <v>37</v>
      </c>
      <c r="N24" s="140"/>
      <c r="O24" s="140"/>
      <c r="P24" s="140"/>
      <c r="R24" s="140"/>
    </row>
    <row r="25" spans="14:18">
      <c r="N25" s="140"/>
      <c r="O25" s="140"/>
      <c r="P25" s="140"/>
      <c r="R25" s="140"/>
    </row>
    <row r="26" spans="7:18">
      <c r="G26">
        <v>13</v>
      </c>
      <c r="H26" t="s">
        <v>38</v>
      </c>
      <c r="I26" t="s">
        <v>39</v>
      </c>
      <c r="J26" t="s">
        <v>38</v>
      </c>
      <c r="N26" s="140"/>
      <c r="O26" s="140"/>
      <c r="P26" s="140"/>
      <c r="R26" s="140"/>
    </row>
    <row r="27" spans="14:18">
      <c r="N27" s="140"/>
      <c r="O27" s="140"/>
      <c r="P27" s="140"/>
      <c r="R27" s="140"/>
    </row>
    <row r="28" spans="7:18">
      <c r="G28">
        <v>14</v>
      </c>
      <c r="H28" t="s">
        <v>40</v>
      </c>
      <c r="J28" t="s">
        <v>40</v>
      </c>
      <c r="N28" s="140"/>
      <c r="O28" s="140"/>
      <c r="P28" s="140"/>
      <c r="R28" s="140"/>
    </row>
    <row r="29" spans="14:18">
      <c r="N29" s="140"/>
      <c r="O29" s="140"/>
      <c r="P29" s="140"/>
      <c r="R29" s="140"/>
    </row>
    <row r="30" spans="7:18">
      <c r="G30">
        <v>15</v>
      </c>
      <c r="H30" t="s">
        <v>41</v>
      </c>
      <c r="I30" s="147"/>
      <c r="J30" t="s">
        <v>42</v>
      </c>
      <c r="N30" s="140"/>
      <c r="O30" s="140"/>
      <c r="P30" s="140"/>
      <c r="R30" s="140"/>
    </row>
    <row r="31" spans="14:18">
      <c r="N31" s="140"/>
      <c r="O31" s="140"/>
      <c r="P31" s="140"/>
      <c r="R31" s="140"/>
    </row>
    <row r="32" spans="7:18">
      <c r="G32">
        <v>16</v>
      </c>
      <c r="H32" t="s">
        <v>43</v>
      </c>
      <c r="J32" t="s">
        <v>44</v>
      </c>
      <c r="N32" s="140"/>
      <c r="O32" s="140"/>
      <c r="P32" s="140"/>
      <c r="R32" s="140"/>
    </row>
    <row r="33" spans="14:18">
      <c r="N33" s="140"/>
      <c r="O33" s="140"/>
      <c r="P33" s="140"/>
      <c r="R33" s="140"/>
    </row>
    <row r="34" spans="7:18">
      <c r="G34">
        <v>17</v>
      </c>
      <c r="H34" t="s">
        <v>45</v>
      </c>
      <c r="J34" t="s">
        <v>45</v>
      </c>
      <c r="N34" s="140"/>
      <c r="O34" s="140"/>
      <c r="P34" s="140"/>
      <c r="R34" s="140"/>
    </row>
    <row r="35" spans="14:18">
      <c r="N35" s="140"/>
      <c r="O35" s="140"/>
      <c r="P35" s="140"/>
      <c r="R35" s="140"/>
    </row>
    <row r="36" spans="7:18">
      <c r="G36">
        <v>18</v>
      </c>
      <c r="H36" t="s">
        <v>46</v>
      </c>
      <c r="J36" t="s">
        <v>47</v>
      </c>
      <c r="N36" s="140"/>
      <c r="R36" s="140"/>
    </row>
    <row r="37" spans="14:18">
      <c r="N37" s="140"/>
      <c r="O37" s="140"/>
      <c r="P37" s="140"/>
      <c r="R37" s="140"/>
    </row>
    <row r="38" spans="7:18">
      <c r="G38">
        <v>19</v>
      </c>
      <c r="H38" s="143" t="s">
        <v>48</v>
      </c>
      <c r="J38" t="s">
        <v>48</v>
      </c>
      <c r="N38" s="140"/>
      <c r="R38" s="140"/>
    </row>
    <row r="39" spans="14:18">
      <c r="N39" s="140"/>
      <c r="O39" s="140"/>
      <c r="P39" s="140"/>
      <c r="R39" s="140"/>
    </row>
    <row r="40" spans="7:18">
      <c r="G40">
        <v>20</v>
      </c>
      <c r="H40" t="s">
        <v>49</v>
      </c>
      <c r="J40" t="s">
        <v>49</v>
      </c>
      <c r="N40" s="140"/>
      <c r="O40" s="140"/>
      <c r="P40" s="140"/>
      <c r="R40" s="140"/>
    </row>
    <row r="41" spans="14:18">
      <c r="N41" s="140"/>
      <c r="O41" s="140"/>
      <c r="P41" s="140"/>
      <c r="R41" s="140"/>
    </row>
    <row r="42" spans="14:18">
      <c r="N42" s="140"/>
      <c r="O42" s="140"/>
      <c r="P42" s="140"/>
      <c r="R42" s="140"/>
    </row>
    <row r="43" spans="14:18">
      <c r="N43" s="140"/>
      <c r="R43" s="140"/>
    </row>
    <row r="44" spans="14:18">
      <c r="N44" s="140"/>
      <c r="O44" s="140"/>
      <c r="P44" s="140"/>
      <c r="R44" s="140"/>
    </row>
    <row r="45" spans="14:18">
      <c r="N45" s="140"/>
      <c r="O45" s="140"/>
      <c r="P45" s="140"/>
      <c r="R45" s="140"/>
    </row>
    <row r="46" spans="14:18">
      <c r="N46" s="140"/>
      <c r="O46" s="140"/>
      <c r="P46" s="140"/>
      <c r="R46" s="140"/>
    </row>
    <row r="47" spans="14:18">
      <c r="N47" s="140"/>
      <c r="O47" s="140"/>
      <c r="P47" s="140"/>
      <c r="R47" s="140"/>
    </row>
    <row r="48" spans="14:18">
      <c r="N48" s="140"/>
      <c r="O48" s="140"/>
      <c r="P48" s="140"/>
      <c r="R48" s="140"/>
    </row>
    <row r="49" spans="14:18">
      <c r="N49" s="140"/>
      <c r="R49" s="140"/>
    </row>
    <row r="50" spans="14:18">
      <c r="N50" s="140"/>
      <c r="O50" s="140"/>
      <c r="P50" s="140"/>
      <c r="R50" s="140"/>
    </row>
    <row r="51" spans="14:18">
      <c r="N51" s="140"/>
      <c r="O51" s="140"/>
      <c r="P51" s="140"/>
      <c r="R51" s="140"/>
    </row>
    <row r="52" spans="14:18">
      <c r="N52" s="140"/>
      <c r="O52" s="140"/>
      <c r="P52" s="140"/>
      <c r="R52" s="140"/>
    </row>
    <row r="53" spans="14:18">
      <c r="N53" s="140"/>
      <c r="O53" s="140"/>
      <c r="P53" s="140"/>
      <c r="R53" s="140"/>
    </row>
    <row r="54" spans="14:18">
      <c r="N54" s="140"/>
      <c r="R54" s="140"/>
    </row>
    <row r="55" spans="14:18">
      <c r="N55" s="140"/>
      <c r="O55" s="140"/>
      <c r="P55" s="140"/>
      <c r="R55" s="140"/>
    </row>
    <row r="56" spans="14:18">
      <c r="N56" s="140"/>
      <c r="R56" s="140"/>
    </row>
    <row r="57" spans="14:18">
      <c r="N57" s="140"/>
      <c r="R57" s="140"/>
    </row>
    <row r="58" spans="14:18">
      <c r="N58" s="140"/>
      <c r="R58" s="140"/>
    </row>
    <row r="59" spans="14:18">
      <c r="N59" s="140"/>
      <c r="R59" s="140"/>
    </row>
    <row r="60" spans="14:18">
      <c r="N60" s="140"/>
      <c r="R60" s="140"/>
    </row>
    <row r="61" spans="14:18">
      <c r="N61" s="140"/>
      <c r="R61" s="140"/>
    </row>
    <row r="62" spans="14:18">
      <c r="N62" s="140"/>
      <c r="R62" s="140"/>
    </row>
    <row r="63" spans="14:18">
      <c r="N63" s="140"/>
      <c r="R63" s="140"/>
    </row>
    <row r="64" spans="14:18">
      <c r="N64" s="140"/>
      <c r="R64" s="140"/>
    </row>
    <row r="65" spans="14:18">
      <c r="N65" s="140"/>
      <c r="R65" s="140"/>
    </row>
    <row r="66" spans="14:18">
      <c r="N66" s="140"/>
      <c r="R66" s="140"/>
    </row>
    <row r="67" spans="14:18">
      <c r="N67" s="140"/>
      <c r="R67" s="140"/>
    </row>
    <row r="68" spans="18:18">
      <c r="R68" s="140"/>
    </row>
    <row r="69" spans="18:18">
      <c r="R69" s="140"/>
    </row>
    <row r="70" spans="18:18">
      <c r="R70" s="140"/>
    </row>
    <row r="71" spans="18:18">
      <c r="R71" s="140"/>
    </row>
    <row r="72" spans="18:18">
      <c r="R72" s="140"/>
    </row>
    <row r="73" spans="18:18">
      <c r="R73" s="140"/>
    </row>
    <row r="74" spans="18:18">
      <c r="R74" s="140"/>
    </row>
    <row r="75" spans="18:18">
      <c r="R75" s="140"/>
    </row>
    <row r="76" spans="18:18">
      <c r="R76" s="140"/>
    </row>
    <row r="77" spans="18:18">
      <c r="R77" s="140"/>
    </row>
    <row r="78" spans="18:18">
      <c r="R78" s="140"/>
    </row>
    <row r="79" spans="18:18">
      <c r="R79" s="140"/>
    </row>
    <row r="80" spans="18:18">
      <c r="R80" s="140"/>
    </row>
    <row r="81" spans="18:18">
      <c r="R81" s="140"/>
    </row>
    <row r="82" spans="18:18">
      <c r="R82" s="140"/>
    </row>
    <row r="83" spans="18:18">
      <c r="R83" s="140"/>
    </row>
    <row r="84" spans="18:18">
      <c r="R84" s="140"/>
    </row>
    <row r="85" spans="18:18">
      <c r="R85" s="140"/>
    </row>
    <row r="86" spans="18:18">
      <c r="R86" s="140"/>
    </row>
    <row r="87" spans="18:18">
      <c r="R87" s="140"/>
    </row>
    <row r="88" spans="18:18">
      <c r="R88" s="140"/>
    </row>
    <row r="89" spans="18:18">
      <c r="R89" s="140"/>
    </row>
    <row r="90" spans="18:18">
      <c r="R90" s="140"/>
    </row>
    <row r="91" spans="18:18">
      <c r="R91" s="140"/>
    </row>
    <row r="92" spans="18:18">
      <c r="R92" s="140"/>
    </row>
    <row r="93" spans="18:18">
      <c r="R93" s="140"/>
    </row>
    <row r="94" spans="18:18">
      <c r="R94" s="140"/>
    </row>
    <row r="95" spans="18:18">
      <c r="R95" s="140"/>
    </row>
    <row r="96" spans="18:18">
      <c r="R96" s="140"/>
    </row>
    <row r="97" spans="18:18">
      <c r="R97" s="140"/>
    </row>
    <row r="98" spans="18:18">
      <c r="R98" s="140"/>
    </row>
    <row r="99" spans="18:18">
      <c r="R99" s="140"/>
    </row>
    <row r="100" spans="18:18">
      <c r="R100" s="140"/>
    </row>
    <row r="101" spans="18:18">
      <c r="R101" s="140"/>
    </row>
    <row r="102" spans="18:18">
      <c r="R102" s="140"/>
    </row>
    <row r="103" spans="18:18">
      <c r="R103" s="140"/>
    </row>
    <row r="104" spans="18:18">
      <c r="R104" s="140"/>
    </row>
    <row r="105" spans="18:18">
      <c r="R105" s="140"/>
    </row>
    <row r="106" spans="18:18">
      <c r="R106" s="140"/>
    </row>
    <row r="107" spans="18:18">
      <c r="R107" s="140"/>
    </row>
    <row r="108" spans="18:18">
      <c r="R108" s="140"/>
    </row>
    <row r="109" spans="18:18">
      <c r="R109" s="140"/>
    </row>
    <row r="110" spans="18:18">
      <c r="R110" s="140"/>
    </row>
    <row r="111" spans="18:18">
      <c r="R111" s="140"/>
    </row>
    <row r="112" spans="18:18">
      <c r="R112" s="140"/>
    </row>
    <row r="113" spans="18:18">
      <c r="R113" s="140"/>
    </row>
    <row r="114" spans="18:18">
      <c r="R114" s="140"/>
    </row>
    <row r="115" spans="18:18">
      <c r="R115" s="140"/>
    </row>
    <row r="116" spans="18:18">
      <c r="R116" s="140"/>
    </row>
    <row r="117" spans="18:18">
      <c r="R117" s="140"/>
    </row>
    <row r="118" spans="18:18">
      <c r="R118" s="140"/>
    </row>
    <row r="119" spans="18:18">
      <c r="R119" s="140"/>
    </row>
    <row r="120" spans="18:18">
      <c r="R120" s="140"/>
    </row>
    <row r="121" spans="18:18">
      <c r="R121" s="140"/>
    </row>
    <row r="122" spans="18:18">
      <c r="R122" s="140"/>
    </row>
    <row r="123" spans="18:18">
      <c r="R123" s="140"/>
    </row>
    <row r="124" spans="18:18">
      <c r="R124" s="140"/>
    </row>
    <row r="125" spans="18:18">
      <c r="R125" s="140"/>
    </row>
    <row r="126" spans="18:18">
      <c r="R126" s="140"/>
    </row>
    <row r="127" spans="18:18">
      <c r="R127" s="140"/>
    </row>
    <row r="128" spans="18:18">
      <c r="R128" s="140"/>
    </row>
    <row r="129" spans="18:18">
      <c r="R129" s="140"/>
    </row>
    <row r="130" spans="18:18">
      <c r="R130" s="140"/>
    </row>
    <row r="131" spans="18:18">
      <c r="R131" s="140"/>
    </row>
    <row r="132" spans="18:18">
      <c r="R132" s="140"/>
    </row>
    <row r="133" spans="18:18">
      <c r="R133" s="140"/>
    </row>
    <row r="134" spans="18:18">
      <c r="R134" s="140"/>
    </row>
    <row r="135" spans="18:18">
      <c r="R135" s="140"/>
    </row>
    <row r="136" spans="18:18">
      <c r="R136" s="140"/>
    </row>
    <row r="137" spans="18:18">
      <c r="R137" s="140"/>
    </row>
    <row r="138" spans="18:18">
      <c r="R138" s="140"/>
    </row>
    <row r="139" spans="18:18">
      <c r="R139" s="140"/>
    </row>
    <row r="140" spans="18:18">
      <c r="R140" s="140"/>
    </row>
    <row r="141" spans="18:18">
      <c r="R141" s="140"/>
    </row>
    <row r="142" spans="18:18">
      <c r="R142" s="140"/>
    </row>
    <row r="143" spans="18:18">
      <c r="R143" s="140"/>
    </row>
    <row r="144" spans="18:18">
      <c r="R144" s="140"/>
    </row>
    <row r="145" spans="18:18">
      <c r="R145" s="140"/>
    </row>
    <row r="146" spans="18:18">
      <c r="R146" s="140"/>
    </row>
    <row r="147" spans="18:18">
      <c r="R147" s="140"/>
    </row>
    <row r="148" spans="18:18">
      <c r="R148" s="140"/>
    </row>
    <row r="149" spans="18:18">
      <c r="R149" s="140"/>
    </row>
    <row r="150" spans="18:18">
      <c r="R150" s="140"/>
    </row>
    <row r="151" spans="18:18">
      <c r="R151" s="140"/>
    </row>
    <row r="152" spans="18:18">
      <c r="R152" s="140"/>
    </row>
    <row r="153" spans="18:18">
      <c r="R153" s="140"/>
    </row>
    <row r="154" spans="18:18">
      <c r="R154" s="140"/>
    </row>
    <row r="155" spans="18:18">
      <c r="R155" s="140"/>
    </row>
    <row r="156" spans="18:18">
      <c r="R156" s="140"/>
    </row>
    <row r="157" spans="18:18">
      <c r="R157" s="140"/>
    </row>
    <row r="158" spans="18:18">
      <c r="R158" s="140"/>
    </row>
    <row r="159" spans="18:18">
      <c r="R159" s="140"/>
    </row>
    <row r="160" spans="18:18">
      <c r="R160" s="140"/>
    </row>
    <row r="161" spans="18:18">
      <c r="R161" s="140"/>
    </row>
    <row r="162" spans="18:18">
      <c r="R162" s="140"/>
    </row>
    <row r="163" spans="18:18">
      <c r="R163" s="140"/>
    </row>
    <row r="164" spans="18:18">
      <c r="R164" s="140"/>
    </row>
    <row r="165" spans="18:18">
      <c r="R165" s="140"/>
    </row>
    <row r="166" spans="18:18">
      <c r="R166" s="140"/>
    </row>
    <row r="167" spans="18:18">
      <c r="R167" s="140"/>
    </row>
    <row r="168" spans="18:18">
      <c r="R168" s="140"/>
    </row>
    <row r="169" spans="18:18">
      <c r="R169" s="140"/>
    </row>
    <row r="170" spans="18:18">
      <c r="R170" s="140"/>
    </row>
    <row r="171" spans="18:18">
      <c r="R171" s="140"/>
    </row>
    <row r="172" spans="18:18">
      <c r="R172" s="140"/>
    </row>
    <row r="173" spans="18:18">
      <c r="R173" s="140"/>
    </row>
    <row r="174" spans="18:18">
      <c r="R174" s="140"/>
    </row>
    <row r="175" spans="18:18">
      <c r="R175" s="140"/>
    </row>
  </sheetData>
  <sortState ref="M35:R55">
    <sortCondition ref="Q35:Q55"/>
  </sortState>
  <pageMargins left="0.75" right="0.75" top="1" bottom="1" header="0.5" footer="0.5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63" name="Button 11" r:id="rId3">
              <controlPr print="0" defaultSize="0">
                <anchor moveWithCells="1">
                  <from>
                    <xdr:col>11</xdr:col>
                    <xdr:colOff>409575</xdr:colOff>
                    <xdr:row>28</xdr:row>
                    <xdr:rowOff>161925</xdr:rowOff>
                  </from>
                  <to>
                    <xdr:col>12</xdr:col>
                    <xdr:colOff>600075</xdr:colOff>
                    <xdr:row>30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4" name="Button 12" r:id="rId4">
              <controlPr print="0" defaultSize="0">
                <anchor moveWithCells="1">
                  <from>
                    <xdr:col>11</xdr:col>
                    <xdr:colOff>419735</xdr:colOff>
                    <xdr:row>31</xdr:row>
                    <xdr:rowOff>95250</xdr:rowOff>
                  </from>
                  <to>
                    <xdr:col>12</xdr:col>
                    <xdr:colOff>572135</xdr:colOff>
                    <xdr:row>33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94" name="Button 142" r:id="rId5">
              <controlPr print="0" defaultSize="0">
                <anchor moveWithCells="1">
                  <from>
                    <xdr:col>20</xdr:col>
                    <xdr:colOff>104775</xdr:colOff>
                    <xdr:row>3</xdr:row>
                    <xdr:rowOff>85725</xdr:rowOff>
                  </from>
                  <to>
                    <xdr:col>21</xdr:col>
                    <xdr:colOff>618490</xdr:colOff>
                    <xdr:row>5</xdr:row>
                    <xdr:rowOff>27940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99" name="Check Box 20" r:id="rId6">
              <controlPr defaultSize="0">
                <anchor moveWithCells="1">
                  <from>
                    <xdr:col>2</xdr:col>
                    <xdr:colOff>189865</xdr:colOff>
                    <xdr:row>39</xdr:row>
                    <xdr:rowOff>102235</xdr:rowOff>
                  </from>
                  <to>
                    <xdr:col>3</xdr:col>
                    <xdr:colOff>542925</xdr:colOff>
                    <xdr:row>40</xdr:row>
                    <xdr:rowOff>154305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11" name="Check Box 19" r:id="rId7">
              <controlPr defaultSize="0">
                <anchor moveWithCells="1">
                  <from>
                    <xdr:col>2</xdr:col>
                    <xdr:colOff>189865</xdr:colOff>
                    <xdr:row>37</xdr:row>
                    <xdr:rowOff>92710</xdr:rowOff>
                  </from>
                  <to>
                    <xdr:col>4</xdr:col>
                    <xdr:colOff>645160</xdr:colOff>
                    <xdr:row>38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10" name="Check Box 18" r:id="rId8">
              <controlPr defaultSize="0">
                <anchor moveWithCells="1">
                  <from>
                    <xdr:col>2</xdr:col>
                    <xdr:colOff>189865</xdr:colOff>
                    <xdr:row>35</xdr:row>
                    <xdr:rowOff>92710</xdr:rowOff>
                  </from>
                  <to>
                    <xdr:col>4</xdr:col>
                    <xdr:colOff>645160</xdr:colOff>
                    <xdr:row>36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09" name="Check Box 17" r:id="rId9">
              <controlPr defaultSize="0">
                <anchor moveWithCells="1">
                  <from>
                    <xdr:col>2</xdr:col>
                    <xdr:colOff>189865</xdr:colOff>
                    <xdr:row>33</xdr:row>
                    <xdr:rowOff>92710</xdr:rowOff>
                  </from>
                  <to>
                    <xdr:col>4</xdr:col>
                    <xdr:colOff>645160</xdr:colOff>
                    <xdr:row>34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7" name="Check Box 16" r:id="rId10">
              <controlPr defaultSize="0">
                <anchor moveWithCells="1">
                  <from>
                    <xdr:col>2</xdr:col>
                    <xdr:colOff>206375</xdr:colOff>
                    <xdr:row>31</xdr:row>
                    <xdr:rowOff>73025</xdr:rowOff>
                  </from>
                  <to>
                    <xdr:col>3</xdr:col>
                    <xdr:colOff>520700</xdr:colOff>
                    <xdr:row>32</xdr:row>
                    <xdr:rowOff>115570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08" name="Check Box 15" r:id="rId11">
              <controlPr defaultSize="0">
                <anchor moveWithCells="1">
                  <from>
                    <xdr:col>2</xdr:col>
                    <xdr:colOff>189865</xdr:colOff>
                    <xdr:row>29</xdr:row>
                    <xdr:rowOff>41910</xdr:rowOff>
                  </from>
                  <to>
                    <xdr:col>4</xdr:col>
                    <xdr:colOff>645160</xdr:colOff>
                    <xdr:row>30</xdr:row>
                    <xdr:rowOff>93980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07" name="Check Box 14" r:id="rId12">
              <controlPr defaultSize="0">
                <anchor moveWithCells="1">
                  <from>
                    <xdr:col>2</xdr:col>
                    <xdr:colOff>189865</xdr:colOff>
                    <xdr:row>27</xdr:row>
                    <xdr:rowOff>41910</xdr:rowOff>
                  </from>
                  <to>
                    <xdr:col>3</xdr:col>
                    <xdr:colOff>92710</xdr:colOff>
                    <xdr:row>28</xdr:row>
                    <xdr:rowOff>93980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04" name="Check Box 13" r:id="rId13">
              <controlPr defaultSize="0">
                <anchor moveWithCells="1">
                  <from>
                    <xdr:col>2</xdr:col>
                    <xdr:colOff>177165</xdr:colOff>
                    <xdr:row>25</xdr:row>
                    <xdr:rowOff>41910</xdr:rowOff>
                  </from>
                  <to>
                    <xdr:col>4</xdr:col>
                    <xdr:colOff>233680</xdr:colOff>
                    <xdr:row>26</xdr:row>
                    <xdr:rowOff>93980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12" name="Check Box 12" r:id="rId14">
              <controlPr defaultSize="0">
                <anchor moveWithCells="1">
                  <from>
                    <xdr:col>2</xdr:col>
                    <xdr:colOff>180340</xdr:colOff>
                    <xdr:row>23</xdr:row>
                    <xdr:rowOff>60960</xdr:rowOff>
                  </from>
                  <to>
                    <xdr:col>4</xdr:col>
                    <xdr:colOff>427990</xdr:colOff>
                    <xdr:row>24</xdr:row>
                    <xdr:rowOff>113030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03" name="Check Box 11" r:id="rId15">
              <controlPr defaultSize="0">
                <anchor moveWithCells="1">
                  <from>
                    <xdr:col>2</xdr:col>
                    <xdr:colOff>164465</xdr:colOff>
                    <xdr:row>21</xdr:row>
                    <xdr:rowOff>54610</xdr:rowOff>
                  </from>
                  <to>
                    <xdr:col>4</xdr:col>
                    <xdr:colOff>640080</xdr:colOff>
                    <xdr:row>22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8" name="Check Box 10" r:id="rId16">
              <controlPr defaultSize="0">
                <anchor moveWithCells="1">
                  <from>
                    <xdr:col>2</xdr:col>
                    <xdr:colOff>165100</xdr:colOff>
                    <xdr:row>19</xdr:row>
                    <xdr:rowOff>57150</xdr:rowOff>
                  </from>
                  <to>
                    <xdr:col>5</xdr:col>
                    <xdr:colOff>640715</xdr:colOff>
                    <xdr:row>20</xdr:row>
                    <xdr:rowOff>99695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02" name="Check Box 9" r:id="rId17">
              <controlPr defaultSize="0">
                <anchor moveWithCells="1">
                  <from>
                    <xdr:col>2</xdr:col>
                    <xdr:colOff>164465</xdr:colOff>
                    <xdr:row>17</xdr:row>
                    <xdr:rowOff>67310</xdr:rowOff>
                  </from>
                  <to>
                    <xdr:col>4</xdr:col>
                    <xdr:colOff>147320</xdr:colOff>
                    <xdr:row>18</xdr:row>
                    <xdr:rowOff>119380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05" name="Check Box 8" r:id="rId18">
              <controlPr defaultSize="0">
                <anchor moveWithCells="1">
                  <from>
                    <xdr:col>2</xdr:col>
                    <xdr:colOff>164465</xdr:colOff>
                    <xdr:row>15</xdr:row>
                    <xdr:rowOff>67310</xdr:rowOff>
                  </from>
                  <to>
                    <xdr:col>5</xdr:col>
                    <xdr:colOff>106045</xdr:colOff>
                    <xdr:row>16</xdr:row>
                    <xdr:rowOff>119380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01" name="Check Box 7" r:id="rId19">
              <controlPr defaultSize="0">
                <anchor moveWithCells="1">
                  <from>
                    <xdr:col>2</xdr:col>
                    <xdr:colOff>151765</xdr:colOff>
                    <xdr:row>13</xdr:row>
                    <xdr:rowOff>54610</xdr:rowOff>
                  </from>
                  <to>
                    <xdr:col>3</xdr:col>
                    <xdr:colOff>504825</xdr:colOff>
                    <xdr:row>14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0" name="Check Box 6" r:id="rId20">
              <controlPr defaultSize="0">
                <anchor moveWithCells="1">
                  <from>
                    <xdr:col>2</xdr:col>
                    <xdr:colOff>151765</xdr:colOff>
                    <xdr:row>11</xdr:row>
                    <xdr:rowOff>67310</xdr:rowOff>
                  </from>
                  <to>
                    <xdr:col>3</xdr:col>
                    <xdr:colOff>504825</xdr:colOff>
                    <xdr:row>12</xdr:row>
                    <xdr:rowOff>119380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9" name="Check Box 5" r:id="rId21">
              <controlPr defaultSize="0">
                <anchor moveWithCells="1">
                  <from>
                    <xdr:col>2</xdr:col>
                    <xdr:colOff>161925</xdr:colOff>
                    <xdr:row>9</xdr:row>
                    <xdr:rowOff>79375</xdr:rowOff>
                  </from>
                  <to>
                    <xdr:col>3</xdr:col>
                    <xdr:colOff>552450</xdr:colOff>
                    <xdr:row>10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98" name="Check Box 4" r:id="rId22">
              <controlPr defaultSize="0">
                <anchor moveWithCells="1">
                  <from>
                    <xdr:col>2</xdr:col>
                    <xdr:colOff>151765</xdr:colOff>
                    <xdr:row>7</xdr:row>
                    <xdr:rowOff>45085</xdr:rowOff>
                  </from>
                  <to>
                    <xdr:col>3</xdr:col>
                    <xdr:colOff>504825</xdr:colOff>
                    <xdr:row>8</xdr:row>
                    <xdr:rowOff>97155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2" name="Check Box 3" r:id="rId23">
              <controlPr defaultSize="0">
                <anchor moveWithCells="1">
                  <from>
                    <xdr:col>2</xdr:col>
                    <xdr:colOff>142875</xdr:colOff>
                    <xdr:row>5</xdr:row>
                    <xdr:rowOff>63500</xdr:rowOff>
                  </from>
                  <to>
                    <xdr:col>4</xdr:col>
                    <xdr:colOff>552450</xdr:colOff>
                    <xdr:row>6</xdr:row>
                    <xdr:rowOff>106045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1" name="Check Box 2" r:id="rId24">
              <controlPr defaultSize="0">
                <anchor moveWithCells="1">
                  <from>
                    <xdr:col>2</xdr:col>
                    <xdr:colOff>149225</xdr:colOff>
                    <xdr:row>3</xdr:row>
                    <xdr:rowOff>60325</xdr:rowOff>
                  </from>
                  <to>
                    <xdr:col>4</xdr:col>
                    <xdr:colOff>558800</xdr:colOff>
                    <xdr:row>4</xdr:row>
                    <xdr:rowOff>102870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00" name="Check Box 1" r:id="rId25">
              <controlPr defaultSize="0">
                <anchor moveWithCells="1">
                  <from>
                    <xdr:col>2</xdr:col>
                    <xdr:colOff>164465</xdr:colOff>
                    <xdr:row>1</xdr:row>
                    <xdr:rowOff>67310</xdr:rowOff>
                  </from>
                  <to>
                    <xdr:col>3</xdr:col>
                    <xdr:colOff>517525</xdr:colOff>
                    <xdr:row>2</xdr:row>
                    <xdr:rowOff>119380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21" name="Button 569" r:id="rId26">
              <controlPr print="0" defaultSize="0">
                <anchor moveWithCells="1">
                  <from>
                    <xdr:col>20</xdr:col>
                    <xdr:colOff>114300</xdr:colOff>
                    <xdr:row>6</xdr:row>
                    <xdr:rowOff>9525</xdr:rowOff>
                  </from>
                  <to>
                    <xdr:col>22</xdr:col>
                    <xdr:colOff>18415</xdr:colOff>
                    <xdr:row>7</xdr:row>
                    <xdr:rowOff>113665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AB73"/>
  <sheetViews>
    <sheetView workbookViewId="0">
      <selection activeCell="A13" sqref="A13:F73"/>
    </sheetView>
  </sheetViews>
  <sheetFormatPr defaultColWidth="9" defaultRowHeight="13.5"/>
  <cols>
    <col min="1" max="1" width="11.875" customWidth="1"/>
    <col min="17" max="17" width="9.375"/>
    <col min="23" max="23" width="9" customWidth="1"/>
    <col min="27" max="27" width="9.375"/>
  </cols>
  <sheetData>
    <row r="1" spans="1:2">
      <c r="A1" t="s">
        <v>50</v>
      </c>
      <c r="B1">
        <v>3</v>
      </c>
    </row>
    <row r="2" spans="1:28">
      <c r="A2" s="1" t="s">
        <v>51</v>
      </c>
      <c r="B2">
        <v>14</v>
      </c>
      <c r="C2" s="1" t="s">
        <v>52</v>
      </c>
      <c r="D2">
        <v>22</v>
      </c>
      <c r="E2" s="1" t="s">
        <v>53</v>
      </c>
      <c r="F2">
        <v>25</v>
      </c>
      <c r="G2" s="1" t="s">
        <v>54</v>
      </c>
      <c r="I2" s="1" t="s">
        <v>55</v>
      </c>
      <c r="K2" s="1" t="s">
        <v>56</v>
      </c>
      <c r="M2" s="1" t="s">
        <v>57</v>
      </c>
      <c r="O2" s="1" t="s">
        <v>58</v>
      </c>
      <c r="Q2" s="1" t="s">
        <v>59</v>
      </c>
      <c r="S2" s="1" t="s">
        <v>60</v>
      </c>
      <c r="X2" s="77"/>
      <c r="Y2" s="77"/>
      <c r="Z2" s="77" t="s">
        <v>61</v>
      </c>
      <c r="AA2" s="77"/>
      <c r="AB2" s="77"/>
    </row>
    <row r="3" spans="1:28">
      <c r="A3" t="s">
        <v>62</v>
      </c>
      <c r="B3">
        <v>1</v>
      </c>
      <c r="C3" t="s">
        <v>62</v>
      </c>
      <c r="D3">
        <v>2</v>
      </c>
      <c r="E3" t="s">
        <v>62</v>
      </c>
      <c r="F3">
        <v>3</v>
      </c>
      <c r="G3" t="s">
        <v>62</v>
      </c>
      <c r="I3" t="s">
        <v>62</v>
      </c>
      <c r="K3" t="s">
        <v>62</v>
      </c>
      <c r="M3" t="s">
        <v>62</v>
      </c>
      <c r="O3" t="s">
        <v>62</v>
      </c>
      <c r="Q3" t="s">
        <v>62</v>
      </c>
      <c r="S3" t="s">
        <v>62</v>
      </c>
      <c r="X3" s="77" t="s">
        <v>63</v>
      </c>
      <c r="Y3" s="77"/>
      <c r="Z3" s="77"/>
      <c r="AA3" s="77"/>
      <c r="AB3" s="77"/>
    </row>
    <row r="4" spans="1:28">
      <c r="A4" s="1" t="s">
        <v>64</v>
      </c>
      <c r="B4" s="1" t="s">
        <v>65</v>
      </c>
      <c r="D4" s="1" t="s">
        <v>66</v>
      </c>
      <c r="F4" t="s">
        <v>67</v>
      </c>
      <c r="X4">
        <v>1200</v>
      </c>
      <c r="AB4" s="116">
        <v>1500</v>
      </c>
    </row>
    <row r="5" spans="1:6">
      <c r="A5" s="1" t="s">
        <v>68</v>
      </c>
      <c r="B5">
        <v>0.96</v>
      </c>
      <c r="D5">
        <v>0.96</v>
      </c>
      <c r="F5">
        <v>0.96</v>
      </c>
    </row>
    <row r="6" spans="1:6">
      <c r="A6" t="s">
        <v>69</v>
      </c>
      <c r="B6">
        <v>0.08</v>
      </c>
      <c r="D6">
        <v>0.01</v>
      </c>
      <c r="F6">
        <v>0.01</v>
      </c>
    </row>
    <row r="7" spans="1:6">
      <c r="A7" t="s">
        <v>70</v>
      </c>
      <c r="B7">
        <v>0.49</v>
      </c>
      <c r="D7">
        <v>1.67</v>
      </c>
      <c r="F7">
        <v>1.67</v>
      </c>
    </row>
    <row r="8" spans="1:6">
      <c r="A8" s="1" t="s">
        <v>71</v>
      </c>
      <c r="B8" s="2">
        <v>0.0313</v>
      </c>
      <c r="D8" s="2">
        <v>0</v>
      </c>
      <c r="F8" s="2">
        <v>0</v>
      </c>
    </row>
    <row r="9" spans="1:6">
      <c r="A9" t="s">
        <v>72</v>
      </c>
      <c r="B9" s="2">
        <v>0.1875</v>
      </c>
      <c r="D9" s="2">
        <v>0.1875</v>
      </c>
      <c r="F9" s="2">
        <v>0.1875</v>
      </c>
    </row>
    <row r="10" spans="14:21">
      <c r="N10" s="122" t="s">
        <v>73</v>
      </c>
      <c r="O10" s="122"/>
      <c r="P10" s="122"/>
      <c r="Q10" s="122"/>
      <c r="R10" s="122"/>
      <c r="S10" s="122"/>
      <c r="T10" s="122"/>
      <c r="U10" s="122"/>
    </row>
    <row r="11" ht="14.25" spans="1:22">
      <c r="A11" s="3" t="s">
        <v>74</v>
      </c>
      <c r="B11" s="3" t="s">
        <v>75</v>
      </c>
      <c r="C11" s="4" t="s">
        <v>76</v>
      </c>
      <c r="D11" s="6" t="s">
        <v>77</v>
      </c>
      <c r="E11" s="6" t="s">
        <v>78</v>
      </c>
      <c r="F11" s="4" t="s">
        <v>79</v>
      </c>
      <c r="G11" s="102"/>
      <c r="H11" s="102"/>
      <c r="I11" s="123"/>
      <c r="J11" s="102"/>
      <c r="K11" s="102"/>
      <c r="L11" s="123"/>
      <c r="M11" s="4"/>
      <c r="N11" s="124" t="s">
        <v>74</v>
      </c>
      <c r="O11" s="125" t="s">
        <v>75</v>
      </c>
      <c r="P11" s="58" t="s">
        <v>80</v>
      </c>
      <c r="Q11" s="58"/>
      <c r="R11" s="58"/>
      <c r="S11" s="58" t="s">
        <v>81</v>
      </c>
      <c r="T11" s="58" t="s">
        <v>82</v>
      </c>
      <c r="U11" s="125" t="s">
        <v>83</v>
      </c>
      <c r="V11" s="124" t="s">
        <v>84</v>
      </c>
    </row>
    <row r="12" ht="14.25" spans="1:22">
      <c r="A12" s="3"/>
      <c r="B12" s="5"/>
      <c r="C12" s="6"/>
      <c r="D12" s="58"/>
      <c r="E12" s="58"/>
      <c r="F12" s="4"/>
      <c r="G12" s="102"/>
      <c r="H12" s="102"/>
      <c r="I12" s="123"/>
      <c r="J12" s="102"/>
      <c r="K12" s="102"/>
      <c r="L12" s="123"/>
      <c r="M12" s="4"/>
      <c r="N12" s="3"/>
      <c r="O12" s="58"/>
      <c r="P12" s="4" t="s">
        <v>85</v>
      </c>
      <c r="Q12" s="4" t="s">
        <v>86</v>
      </c>
      <c r="R12" s="4" t="s">
        <v>87</v>
      </c>
      <c r="S12" s="4"/>
      <c r="T12" s="4"/>
      <c r="U12" s="58"/>
      <c r="V12" s="3"/>
    </row>
    <row r="13" ht="15.75" spans="1:22">
      <c r="A13" s="77" t="s">
        <v>88</v>
      </c>
      <c r="B13" s="117" t="s">
        <v>89</v>
      </c>
      <c r="C13" s="118">
        <v>0</v>
      </c>
      <c r="D13" s="118">
        <v>0.16</v>
      </c>
      <c r="E13" s="118">
        <v>0.01</v>
      </c>
      <c r="F13" s="118">
        <v>1.95</v>
      </c>
      <c r="G13" s="102"/>
      <c r="H13" s="102"/>
      <c r="I13" s="123"/>
      <c r="J13" s="102"/>
      <c r="K13" s="102"/>
      <c r="L13" s="123"/>
      <c r="M13" s="1"/>
      <c r="N13" s="90"/>
      <c r="O13" s="90"/>
      <c r="P13" s="92">
        <v>0.16</v>
      </c>
      <c r="Q13" s="92">
        <v>0.15</v>
      </c>
      <c r="R13" s="92">
        <v>0.01</v>
      </c>
      <c r="S13" s="92">
        <v>1.95</v>
      </c>
      <c r="T13" s="92">
        <v>0.0769230769230769</v>
      </c>
      <c r="U13" s="109">
        <v>0.0625</v>
      </c>
      <c r="V13" s="102">
        <v>-0.15</v>
      </c>
    </row>
    <row r="14" ht="15.75" spans="1:22">
      <c r="A14" s="22" t="s">
        <v>88</v>
      </c>
      <c r="B14" s="117" t="s">
        <v>90</v>
      </c>
      <c r="C14" s="118">
        <v>0</v>
      </c>
      <c r="D14" s="118">
        <v>0.24</v>
      </c>
      <c r="E14" s="118">
        <v>0.02</v>
      </c>
      <c r="F14" s="118">
        <v>2.06</v>
      </c>
      <c r="G14" s="102"/>
      <c r="H14" s="102"/>
      <c r="I14" s="123"/>
      <c r="J14" s="102"/>
      <c r="K14" s="102"/>
      <c r="L14" s="123"/>
      <c r="M14" s="1"/>
      <c r="N14" s="90"/>
      <c r="O14" s="90"/>
      <c r="P14" s="92">
        <v>0.24</v>
      </c>
      <c r="Q14" s="92">
        <v>0.22</v>
      </c>
      <c r="R14" s="92">
        <v>0.02</v>
      </c>
      <c r="S14" s="92">
        <v>2.06</v>
      </c>
      <c r="T14" s="92">
        <v>0.106796116504854</v>
      </c>
      <c r="U14" s="109">
        <v>0.0833333333333333</v>
      </c>
      <c r="V14" s="102">
        <v>-0.22</v>
      </c>
    </row>
    <row r="15" ht="15.75" spans="1:22">
      <c r="A15" s="22" t="s">
        <v>88</v>
      </c>
      <c r="B15" s="117" t="s">
        <v>91</v>
      </c>
      <c r="C15" s="118">
        <v>0</v>
      </c>
      <c r="D15" s="118">
        <v>0.66</v>
      </c>
      <c r="E15" s="118">
        <v>0.08</v>
      </c>
      <c r="F15" s="118">
        <v>2.19</v>
      </c>
      <c r="G15" s="102"/>
      <c r="H15" s="102"/>
      <c r="I15" s="123"/>
      <c r="J15" s="102"/>
      <c r="K15" s="102"/>
      <c r="L15" s="123"/>
      <c r="M15" s="1"/>
      <c r="N15" s="93"/>
      <c r="O15" s="93"/>
      <c r="P15" s="92">
        <v>0.66</v>
      </c>
      <c r="Q15" s="92">
        <v>0.58</v>
      </c>
      <c r="R15" s="92">
        <v>0.08</v>
      </c>
      <c r="S15" s="92">
        <v>2.19</v>
      </c>
      <c r="T15" s="92">
        <v>0.264840182648402</v>
      </c>
      <c r="U15" s="109">
        <v>0.121212121212121</v>
      </c>
      <c r="V15" s="138">
        <v>-0.58</v>
      </c>
    </row>
    <row r="16" ht="15.75" spans="1:22">
      <c r="A16" s="22" t="s">
        <v>88</v>
      </c>
      <c r="B16" s="117" t="s">
        <v>92</v>
      </c>
      <c r="C16" s="118">
        <v>0</v>
      </c>
      <c r="D16" s="118">
        <v>0.81</v>
      </c>
      <c r="E16" s="118">
        <v>0.08</v>
      </c>
      <c r="F16" s="118">
        <v>2.27</v>
      </c>
      <c r="G16" s="102"/>
      <c r="H16" s="102"/>
      <c r="I16" s="123"/>
      <c r="J16" s="102"/>
      <c r="K16" s="102"/>
      <c r="L16" s="123"/>
      <c r="M16" s="1"/>
      <c r="N16" s="90"/>
      <c r="O16" s="90"/>
      <c r="P16" s="92">
        <v>0.81</v>
      </c>
      <c r="Q16" s="92">
        <v>0.73</v>
      </c>
      <c r="R16" s="92">
        <v>0.08</v>
      </c>
      <c r="S16" s="92">
        <v>2.27</v>
      </c>
      <c r="T16" s="92">
        <v>0.3215859030837</v>
      </c>
      <c r="U16" s="109">
        <v>0.0987654320987654</v>
      </c>
      <c r="V16" s="102">
        <v>-0.73</v>
      </c>
    </row>
    <row r="17" ht="15.75" spans="1:22">
      <c r="A17" s="22" t="s">
        <v>88</v>
      </c>
      <c r="B17" s="117" t="s">
        <v>93</v>
      </c>
      <c r="C17" s="118">
        <v>0</v>
      </c>
      <c r="D17" s="118">
        <v>0.84</v>
      </c>
      <c r="E17" s="118">
        <v>0.15</v>
      </c>
      <c r="F17" s="118">
        <v>2.32</v>
      </c>
      <c r="G17" s="102"/>
      <c r="H17" s="102"/>
      <c r="I17" s="123"/>
      <c r="J17" s="102"/>
      <c r="K17" s="102"/>
      <c r="L17" s="123"/>
      <c r="M17" s="1"/>
      <c r="N17" s="90"/>
      <c r="O17" s="90"/>
      <c r="P17" s="92">
        <v>0.84</v>
      </c>
      <c r="Q17" s="92">
        <v>0.69</v>
      </c>
      <c r="R17" s="92">
        <v>0.15</v>
      </c>
      <c r="S17" s="92">
        <v>2.32</v>
      </c>
      <c r="T17" s="92">
        <v>0.297413793103448</v>
      </c>
      <c r="U17" s="109">
        <v>0.178571428571429</v>
      </c>
      <c r="V17" s="102">
        <v>-0.69</v>
      </c>
    </row>
    <row r="18" ht="15.75" spans="1:22">
      <c r="A18" s="22" t="s">
        <v>88</v>
      </c>
      <c r="B18" s="117" t="s">
        <v>94</v>
      </c>
      <c r="C18" s="118">
        <v>0</v>
      </c>
      <c r="D18" s="118">
        <v>0.89</v>
      </c>
      <c r="E18" s="118">
        <v>0.14</v>
      </c>
      <c r="F18" s="118">
        <v>2.32</v>
      </c>
      <c r="G18" s="102"/>
      <c r="H18" s="102"/>
      <c r="I18" s="123"/>
      <c r="J18" s="102"/>
      <c r="K18" s="102"/>
      <c r="L18" s="123"/>
      <c r="M18" s="1"/>
      <c r="N18" s="93"/>
      <c r="O18" s="93"/>
      <c r="P18" s="92">
        <v>0.89</v>
      </c>
      <c r="Q18" s="92">
        <v>0.75</v>
      </c>
      <c r="R18" s="92">
        <v>0.14</v>
      </c>
      <c r="S18" s="92">
        <v>2.32</v>
      </c>
      <c r="T18" s="92">
        <v>0.323275862068966</v>
      </c>
      <c r="U18" s="109">
        <v>0.157303370786517</v>
      </c>
      <c r="V18" s="138">
        <v>-0.75</v>
      </c>
    </row>
    <row r="19" ht="15.75" spans="1:22">
      <c r="A19" s="22" t="s">
        <v>88</v>
      </c>
      <c r="B19" s="117" t="s">
        <v>95</v>
      </c>
      <c r="C19" s="118">
        <v>0</v>
      </c>
      <c r="D19" s="118">
        <v>0.97</v>
      </c>
      <c r="E19" s="118">
        <v>0.1</v>
      </c>
      <c r="F19" s="118">
        <v>2.26</v>
      </c>
      <c r="G19" s="102"/>
      <c r="H19" s="102"/>
      <c r="I19" s="123"/>
      <c r="J19" s="102"/>
      <c r="K19" s="102"/>
      <c r="L19" s="123"/>
      <c r="M19" s="1"/>
      <c r="N19" s="90"/>
      <c r="O19" s="90"/>
      <c r="P19" s="92">
        <v>0.97</v>
      </c>
      <c r="Q19" s="92">
        <v>0.87</v>
      </c>
      <c r="R19" s="92">
        <v>0.1</v>
      </c>
      <c r="S19" s="92">
        <v>2.26</v>
      </c>
      <c r="T19" s="92">
        <v>0.384955752212389</v>
      </c>
      <c r="U19" s="109">
        <v>0.103092783505155</v>
      </c>
      <c r="V19" s="102">
        <v>-0.87</v>
      </c>
    </row>
    <row r="20" ht="15.75" spans="1:22">
      <c r="A20" s="22" t="s">
        <v>88</v>
      </c>
      <c r="B20" s="117" t="s">
        <v>96</v>
      </c>
      <c r="C20" s="118">
        <v>0</v>
      </c>
      <c r="D20" s="118">
        <v>1.06</v>
      </c>
      <c r="E20" s="118">
        <v>0.1</v>
      </c>
      <c r="F20" s="118">
        <v>2.16</v>
      </c>
      <c r="G20" s="102"/>
      <c r="H20" s="102"/>
      <c r="I20" s="123"/>
      <c r="J20" s="102"/>
      <c r="K20" s="102"/>
      <c r="L20" s="123"/>
      <c r="M20" s="1"/>
      <c r="N20" s="90"/>
      <c r="O20" s="90"/>
      <c r="P20" s="92">
        <v>1.06</v>
      </c>
      <c r="Q20" s="92">
        <v>0.96</v>
      </c>
      <c r="R20" s="92">
        <v>0.1</v>
      </c>
      <c r="S20" s="92">
        <v>2.16</v>
      </c>
      <c r="T20" s="92">
        <v>0.444444444444444</v>
      </c>
      <c r="U20" s="109">
        <v>0.0943396226415094</v>
      </c>
      <c r="V20" s="102">
        <v>-0.96</v>
      </c>
    </row>
    <row r="21" ht="15.75" spans="1:22">
      <c r="A21" s="22" t="s">
        <v>88</v>
      </c>
      <c r="B21" s="117" t="s">
        <v>97</v>
      </c>
      <c r="C21" s="118">
        <v>0</v>
      </c>
      <c r="D21" s="118">
        <v>1</v>
      </c>
      <c r="E21" s="118">
        <v>0.12</v>
      </c>
      <c r="F21" s="118">
        <v>2</v>
      </c>
      <c r="G21" s="102"/>
      <c r="H21" s="102"/>
      <c r="I21" s="123"/>
      <c r="J21" s="102"/>
      <c r="K21" s="102"/>
      <c r="L21" s="123"/>
      <c r="N21" s="90"/>
      <c r="O21" s="90"/>
      <c r="P21" s="92">
        <v>1</v>
      </c>
      <c r="Q21" s="92">
        <v>0.88</v>
      </c>
      <c r="R21" s="92">
        <v>0.12</v>
      </c>
      <c r="S21" s="92">
        <v>2</v>
      </c>
      <c r="T21" s="92">
        <v>0.44</v>
      </c>
      <c r="U21" s="109">
        <v>0.12</v>
      </c>
      <c r="V21" s="102">
        <v>-0.88</v>
      </c>
    </row>
    <row r="22" ht="15.75" spans="1:22">
      <c r="A22" s="22" t="s">
        <v>88</v>
      </c>
      <c r="B22" s="117" t="s">
        <v>98</v>
      </c>
      <c r="C22" s="118">
        <v>0</v>
      </c>
      <c r="D22" s="118">
        <v>0.96</v>
      </c>
      <c r="E22" s="118">
        <v>0.08</v>
      </c>
      <c r="F22" s="118">
        <v>1.8</v>
      </c>
      <c r="G22" s="102"/>
      <c r="H22" s="102"/>
      <c r="I22" s="123"/>
      <c r="J22" s="102"/>
      <c r="K22" s="102"/>
      <c r="L22" s="123"/>
      <c r="N22" s="94"/>
      <c r="O22" s="94"/>
      <c r="P22" s="92">
        <v>0.96</v>
      </c>
      <c r="Q22" s="92">
        <v>0.88</v>
      </c>
      <c r="R22" s="92">
        <v>0.08</v>
      </c>
      <c r="S22" s="92">
        <v>1.8</v>
      </c>
      <c r="T22" s="92">
        <v>0.488888888888889</v>
      </c>
      <c r="U22" s="109">
        <v>0.0833333333333333</v>
      </c>
      <c r="V22" s="120">
        <v>-0.88</v>
      </c>
    </row>
    <row r="23" ht="15.75" spans="1:22">
      <c r="A23" s="22" t="s">
        <v>88</v>
      </c>
      <c r="B23" s="117" t="s">
        <v>99</v>
      </c>
      <c r="C23" s="118">
        <v>0</v>
      </c>
      <c r="D23" s="118">
        <v>0.8</v>
      </c>
      <c r="E23" s="118">
        <v>0.15</v>
      </c>
      <c r="F23" s="118">
        <v>1.56</v>
      </c>
      <c r="G23" s="102"/>
      <c r="H23" s="102"/>
      <c r="I23" s="123"/>
      <c r="J23" s="102"/>
      <c r="K23" s="102"/>
      <c r="L23" s="123"/>
      <c r="N23" s="90"/>
      <c r="O23" s="90"/>
      <c r="P23" s="92">
        <v>0.8</v>
      </c>
      <c r="Q23" s="92">
        <v>0.65</v>
      </c>
      <c r="R23" s="92">
        <v>0.15</v>
      </c>
      <c r="S23" s="92">
        <v>1.56</v>
      </c>
      <c r="T23" s="92">
        <v>0.416666666666667</v>
      </c>
      <c r="U23" s="109">
        <v>0.1875</v>
      </c>
      <c r="V23" s="102">
        <v>-0.65</v>
      </c>
    </row>
    <row r="24" ht="15.75" spans="1:22">
      <c r="A24" s="22" t="s">
        <v>88</v>
      </c>
      <c r="B24" s="117" t="s">
        <v>100</v>
      </c>
      <c r="C24" s="118">
        <v>0</v>
      </c>
      <c r="D24" s="118">
        <v>0.62</v>
      </c>
      <c r="E24" s="118">
        <v>0.07</v>
      </c>
      <c r="F24" s="118">
        <v>1.31</v>
      </c>
      <c r="G24" s="102"/>
      <c r="H24" s="102"/>
      <c r="I24" s="123"/>
      <c r="J24" s="102"/>
      <c r="K24" s="102"/>
      <c r="L24" s="123"/>
      <c r="N24" s="90"/>
      <c r="O24" s="90"/>
      <c r="P24" s="92">
        <v>0.62</v>
      </c>
      <c r="Q24" s="92">
        <v>0.55</v>
      </c>
      <c r="R24" s="92">
        <v>0.07</v>
      </c>
      <c r="S24" s="92">
        <v>1.31</v>
      </c>
      <c r="T24" s="92">
        <v>0.419847328244275</v>
      </c>
      <c r="U24" s="109">
        <v>0.112903225806452</v>
      </c>
      <c r="V24" s="102">
        <v>-0.55</v>
      </c>
    </row>
    <row r="25" ht="15.75" spans="1:22">
      <c r="A25" s="22" t="s">
        <v>88</v>
      </c>
      <c r="B25" s="117" t="s">
        <v>101</v>
      </c>
      <c r="C25" s="118">
        <v>0</v>
      </c>
      <c r="D25" s="118">
        <v>0.42</v>
      </c>
      <c r="E25" s="118">
        <v>0.04</v>
      </c>
      <c r="F25" s="118">
        <v>1.07</v>
      </c>
      <c r="G25" s="102"/>
      <c r="H25" s="102"/>
      <c r="I25" s="123"/>
      <c r="J25" s="126"/>
      <c r="K25" s="123"/>
      <c r="L25" s="127"/>
      <c r="P25" s="128">
        <v>0.42</v>
      </c>
      <c r="Q25" s="128">
        <v>0.38</v>
      </c>
      <c r="R25" s="128">
        <v>0.04</v>
      </c>
      <c r="S25" s="128">
        <v>1.07</v>
      </c>
      <c r="T25" s="128">
        <v>0.355140186915888</v>
      </c>
      <c r="U25">
        <v>0.0952380952380952</v>
      </c>
      <c r="V25">
        <v>-0.38</v>
      </c>
    </row>
    <row r="26" ht="16.5" spans="1:22">
      <c r="A26" s="22" t="s">
        <v>88</v>
      </c>
      <c r="B26" s="117" t="s">
        <v>102</v>
      </c>
      <c r="C26" s="118">
        <v>0</v>
      </c>
      <c r="D26" s="118">
        <v>0.32</v>
      </c>
      <c r="E26" s="118">
        <v>0.01</v>
      </c>
      <c r="F26" s="118">
        <v>0.85</v>
      </c>
      <c r="G26" s="102"/>
      <c r="H26" s="102"/>
      <c r="I26" s="123"/>
      <c r="J26" s="126"/>
      <c r="K26" s="123"/>
      <c r="L26" s="127"/>
      <c r="P26" s="128">
        <v>0.32</v>
      </c>
      <c r="Q26" s="128">
        <v>0.31</v>
      </c>
      <c r="R26" s="128">
        <v>0.01</v>
      </c>
      <c r="S26" s="128">
        <v>0.85</v>
      </c>
      <c r="T26" s="128">
        <v>0.364705882352941</v>
      </c>
      <c r="U26">
        <v>0.03125</v>
      </c>
      <c r="V26">
        <v>-0.31</v>
      </c>
    </row>
    <row r="27" ht="15.75" spans="1:22">
      <c r="A27" s="22" t="s">
        <v>103</v>
      </c>
      <c r="B27" s="117" t="s">
        <v>89</v>
      </c>
      <c r="C27" s="118">
        <v>0</v>
      </c>
      <c r="D27" s="118">
        <v>0.16</v>
      </c>
      <c r="E27" s="118">
        <v>0.01</v>
      </c>
      <c r="F27" s="118">
        <v>1.95</v>
      </c>
      <c r="G27" s="119"/>
      <c r="H27" s="102"/>
      <c r="I27" s="129"/>
      <c r="J27" s="130"/>
      <c r="K27" s="129"/>
      <c r="L27" s="131"/>
      <c r="P27" s="128">
        <v>0.16</v>
      </c>
      <c r="Q27" s="128">
        <v>0.15</v>
      </c>
      <c r="R27" s="128">
        <v>0.01</v>
      </c>
      <c r="S27" s="128">
        <v>1.95</v>
      </c>
      <c r="T27" s="128">
        <v>0.0769230769230769</v>
      </c>
      <c r="U27">
        <v>0.0625</v>
      </c>
      <c r="V27">
        <v>-0.15</v>
      </c>
    </row>
    <row r="28" ht="15.75" spans="1:22">
      <c r="A28" s="22" t="s">
        <v>103</v>
      </c>
      <c r="B28" s="117" t="s">
        <v>90</v>
      </c>
      <c r="C28" s="118">
        <v>0</v>
      </c>
      <c r="D28" s="118">
        <v>0.24</v>
      </c>
      <c r="E28" s="118">
        <v>0.02</v>
      </c>
      <c r="F28" s="118">
        <v>2.06</v>
      </c>
      <c r="G28" s="102"/>
      <c r="H28" s="102"/>
      <c r="I28" s="123"/>
      <c r="J28" s="126"/>
      <c r="K28" s="123"/>
      <c r="L28" s="127"/>
      <c r="P28" s="128">
        <v>0.24</v>
      </c>
      <c r="Q28" s="139">
        <v>0.22</v>
      </c>
      <c r="R28" s="128">
        <v>0.02</v>
      </c>
      <c r="S28" s="128">
        <v>2.06</v>
      </c>
      <c r="T28" s="128">
        <v>0.106796116504854</v>
      </c>
      <c r="U28">
        <v>0.0833333333333333</v>
      </c>
      <c r="V28">
        <v>-0.22</v>
      </c>
    </row>
    <row r="29" ht="15.75" spans="1:22">
      <c r="A29" s="22" t="s">
        <v>103</v>
      </c>
      <c r="B29" s="117" t="s">
        <v>91</v>
      </c>
      <c r="C29" s="118">
        <v>0</v>
      </c>
      <c r="D29" s="118">
        <v>0.66</v>
      </c>
      <c r="E29" s="118">
        <v>0.08</v>
      </c>
      <c r="F29" s="118">
        <v>2.19</v>
      </c>
      <c r="G29" s="102"/>
      <c r="H29" s="102"/>
      <c r="I29" s="132"/>
      <c r="J29" s="133"/>
      <c r="K29" s="132"/>
      <c r="L29" s="134"/>
      <c r="P29">
        <v>0.66</v>
      </c>
      <c r="Q29">
        <v>0.58</v>
      </c>
      <c r="R29">
        <v>0.08</v>
      </c>
      <c r="S29">
        <v>2.19</v>
      </c>
      <c r="T29">
        <v>0.264840182648402</v>
      </c>
      <c r="U29">
        <v>0.121212121212121</v>
      </c>
      <c r="V29">
        <v>-0.58</v>
      </c>
    </row>
    <row r="30" ht="15.75" spans="1:22">
      <c r="A30" s="22" t="s">
        <v>103</v>
      </c>
      <c r="B30" s="117" t="s">
        <v>92</v>
      </c>
      <c r="C30" s="118">
        <v>0</v>
      </c>
      <c r="D30" s="118">
        <v>0.81</v>
      </c>
      <c r="E30" s="118">
        <v>0.08</v>
      </c>
      <c r="F30" s="118">
        <v>2.27</v>
      </c>
      <c r="G30" s="120"/>
      <c r="H30" s="102"/>
      <c r="I30" s="123"/>
      <c r="J30" s="126"/>
      <c r="K30" s="123"/>
      <c r="L30" s="127"/>
      <c r="P30">
        <v>0.81</v>
      </c>
      <c r="Q30">
        <v>0.73</v>
      </c>
      <c r="R30">
        <v>0.08</v>
      </c>
      <c r="S30">
        <v>2.27</v>
      </c>
      <c r="T30">
        <v>0.3215859030837</v>
      </c>
      <c r="U30">
        <v>0.0987654320987654</v>
      </c>
      <c r="V30">
        <v>-0.73</v>
      </c>
    </row>
    <row r="31" ht="15.75" spans="1:22">
      <c r="A31" s="22" t="s">
        <v>103</v>
      </c>
      <c r="B31" s="117" t="s">
        <v>93</v>
      </c>
      <c r="C31" s="118">
        <v>0</v>
      </c>
      <c r="D31" s="118">
        <v>0.84</v>
      </c>
      <c r="E31" s="118">
        <v>0.15</v>
      </c>
      <c r="F31" s="118">
        <v>2.32</v>
      </c>
      <c r="G31" s="102"/>
      <c r="H31" s="102"/>
      <c r="I31" s="123"/>
      <c r="J31" s="126"/>
      <c r="K31" s="123"/>
      <c r="L31" s="127"/>
      <c r="P31">
        <v>0.84</v>
      </c>
      <c r="Q31">
        <v>0.69</v>
      </c>
      <c r="R31">
        <v>0.15</v>
      </c>
      <c r="S31">
        <v>2.32</v>
      </c>
      <c r="T31">
        <v>0.297413793103448</v>
      </c>
      <c r="U31">
        <v>0.178571428571429</v>
      </c>
      <c r="V31">
        <v>-0.69</v>
      </c>
    </row>
    <row r="32" ht="15.75" spans="1:22">
      <c r="A32" s="22" t="s">
        <v>103</v>
      </c>
      <c r="B32" s="117" t="s">
        <v>94</v>
      </c>
      <c r="C32" s="118">
        <v>0</v>
      </c>
      <c r="D32" s="118">
        <v>0.89</v>
      </c>
      <c r="E32" s="118">
        <v>0.14</v>
      </c>
      <c r="F32" s="118">
        <v>2.32</v>
      </c>
      <c r="G32" s="102"/>
      <c r="H32" s="102"/>
      <c r="I32" s="123"/>
      <c r="J32" s="126"/>
      <c r="K32" s="123"/>
      <c r="L32" s="127"/>
      <c r="P32">
        <v>0.89</v>
      </c>
      <c r="Q32">
        <v>0.75</v>
      </c>
      <c r="R32">
        <v>0.14</v>
      </c>
      <c r="S32">
        <v>2.32</v>
      </c>
      <c r="T32">
        <v>0.323275862068966</v>
      </c>
      <c r="U32">
        <v>0.157303370786517</v>
      </c>
      <c r="V32">
        <v>-0.75</v>
      </c>
    </row>
    <row r="33" ht="15.75" spans="1:22">
      <c r="A33" s="22" t="s">
        <v>103</v>
      </c>
      <c r="B33" s="117" t="s">
        <v>95</v>
      </c>
      <c r="C33" s="118">
        <v>0</v>
      </c>
      <c r="D33" s="118">
        <v>0.97</v>
      </c>
      <c r="E33" s="118">
        <v>0.1</v>
      </c>
      <c r="F33" s="118">
        <v>2.26</v>
      </c>
      <c r="G33" s="102"/>
      <c r="H33" s="102"/>
      <c r="I33" s="135"/>
      <c r="J33" s="136"/>
      <c r="K33" s="135"/>
      <c r="L33" s="137"/>
      <c r="P33">
        <v>0.97</v>
      </c>
      <c r="Q33">
        <v>0.87</v>
      </c>
      <c r="R33">
        <v>0.1</v>
      </c>
      <c r="S33">
        <v>2.26</v>
      </c>
      <c r="T33">
        <v>0.384955752212389</v>
      </c>
      <c r="U33">
        <v>0.103092783505155</v>
      </c>
      <c r="V33">
        <v>-0.87</v>
      </c>
    </row>
    <row r="34" ht="15.75" spans="1:22">
      <c r="A34" s="22" t="s">
        <v>103</v>
      </c>
      <c r="B34" s="117" t="s">
        <v>96</v>
      </c>
      <c r="C34" s="118">
        <v>0</v>
      </c>
      <c r="D34" s="118">
        <v>1.06</v>
      </c>
      <c r="E34" s="118">
        <v>0.1</v>
      </c>
      <c r="F34" s="118">
        <v>2.16</v>
      </c>
      <c r="G34" s="102"/>
      <c r="H34" s="102"/>
      <c r="I34" s="123"/>
      <c r="J34" s="126"/>
      <c r="K34" s="123"/>
      <c r="L34" s="127"/>
      <c r="P34">
        <v>1.06</v>
      </c>
      <c r="Q34">
        <v>0.96</v>
      </c>
      <c r="R34">
        <v>0.1</v>
      </c>
      <c r="S34">
        <v>2.16</v>
      </c>
      <c r="T34">
        <v>0.444444444444444</v>
      </c>
      <c r="U34">
        <v>0.0943396226415094</v>
      </c>
      <c r="V34">
        <v>-0.96</v>
      </c>
    </row>
    <row r="35" ht="15.75" spans="1:22">
      <c r="A35" s="22" t="s">
        <v>103</v>
      </c>
      <c r="B35" s="117" t="s">
        <v>97</v>
      </c>
      <c r="C35" s="118">
        <v>0</v>
      </c>
      <c r="D35" s="118">
        <v>1</v>
      </c>
      <c r="E35" s="118">
        <v>0.12</v>
      </c>
      <c r="F35" s="118">
        <v>2</v>
      </c>
      <c r="G35" s="102"/>
      <c r="H35" s="102"/>
      <c r="I35" s="132"/>
      <c r="J35" s="133"/>
      <c r="K35" s="132"/>
      <c r="L35" s="134"/>
      <c r="P35">
        <v>1</v>
      </c>
      <c r="Q35">
        <v>0.88</v>
      </c>
      <c r="R35">
        <v>0.12</v>
      </c>
      <c r="S35">
        <v>2</v>
      </c>
      <c r="T35">
        <v>0.44</v>
      </c>
      <c r="U35">
        <v>0.12</v>
      </c>
      <c r="V35">
        <v>-0.88</v>
      </c>
    </row>
    <row r="36" ht="15.75" spans="1:22">
      <c r="A36" s="22" t="s">
        <v>103</v>
      </c>
      <c r="B36" s="117" t="s">
        <v>98</v>
      </c>
      <c r="C36" s="118">
        <v>0</v>
      </c>
      <c r="D36" s="118">
        <v>0.96</v>
      </c>
      <c r="E36" s="118">
        <v>0.08</v>
      </c>
      <c r="F36" s="118">
        <v>1.8</v>
      </c>
      <c r="G36" s="102"/>
      <c r="H36" s="102"/>
      <c r="I36" s="123"/>
      <c r="J36" s="126"/>
      <c r="K36" s="123"/>
      <c r="L36" s="127"/>
      <c r="P36">
        <v>0.96</v>
      </c>
      <c r="Q36">
        <v>0.88</v>
      </c>
      <c r="R36">
        <v>0.08</v>
      </c>
      <c r="S36">
        <v>1.8</v>
      </c>
      <c r="T36">
        <v>0.488888888888889</v>
      </c>
      <c r="U36">
        <v>0.0833333333333333</v>
      </c>
      <c r="V36">
        <v>-0.88</v>
      </c>
    </row>
    <row r="37" ht="15.75" spans="1:22">
      <c r="A37" s="22" t="s">
        <v>103</v>
      </c>
      <c r="B37" s="117" t="s">
        <v>99</v>
      </c>
      <c r="C37" s="118">
        <v>0</v>
      </c>
      <c r="D37" s="118">
        <v>0.8</v>
      </c>
      <c r="E37" s="118">
        <v>0.15</v>
      </c>
      <c r="F37" s="118">
        <v>1.56</v>
      </c>
      <c r="G37" s="102"/>
      <c r="H37" s="102"/>
      <c r="I37" s="123"/>
      <c r="J37" s="126"/>
      <c r="K37" s="123"/>
      <c r="L37" s="127"/>
      <c r="P37">
        <v>0.8</v>
      </c>
      <c r="Q37">
        <v>0.65</v>
      </c>
      <c r="R37">
        <v>0.15</v>
      </c>
      <c r="S37">
        <v>1.56</v>
      </c>
      <c r="T37">
        <v>0.416666666666667</v>
      </c>
      <c r="U37">
        <v>0.1875</v>
      </c>
      <c r="V37">
        <v>-0.65</v>
      </c>
    </row>
    <row r="38" ht="15.75" spans="1:22">
      <c r="A38" s="22" t="s">
        <v>103</v>
      </c>
      <c r="B38" s="117" t="s">
        <v>100</v>
      </c>
      <c r="C38" s="118">
        <v>0</v>
      </c>
      <c r="D38" s="118">
        <v>0.62</v>
      </c>
      <c r="E38" s="118">
        <v>0.07</v>
      </c>
      <c r="F38" s="118">
        <v>1.31</v>
      </c>
      <c r="G38" s="102"/>
      <c r="H38" s="102"/>
      <c r="I38" s="123"/>
      <c r="J38" s="126"/>
      <c r="K38" s="123"/>
      <c r="L38" s="127"/>
      <c r="P38">
        <v>0.62</v>
      </c>
      <c r="Q38">
        <v>0.55</v>
      </c>
      <c r="R38">
        <v>0.07</v>
      </c>
      <c r="S38">
        <v>1.31</v>
      </c>
      <c r="T38">
        <v>0.419847328244275</v>
      </c>
      <c r="U38">
        <v>0.112903225806452</v>
      </c>
      <c r="V38">
        <v>-0.55</v>
      </c>
    </row>
    <row r="39" ht="15.75" spans="1:22">
      <c r="A39" s="22" t="s">
        <v>103</v>
      </c>
      <c r="B39" s="117" t="s">
        <v>101</v>
      </c>
      <c r="C39" s="118">
        <v>0</v>
      </c>
      <c r="D39" s="118">
        <v>0.42</v>
      </c>
      <c r="E39" s="118">
        <v>0.04</v>
      </c>
      <c r="F39" s="118">
        <v>1.07</v>
      </c>
      <c r="G39" s="102"/>
      <c r="H39" s="102"/>
      <c r="I39" s="135"/>
      <c r="J39" s="136"/>
      <c r="K39" s="135"/>
      <c r="L39" s="137"/>
      <c r="P39">
        <v>0.42</v>
      </c>
      <c r="Q39">
        <v>0.38</v>
      </c>
      <c r="R39">
        <v>0.04</v>
      </c>
      <c r="S39">
        <v>1.07</v>
      </c>
      <c r="T39">
        <v>0.355140186915888</v>
      </c>
      <c r="U39">
        <v>0.0952380952380952</v>
      </c>
      <c r="V39">
        <v>-0.38</v>
      </c>
    </row>
    <row r="40" ht="15.75" spans="1:22">
      <c r="A40" s="22" t="s">
        <v>103</v>
      </c>
      <c r="B40" s="117" t="s">
        <v>102</v>
      </c>
      <c r="C40" s="118">
        <v>0</v>
      </c>
      <c r="D40" s="118">
        <v>0.32</v>
      </c>
      <c r="E40" s="118">
        <v>0.01</v>
      </c>
      <c r="F40" s="118">
        <v>0.85</v>
      </c>
      <c r="G40" s="102"/>
      <c r="H40" s="102"/>
      <c r="I40" s="123"/>
      <c r="J40" s="126"/>
      <c r="K40" s="123"/>
      <c r="L40" s="127"/>
      <c r="P40">
        <v>0.32</v>
      </c>
      <c r="Q40">
        <v>0.31</v>
      </c>
      <c r="R40">
        <v>0.01</v>
      </c>
      <c r="S40">
        <v>0.85</v>
      </c>
      <c r="T40">
        <v>0.364705882352941</v>
      </c>
      <c r="U40">
        <v>0.03125</v>
      </c>
      <c r="V40">
        <v>-0.31</v>
      </c>
    </row>
    <row r="41" ht="15.75" spans="1:22">
      <c r="A41" s="77" t="s">
        <v>103</v>
      </c>
      <c r="B41" s="117" t="s">
        <v>104</v>
      </c>
      <c r="C41" s="118">
        <v>0</v>
      </c>
      <c r="D41" s="118">
        <v>0.18</v>
      </c>
      <c r="E41" s="118">
        <v>0.03</v>
      </c>
      <c r="F41" s="118">
        <v>0.66</v>
      </c>
      <c r="P41">
        <v>0.18</v>
      </c>
      <c r="Q41">
        <v>0.15</v>
      </c>
      <c r="R41">
        <v>0.03</v>
      </c>
      <c r="S41">
        <v>0.66</v>
      </c>
      <c r="T41">
        <v>0.227272727272727</v>
      </c>
      <c r="U41">
        <v>0.166666666666667</v>
      </c>
      <c r="V41">
        <v>-0.15</v>
      </c>
    </row>
    <row r="42" ht="15.75" spans="1:22">
      <c r="A42" s="77" t="s">
        <v>103</v>
      </c>
      <c r="B42" s="117" t="s">
        <v>105</v>
      </c>
      <c r="C42" s="118">
        <v>0</v>
      </c>
      <c r="D42" s="118">
        <v>0.15</v>
      </c>
      <c r="E42" s="118">
        <v>0.01</v>
      </c>
      <c r="F42" s="118">
        <v>0.5</v>
      </c>
      <c r="P42">
        <v>0.15</v>
      </c>
      <c r="Q42">
        <v>0.14</v>
      </c>
      <c r="R42">
        <v>0.01</v>
      </c>
      <c r="S42">
        <v>0.5</v>
      </c>
      <c r="T42">
        <v>0.28</v>
      </c>
      <c r="U42">
        <v>0.0666666666666667</v>
      </c>
      <c r="V42">
        <v>-0.14</v>
      </c>
    </row>
    <row r="43" ht="15.75" spans="1:22">
      <c r="A43" s="77" t="s">
        <v>103</v>
      </c>
      <c r="B43" s="117" t="s">
        <v>106</v>
      </c>
      <c r="C43" s="118">
        <v>0</v>
      </c>
      <c r="D43" s="118">
        <v>0.09</v>
      </c>
      <c r="E43" s="118">
        <v>0.01</v>
      </c>
      <c r="F43" s="121">
        <v>0.38</v>
      </c>
      <c r="P43">
        <v>0.09</v>
      </c>
      <c r="Q43">
        <v>0.08</v>
      </c>
      <c r="R43">
        <v>0.01</v>
      </c>
      <c r="S43">
        <v>0.38</v>
      </c>
      <c r="T43">
        <v>0.210526315789474</v>
      </c>
      <c r="U43">
        <v>0.111111111111111</v>
      </c>
      <c r="V43">
        <v>-0.08</v>
      </c>
    </row>
    <row r="44" ht="15.75" spans="1:22">
      <c r="A44" s="77" t="s">
        <v>103</v>
      </c>
      <c r="B44" s="117" t="s">
        <v>107</v>
      </c>
      <c r="C44" s="118">
        <v>0</v>
      </c>
      <c r="D44" s="118">
        <v>0.09</v>
      </c>
      <c r="E44" s="118">
        <v>0</v>
      </c>
      <c r="F44" s="118">
        <v>0.28</v>
      </c>
      <c r="P44">
        <v>0.09</v>
      </c>
      <c r="Q44">
        <v>0.09</v>
      </c>
      <c r="R44">
        <v>0</v>
      </c>
      <c r="S44">
        <v>0.28</v>
      </c>
      <c r="T44">
        <v>0.321428571428571</v>
      </c>
      <c r="U44">
        <v>0</v>
      </c>
      <c r="V44">
        <v>-0.09</v>
      </c>
    </row>
    <row r="45" ht="15.75" spans="1:22">
      <c r="A45" s="77" t="s">
        <v>103</v>
      </c>
      <c r="B45" s="117" t="s">
        <v>108</v>
      </c>
      <c r="C45" s="118">
        <v>0</v>
      </c>
      <c r="D45" s="118">
        <v>0.000999999999999945</v>
      </c>
      <c r="E45" s="118">
        <v>0</v>
      </c>
      <c r="F45" s="118">
        <v>0.108</v>
      </c>
      <c r="P45">
        <v>0.000999999999999945</v>
      </c>
      <c r="Q45">
        <v>0.000999999999999945</v>
      </c>
      <c r="R45">
        <v>0</v>
      </c>
      <c r="S45">
        <v>0.11</v>
      </c>
      <c r="T45">
        <v>0.00909090909090859</v>
      </c>
      <c r="U45">
        <v>0</v>
      </c>
      <c r="V45">
        <v>-0.000999999999999945</v>
      </c>
    </row>
    <row r="46" ht="15.75" spans="1:22">
      <c r="A46" s="77" t="s">
        <v>103</v>
      </c>
      <c r="B46" s="117" t="s">
        <v>109</v>
      </c>
      <c r="C46" s="118">
        <v>0</v>
      </c>
      <c r="D46" s="118">
        <v>-0.0540000000000001</v>
      </c>
      <c r="E46" s="118">
        <v>-0.004</v>
      </c>
      <c r="F46" s="118">
        <v>-0.0340000000000001</v>
      </c>
      <c r="P46">
        <v>-0.0540000000000001</v>
      </c>
      <c r="Q46">
        <v>-0.0500000000000001</v>
      </c>
      <c r="R46">
        <v>-0.004</v>
      </c>
      <c r="S46">
        <v>-0.03</v>
      </c>
      <c r="T46">
        <v>1.66666666666667</v>
      </c>
      <c r="U46">
        <v>0.0740740740740739</v>
      </c>
      <c r="V46">
        <v>0.0500000000000001</v>
      </c>
    </row>
    <row r="47" ht="15.75" spans="1:22">
      <c r="A47" s="77" t="s">
        <v>103</v>
      </c>
      <c r="B47" s="117" t="s">
        <v>110</v>
      </c>
      <c r="C47" s="118">
        <v>0</v>
      </c>
      <c r="D47" s="118">
        <v>-0.109</v>
      </c>
      <c r="E47" s="118">
        <v>-0.008</v>
      </c>
      <c r="F47" s="118">
        <v>-0.176</v>
      </c>
      <c r="P47">
        <v>-0.109</v>
      </c>
      <c r="Q47">
        <v>-0.101</v>
      </c>
      <c r="R47">
        <v>-0.008</v>
      </c>
      <c r="S47">
        <v>-0.18</v>
      </c>
      <c r="T47">
        <v>0.561111111111111</v>
      </c>
      <c r="U47">
        <v>0.073394495412844</v>
      </c>
      <c r="V47">
        <v>0.101</v>
      </c>
    </row>
    <row r="48" ht="15.75" spans="1:22">
      <c r="A48" s="77" t="s">
        <v>103</v>
      </c>
      <c r="B48" s="117" t="s">
        <v>111</v>
      </c>
      <c r="C48" s="118">
        <v>0</v>
      </c>
      <c r="D48" s="118">
        <v>-0.164</v>
      </c>
      <c r="E48" s="118">
        <v>-0.012</v>
      </c>
      <c r="F48" s="121">
        <v>-0.318</v>
      </c>
      <c r="P48">
        <v>-0.164</v>
      </c>
      <c r="Q48">
        <v>-0.152</v>
      </c>
      <c r="R48">
        <v>-0.012</v>
      </c>
      <c r="S48">
        <v>-0.32</v>
      </c>
      <c r="T48">
        <v>0.475</v>
      </c>
      <c r="U48">
        <v>0.0731707317073171</v>
      </c>
      <c r="V48">
        <v>0.152</v>
      </c>
    </row>
    <row r="49" ht="15.75" spans="1:22">
      <c r="A49" s="77" t="s">
        <v>112</v>
      </c>
      <c r="B49" s="117" t="s">
        <v>89</v>
      </c>
      <c r="C49" s="118">
        <v>0</v>
      </c>
      <c r="D49" s="118">
        <v>0.16</v>
      </c>
      <c r="E49" s="118">
        <v>0.01</v>
      </c>
      <c r="F49" s="118">
        <v>1.95</v>
      </c>
      <c r="P49">
        <v>0.16</v>
      </c>
      <c r="Q49">
        <v>0.15</v>
      </c>
      <c r="R49">
        <v>0.01</v>
      </c>
      <c r="S49">
        <v>1.95</v>
      </c>
      <c r="T49">
        <v>0.0769230769230769</v>
      </c>
      <c r="U49">
        <v>0.0625</v>
      </c>
      <c r="V49">
        <v>-0.15</v>
      </c>
    </row>
    <row r="50" ht="15.75" spans="1:22">
      <c r="A50" s="77" t="s">
        <v>112</v>
      </c>
      <c r="B50" s="117" t="s">
        <v>90</v>
      </c>
      <c r="C50" s="118">
        <v>0</v>
      </c>
      <c r="D50" s="118">
        <v>0.24</v>
      </c>
      <c r="E50" s="118">
        <v>0.02</v>
      </c>
      <c r="F50" s="118">
        <v>2.06</v>
      </c>
      <c r="P50">
        <v>0.24</v>
      </c>
      <c r="Q50">
        <v>0.22</v>
      </c>
      <c r="R50">
        <v>0.02</v>
      </c>
      <c r="S50">
        <v>2.06</v>
      </c>
      <c r="T50">
        <v>0.106796116504854</v>
      </c>
      <c r="U50">
        <v>0.0833333333333333</v>
      </c>
      <c r="V50">
        <v>-0.22</v>
      </c>
    </row>
    <row r="51" ht="15.75" spans="1:22">
      <c r="A51" s="77" t="s">
        <v>112</v>
      </c>
      <c r="B51" s="117" t="s">
        <v>91</v>
      </c>
      <c r="C51" s="118">
        <v>0</v>
      </c>
      <c r="D51" s="118">
        <v>0.66</v>
      </c>
      <c r="E51" s="118">
        <v>0.08</v>
      </c>
      <c r="F51" s="118">
        <v>2.19</v>
      </c>
      <c r="P51">
        <v>0.66</v>
      </c>
      <c r="Q51">
        <v>0.58</v>
      </c>
      <c r="R51">
        <v>0.08</v>
      </c>
      <c r="S51">
        <v>2.19</v>
      </c>
      <c r="T51">
        <v>0.264840182648402</v>
      </c>
      <c r="U51">
        <v>0.121212121212121</v>
      </c>
      <c r="V51">
        <v>-0.58</v>
      </c>
    </row>
    <row r="52" ht="15.75" spans="1:22">
      <c r="A52" s="77" t="s">
        <v>112</v>
      </c>
      <c r="B52" s="117" t="s">
        <v>92</v>
      </c>
      <c r="C52" s="118">
        <v>0</v>
      </c>
      <c r="D52" s="118">
        <v>0.81</v>
      </c>
      <c r="E52" s="118">
        <v>0.08</v>
      </c>
      <c r="F52" s="118">
        <v>2.27</v>
      </c>
      <c r="P52">
        <v>0.81</v>
      </c>
      <c r="Q52">
        <v>0.73</v>
      </c>
      <c r="R52">
        <v>0.08</v>
      </c>
      <c r="S52">
        <v>2.27</v>
      </c>
      <c r="T52">
        <v>0.3215859030837</v>
      </c>
      <c r="U52">
        <v>0.0987654320987654</v>
      </c>
      <c r="V52">
        <v>-0.73</v>
      </c>
    </row>
    <row r="53" ht="15.75" spans="1:22">
      <c r="A53" s="77" t="s">
        <v>112</v>
      </c>
      <c r="B53" s="117" t="s">
        <v>93</v>
      </c>
      <c r="C53" s="118">
        <v>0</v>
      </c>
      <c r="D53" s="118">
        <v>0.84</v>
      </c>
      <c r="E53" s="118">
        <v>0.15</v>
      </c>
      <c r="F53" s="118">
        <v>2.32</v>
      </c>
      <c r="P53">
        <v>0.84</v>
      </c>
      <c r="Q53">
        <v>0.69</v>
      </c>
      <c r="R53">
        <v>0.15</v>
      </c>
      <c r="S53">
        <v>2.32</v>
      </c>
      <c r="T53">
        <v>0.297413793103448</v>
      </c>
      <c r="U53">
        <v>0.178571428571429</v>
      </c>
      <c r="V53">
        <v>-0.69</v>
      </c>
    </row>
    <row r="54" ht="15.75" spans="1:22">
      <c r="A54" s="77" t="s">
        <v>112</v>
      </c>
      <c r="B54" s="117" t="s">
        <v>94</v>
      </c>
      <c r="C54" s="118">
        <v>0</v>
      </c>
      <c r="D54" s="118">
        <v>0.89</v>
      </c>
      <c r="E54" s="118">
        <v>0.14</v>
      </c>
      <c r="F54" s="118">
        <v>2.32</v>
      </c>
      <c r="P54">
        <v>0.89</v>
      </c>
      <c r="Q54">
        <v>0.75</v>
      </c>
      <c r="R54">
        <v>0.14</v>
      </c>
      <c r="S54">
        <v>2.32</v>
      </c>
      <c r="T54">
        <v>0.323275862068966</v>
      </c>
      <c r="U54">
        <v>0.157303370786517</v>
      </c>
      <c r="V54">
        <v>-0.75</v>
      </c>
    </row>
    <row r="55" ht="15.75" spans="1:22">
      <c r="A55" s="77" t="s">
        <v>112</v>
      </c>
      <c r="B55" s="117" t="s">
        <v>95</v>
      </c>
      <c r="C55" s="118">
        <v>0</v>
      </c>
      <c r="D55" s="118">
        <v>0.97</v>
      </c>
      <c r="E55" s="118">
        <v>0.1</v>
      </c>
      <c r="F55" s="118">
        <v>2.26</v>
      </c>
      <c r="P55">
        <v>0.97</v>
      </c>
      <c r="Q55">
        <v>0.87</v>
      </c>
      <c r="R55">
        <v>0.1</v>
      </c>
      <c r="S55">
        <v>2.26</v>
      </c>
      <c r="T55">
        <v>0.384955752212389</v>
      </c>
      <c r="U55">
        <v>0.103092783505155</v>
      </c>
      <c r="V55">
        <v>-0.87</v>
      </c>
    </row>
    <row r="56" ht="15.75" spans="1:22">
      <c r="A56" s="77" t="s">
        <v>112</v>
      </c>
      <c r="B56" s="117" t="s">
        <v>96</v>
      </c>
      <c r="C56" s="118">
        <v>0</v>
      </c>
      <c r="D56" s="118">
        <v>1.06</v>
      </c>
      <c r="E56" s="118">
        <v>0.1</v>
      </c>
      <c r="F56" s="118">
        <v>2.16</v>
      </c>
      <c r="P56">
        <v>1.06</v>
      </c>
      <c r="Q56">
        <v>0.96</v>
      </c>
      <c r="R56">
        <v>0.1</v>
      </c>
      <c r="S56">
        <v>2.16</v>
      </c>
      <c r="T56">
        <v>0.444444444444444</v>
      </c>
      <c r="U56">
        <v>0.0943396226415094</v>
      </c>
      <c r="V56">
        <v>-0.96</v>
      </c>
    </row>
    <row r="57" ht="15.75" spans="1:22">
      <c r="A57" s="77" t="s">
        <v>112</v>
      </c>
      <c r="B57" s="117" t="s">
        <v>97</v>
      </c>
      <c r="C57" s="118">
        <v>0</v>
      </c>
      <c r="D57" s="118">
        <v>1</v>
      </c>
      <c r="E57" s="118">
        <v>0.12</v>
      </c>
      <c r="F57" s="118">
        <v>2</v>
      </c>
      <c r="P57">
        <v>1</v>
      </c>
      <c r="Q57">
        <v>0.88</v>
      </c>
      <c r="R57">
        <v>0.12</v>
      </c>
      <c r="S57">
        <v>2</v>
      </c>
      <c r="T57">
        <v>0.44</v>
      </c>
      <c r="U57">
        <v>0.12</v>
      </c>
      <c r="V57">
        <v>-0.88</v>
      </c>
    </row>
    <row r="58" ht="15.75" spans="1:22">
      <c r="A58" s="77" t="s">
        <v>112</v>
      </c>
      <c r="B58" s="117" t="s">
        <v>98</v>
      </c>
      <c r="C58" s="118">
        <v>0</v>
      </c>
      <c r="D58" s="118">
        <v>0.96</v>
      </c>
      <c r="E58" s="118">
        <v>0.08</v>
      </c>
      <c r="F58" s="118">
        <v>1.8</v>
      </c>
      <c r="P58">
        <v>0.96</v>
      </c>
      <c r="Q58">
        <v>0.88</v>
      </c>
      <c r="R58">
        <v>0.08</v>
      </c>
      <c r="S58">
        <v>1.8</v>
      </c>
      <c r="T58">
        <v>0.488888888888889</v>
      </c>
      <c r="U58">
        <v>0.0833333333333333</v>
      </c>
      <c r="V58">
        <v>-0.88</v>
      </c>
    </row>
    <row r="59" ht="15.75" spans="1:22">
      <c r="A59" s="77" t="s">
        <v>112</v>
      </c>
      <c r="B59" s="117" t="s">
        <v>99</v>
      </c>
      <c r="C59" s="118">
        <v>0</v>
      </c>
      <c r="D59" s="118">
        <v>0.8</v>
      </c>
      <c r="E59" s="118">
        <v>0.15</v>
      </c>
      <c r="F59" s="118">
        <v>1.56</v>
      </c>
      <c r="P59">
        <v>0.8</v>
      </c>
      <c r="Q59">
        <v>0.65</v>
      </c>
      <c r="R59">
        <v>0.15</v>
      </c>
      <c r="S59">
        <v>1.56</v>
      </c>
      <c r="T59">
        <v>0.416666666666667</v>
      </c>
      <c r="U59">
        <v>0.1875</v>
      </c>
      <c r="V59">
        <v>-0.65</v>
      </c>
    </row>
    <row r="60" ht="15.75" spans="1:22">
      <c r="A60" s="77" t="s">
        <v>112</v>
      </c>
      <c r="B60" s="117" t="s">
        <v>100</v>
      </c>
      <c r="C60" s="118">
        <v>0</v>
      </c>
      <c r="D60" s="118">
        <v>0.62</v>
      </c>
      <c r="E60" s="118">
        <v>0.07</v>
      </c>
      <c r="F60" s="118">
        <v>1.31</v>
      </c>
      <c r="P60">
        <v>0.62</v>
      </c>
      <c r="Q60">
        <v>0.55</v>
      </c>
      <c r="R60">
        <v>0.07</v>
      </c>
      <c r="S60">
        <v>1.31</v>
      </c>
      <c r="T60">
        <v>0.419847328244275</v>
      </c>
      <c r="U60">
        <v>0.112903225806452</v>
      </c>
      <c r="V60">
        <v>-0.55</v>
      </c>
    </row>
    <row r="61" ht="15.75" spans="1:22">
      <c r="A61" s="77" t="s">
        <v>112</v>
      </c>
      <c r="B61" s="117" t="s">
        <v>101</v>
      </c>
      <c r="C61" s="118">
        <v>0</v>
      </c>
      <c r="D61" s="118">
        <v>0.42</v>
      </c>
      <c r="E61" s="118">
        <v>0.04</v>
      </c>
      <c r="F61" s="118">
        <v>1.07</v>
      </c>
      <c r="P61">
        <v>0.42</v>
      </c>
      <c r="Q61">
        <v>0.38</v>
      </c>
      <c r="R61">
        <v>0.04</v>
      </c>
      <c r="S61">
        <v>1.07</v>
      </c>
      <c r="T61">
        <v>0.355140186915888</v>
      </c>
      <c r="U61">
        <v>0.0952380952380952</v>
      </c>
      <c r="V61">
        <v>-0.38</v>
      </c>
    </row>
    <row r="62" ht="15.75" spans="1:22">
      <c r="A62" s="77" t="s">
        <v>112</v>
      </c>
      <c r="B62" s="117" t="s">
        <v>102</v>
      </c>
      <c r="C62" s="118">
        <v>0</v>
      </c>
      <c r="D62" s="118">
        <v>0.32</v>
      </c>
      <c r="E62" s="118">
        <v>0.01</v>
      </c>
      <c r="F62" s="118">
        <v>0.85</v>
      </c>
      <c r="P62">
        <v>0.32</v>
      </c>
      <c r="Q62">
        <v>0.31</v>
      </c>
      <c r="R62">
        <v>0.01</v>
      </c>
      <c r="S62">
        <v>0.85</v>
      </c>
      <c r="T62">
        <v>0.364705882352941</v>
      </c>
      <c r="U62">
        <v>0.03125</v>
      </c>
      <c r="V62">
        <v>-0.31</v>
      </c>
    </row>
    <row r="63" ht="15.75" spans="1:22">
      <c r="A63" s="77" t="s">
        <v>112</v>
      </c>
      <c r="B63" s="117" t="s">
        <v>104</v>
      </c>
      <c r="C63" s="118">
        <v>0</v>
      </c>
      <c r="D63" s="118">
        <v>0.18</v>
      </c>
      <c r="E63" s="118">
        <v>0.03</v>
      </c>
      <c r="F63" s="118">
        <v>0.66</v>
      </c>
      <c r="P63">
        <v>0.18</v>
      </c>
      <c r="Q63">
        <v>0.15</v>
      </c>
      <c r="R63">
        <v>0.03</v>
      </c>
      <c r="S63">
        <v>0.66</v>
      </c>
      <c r="T63">
        <v>0.227272727272727</v>
      </c>
      <c r="U63">
        <v>0.166666666666667</v>
      </c>
      <c r="V63">
        <v>-0.15</v>
      </c>
    </row>
    <row r="64" ht="15.75" spans="1:22">
      <c r="A64" s="77" t="s">
        <v>112</v>
      </c>
      <c r="B64" s="117" t="s">
        <v>105</v>
      </c>
      <c r="C64" s="118">
        <v>0</v>
      </c>
      <c r="D64" s="118">
        <v>0.15</v>
      </c>
      <c r="E64" s="118">
        <v>0.01</v>
      </c>
      <c r="F64" s="118">
        <v>0.5</v>
      </c>
      <c r="P64">
        <v>0.15</v>
      </c>
      <c r="Q64">
        <v>0.14</v>
      </c>
      <c r="R64">
        <v>0.01</v>
      </c>
      <c r="S64">
        <v>0.5</v>
      </c>
      <c r="T64">
        <v>0.28</v>
      </c>
      <c r="U64">
        <v>0.0666666666666667</v>
      </c>
      <c r="V64">
        <v>-0.14</v>
      </c>
    </row>
    <row r="65" ht="15.75" spans="1:22">
      <c r="A65" s="77" t="s">
        <v>112</v>
      </c>
      <c r="B65" s="117" t="s">
        <v>106</v>
      </c>
      <c r="C65" s="118">
        <v>0</v>
      </c>
      <c r="D65" s="118">
        <v>0.09</v>
      </c>
      <c r="E65" s="118">
        <v>0.01</v>
      </c>
      <c r="F65" s="121">
        <v>0.38</v>
      </c>
      <c r="P65">
        <v>0.09</v>
      </c>
      <c r="Q65">
        <v>0.08</v>
      </c>
      <c r="R65">
        <v>0.01</v>
      </c>
      <c r="S65">
        <v>0.38</v>
      </c>
      <c r="T65">
        <v>0.210526315789474</v>
      </c>
      <c r="U65">
        <v>0.111111111111111</v>
      </c>
      <c r="V65">
        <v>-0.08</v>
      </c>
    </row>
    <row r="66" ht="15.75" spans="1:22">
      <c r="A66" s="77" t="s">
        <v>112</v>
      </c>
      <c r="B66" s="117" t="s">
        <v>107</v>
      </c>
      <c r="C66" s="118">
        <v>0</v>
      </c>
      <c r="D66" s="118">
        <v>0.09</v>
      </c>
      <c r="E66" s="118">
        <v>0</v>
      </c>
      <c r="F66" s="118">
        <v>0.28</v>
      </c>
      <c r="P66">
        <v>0.09</v>
      </c>
      <c r="Q66">
        <v>0.09</v>
      </c>
      <c r="R66">
        <v>0</v>
      </c>
      <c r="S66">
        <v>0.28</v>
      </c>
      <c r="T66">
        <v>0.321428571428571</v>
      </c>
      <c r="U66">
        <v>0</v>
      </c>
      <c r="V66">
        <v>-0.09</v>
      </c>
    </row>
    <row r="67" ht="15.75" spans="1:22">
      <c r="A67" s="77" t="s">
        <v>112</v>
      </c>
      <c r="B67" s="117" t="s">
        <v>108</v>
      </c>
      <c r="C67" s="118">
        <v>0</v>
      </c>
      <c r="D67" s="118">
        <v>0.000999999999999945</v>
      </c>
      <c r="E67" s="118">
        <v>0</v>
      </c>
      <c r="F67" s="118">
        <v>0.108</v>
      </c>
      <c r="P67">
        <v>0.000999999999999945</v>
      </c>
      <c r="Q67">
        <v>0.000999999999999945</v>
      </c>
      <c r="R67">
        <v>0</v>
      </c>
      <c r="S67">
        <v>0.11</v>
      </c>
      <c r="T67">
        <v>0.00909090909090859</v>
      </c>
      <c r="U67">
        <v>0</v>
      </c>
      <c r="V67">
        <v>-0.000999999999999945</v>
      </c>
    </row>
    <row r="68" ht="15.75" spans="1:22">
      <c r="A68" s="77" t="s">
        <v>112</v>
      </c>
      <c r="B68" s="117" t="s">
        <v>109</v>
      </c>
      <c r="C68" s="118">
        <v>0</v>
      </c>
      <c r="D68" s="118">
        <v>-0.0540000000000001</v>
      </c>
      <c r="E68" s="118">
        <v>-0.004</v>
      </c>
      <c r="F68" s="118">
        <v>-0.0340000000000001</v>
      </c>
      <c r="P68">
        <v>-0.0540000000000001</v>
      </c>
      <c r="Q68">
        <v>-0.0500000000000001</v>
      </c>
      <c r="R68">
        <v>-0.004</v>
      </c>
      <c r="S68">
        <v>-0.03</v>
      </c>
      <c r="T68">
        <v>1.66666666666667</v>
      </c>
      <c r="U68">
        <v>0.0740740740740739</v>
      </c>
      <c r="V68">
        <v>0.0500000000000001</v>
      </c>
    </row>
    <row r="69" ht="15.75" spans="1:22">
      <c r="A69" s="77" t="s">
        <v>112</v>
      </c>
      <c r="B69" s="117" t="s">
        <v>110</v>
      </c>
      <c r="C69" s="118">
        <v>0</v>
      </c>
      <c r="D69" s="118">
        <v>-0.109</v>
      </c>
      <c r="E69" s="118">
        <v>-0.008</v>
      </c>
      <c r="F69" s="118">
        <v>-0.176</v>
      </c>
      <c r="P69">
        <v>-0.109</v>
      </c>
      <c r="Q69">
        <v>-0.101</v>
      </c>
      <c r="R69">
        <v>-0.008</v>
      </c>
      <c r="S69">
        <v>-0.18</v>
      </c>
      <c r="T69">
        <v>0.561111111111111</v>
      </c>
      <c r="U69">
        <v>0.073394495412844</v>
      </c>
      <c r="V69">
        <v>0.101</v>
      </c>
    </row>
    <row r="70" ht="15.75" spans="1:22">
      <c r="A70" s="77" t="s">
        <v>112</v>
      </c>
      <c r="B70" s="117" t="s">
        <v>111</v>
      </c>
      <c r="C70" s="118">
        <v>0</v>
      </c>
      <c r="D70" s="118">
        <v>-0.164</v>
      </c>
      <c r="E70" s="118">
        <v>-0.012</v>
      </c>
      <c r="F70" s="121">
        <v>-0.318</v>
      </c>
      <c r="P70">
        <v>-0.164</v>
      </c>
      <c r="Q70">
        <v>-0.152</v>
      </c>
      <c r="R70">
        <v>-0.012</v>
      </c>
      <c r="S70">
        <v>-0.32</v>
      </c>
      <c r="T70">
        <v>0.475</v>
      </c>
      <c r="U70">
        <v>0.0731707317073171</v>
      </c>
      <c r="V70">
        <v>0.152</v>
      </c>
    </row>
    <row r="71" ht="15.75" spans="1:22">
      <c r="A71" s="77" t="s">
        <v>112</v>
      </c>
      <c r="B71" s="117" t="s">
        <v>113</v>
      </c>
      <c r="C71" s="118">
        <v>0</v>
      </c>
      <c r="D71" s="118">
        <v>-0.219</v>
      </c>
      <c r="E71" s="118">
        <v>-0.016</v>
      </c>
      <c r="F71" s="118">
        <v>-0.46</v>
      </c>
      <c r="P71">
        <v>-0.219</v>
      </c>
      <c r="Q71">
        <v>-0.203</v>
      </c>
      <c r="R71">
        <v>-0.016</v>
      </c>
      <c r="S71">
        <v>-0.46</v>
      </c>
      <c r="T71">
        <v>0.441304347826087</v>
      </c>
      <c r="U71">
        <v>0.0730593607305936</v>
      </c>
      <c r="V71">
        <v>0.203</v>
      </c>
    </row>
    <row r="72" ht="15.75" spans="1:22">
      <c r="A72" s="77" t="s">
        <v>112</v>
      </c>
      <c r="B72" s="117" t="s">
        <v>114</v>
      </c>
      <c r="C72" s="118">
        <v>0</v>
      </c>
      <c r="D72" s="118">
        <v>-0.274</v>
      </c>
      <c r="E72" s="118">
        <v>-0.02</v>
      </c>
      <c r="F72" s="118">
        <v>-0.602</v>
      </c>
      <c r="P72">
        <v>-0.274</v>
      </c>
      <c r="Q72">
        <v>-0.254</v>
      </c>
      <c r="R72">
        <v>-0.02</v>
      </c>
      <c r="S72">
        <v>-0.6</v>
      </c>
      <c r="T72">
        <v>0.423333333333333</v>
      </c>
      <c r="U72">
        <v>0.072992700729927</v>
      </c>
      <c r="V72">
        <v>0.254</v>
      </c>
    </row>
    <row r="73" ht="15.75" spans="1:22">
      <c r="A73" s="77" t="s">
        <v>112</v>
      </c>
      <c r="B73" s="117" t="s">
        <v>115</v>
      </c>
      <c r="C73" s="118">
        <v>0</v>
      </c>
      <c r="D73" s="118">
        <v>-0.329</v>
      </c>
      <c r="E73" s="118">
        <v>-0.024</v>
      </c>
      <c r="F73" s="121">
        <v>-0.744</v>
      </c>
      <c r="P73">
        <v>-0.329</v>
      </c>
      <c r="Q73">
        <v>-0.305</v>
      </c>
      <c r="R73">
        <v>-0.024</v>
      </c>
      <c r="S73">
        <v>-0.74</v>
      </c>
      <c r="T73">
        <v>0.412162162162162</v>
      </c>
      <c r="U73">
        <v>0.0729483282674772</v>
      </c>
      <c r="V73">
        <v>0.305</v>
      </c>
    </row>
  </sheetData>
  <mergeCells count="15">
    <mergeCell ref="N10:U10"/>
    <mergeCell ref="P11:R11"/>
    <mergeCell ref="A11:A12"/>
    <mergeCell ref="B11:B12"/>
    <mergeCell ref="C11:C12"/>
    <mergeCell ref="D11:D12"/>
    <mergeCell ref="E11:E12"/>
    <mergeCell ref="F11:F12"/>
    <mergeCell ref="M11:M12"/>
    <mergeCell ref="N11:N12"/>
    <mergeCell ref="O11:O12"/>
    <mergeCell ref="S11:S12"/>
    <mergeCell ref="T11:T12"/>
    <mergeCell ref="U11:U12"/>
    <mergeCell ref="V11:V12"/>
  </mergeCells>
  <pageMargins left="0.699305555555556" right="0.699305555555556" top="0.75" bottom="0.75" header="0.3" footer="0.3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name="Button 1" r:id="rId3">
              <controlPr defaultSize="0">
                <anchor moveWithCells="1">
                  <from>
                    <xdr:col>7</xdr:col>
                    <xdr:colOff>638175</xdr:colOff>
                    <xdr:row>7</xdr:row>
                    <xdr:rowOff>66040</xdr:rowOff>
                  </from>
                  <to>
                    <xdr:col>9</xdr:col>
                    <xdr:colOff>247650</xdr:colOff>
                    <xdr:row>9</xdr:row>
                    <xdr:rowOff>18415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name="Button 2" r:id="rId4">
              <controlPr defaultSize="0">
                <anchor moveWithCells="1">
                  <from>
                    <xdr:col>9</xdr:col>
                    <xdr:colOff>657225</xdr:colOff>
                    <xdr:row>4</xdr:row>
                    <xdr:rowOff>151765</xdr:rowOff>
                  </from>
                  <to>
                    <xdr:col>11</xdr:col>
                    <xdr:colOff>247650</xdr:colOff>
                    <xdr:row>6</xdr:row>
                    <xdr:rowOff>94615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name="Button 3" r:id="rId5">
              <controlPr defaultSize="0">
                <anchor moveWithCells="1" sizeWithCells="1">
                  <from>
                    <xdr:col>9</xdr:col>
                    <xdr:colOff>666750</xdr:colOff>
                    <xdr:row>7</xdr:row>
                    <xdr:rowOff>75565</xdr:rowOff>
                  </from>
                  <to>
                    <xdr:col>11</xdr:col>
                    <xdr:colOff>266700</xdr:colOff>
                    <xdr:row>9</xdr:row>
                    <xdr:rowOff>8890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name="Button 4" r:id="rId6">
              <controlPr defaultSize="0">
                <anchor moveWithCells="1">
                  <from>
                    <xdr:col>7</xdr:col>
                    <xdr:colOff>638175</xdr:colOff>
                    <xdr:row>10</xdr:row>
                    <xdr:rowOff>27940</xdr:rowOff>
                  </from>
                  <to>
                    <xdr:col>9</xdr:col>
                    <xdr:colOff>647700</xdr:colOff>
                    <xdr:row>11</xdr:row>
                    <xdr:rowOff>142240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name="Button 5" r:id="rId7">
              <controlPr defaultSize="0">
                <anchor moveWithCells="1" sizeWithCells="1">
                  <from>
                    <xdr:col>7</xdr:col>
                    <xdr:colOff>619125</xdr:colOff>
                    <xdr:row>4</xdr:row>
                    <xdr:rowOff>161290</xdr:rowOff>
                  </from>
                  <to>
                    <xdr:col>9</xdr:col>
                    <xdr:colOff>400050</xdr:colOff>
                    <xdr:row>6</xdr:row>
                    <xdr:rowOff>94615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name="Group Box 6" r:id="rId8">
              <controlPr defaultSize="0">
                <anchor moveWithCells="1">
                  <from>
                    <xdr:col>7</xdr:col>
                    <xdr:colOff>428625</xdr:colOff>
                    <xdr:row>3</xdr:row>
                    <xdr:rowOff>142240</xdr:rowOff>
                  </from>
                  <to>
                    <xdr:col>11</xdr:col>
                    <xdr:colOff>533400</xdr:colOff>
                    <xdr:row>15</xdr:row>
                    <xdr:rowOff>18415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AL75"/>
  <sheetViews>
    <sheetView topLeftCell="G1" workbookViewId="0">
      <selection activeCell="A15" sqref="A15:K75"/>
    </sheetView>
  </sheetViews>
  <sheetFormatPr defaultColWidth="9" defaultRowHeight="13.5"/>
  <cols>
    <col min="1" max="1" width="13.25" customWidth="1"/>
    <col min="2" max="2" width="9.125" customWidth="1"/>
    <col min="5" max="5" width="12" customWidth="1"/>
  </cols>
  <sheetData>
    <row r="1" spans="1:2">
      <c r="A1" s="1" t="s">
        <v>116</v>
      </c>
      <c r="B1">
        <v>3</v>
      </c>
    </row>
    <row r="2" spans="1:19">
      <c r="A2" s="1" t="s">
        <v>51</v>
      </c>
      <c r="B2">
        <v>14</v>
      </c>
      <c r="C2" s="1" t="s">
        <v>52</v>
      </c>
      <c r="D2">
        <v>22</v>
      </c>
      <c r="E2" s="1" t="s">
        <v>53</v>
      </c>
      <c r="F2">
        <v>25</v>
      </c>
      <c r="G2" s="1" t="s">
        <v>54</v>
      </c>
      <c r="I2" s="1" t="s">
        <v>55</v>
      </c>
      <c r="K2" s="1" t="s">
        <v>56</v>
      </c>
      <c r="M2" s="1" t="s">
        <v>57</v>
      </c>
      <c r="O2" s="1" t="s">
        <v>58</v>
      </c>
      <c r="Q2" s="1" t="s">
        <v>59</v>
      </c>
      <c r="S2" s="1" t="s">
        <v>60</v>
      </c>
    </row>
    <row r="3" spans="1:38">
      <c r="A3" t="s">
        <v>62</v>
      </c>
      <c r="B3">
        <v>1</v>
      </c>
      <c r="C3" t="s">
        <v>62</v>
      </c>
      <c r="D3">
        <v>1</v>
      </c>
      <c r="E3" t="s">
        <v>62</v>
      </c>
      <c r="F3">
        <v>2</v>
      </c>
      <c r="G3" t="s">
        <v>62</v>
      </c>
      <c r="I3" t="s">
        <v>62</v>
      </c>
      <c r="K3" t="s">
        <v>62</v>
      </c>
      <c r="M3" t="s">
        <v>62</v>
      </c>
      <c r="O3" t="s">
        <v>62</v>
      </c>
      <c r="Q3" t="s">
        <v>62</v>
      </c>
      <c r="S3" t="s">
        <v>62</v>
      </c>
      <c r="AH3" s="77"/>
      <c r="AI3" s="77"/>
      <c r="AJ3" s="77" t="s">
        <v>61</v>
      </c>
      <c r="AK3" s="77"/>
      <c r="AL3" s="77"/>
    </row>
    <row r="4" spans="1:38">
      <c r="A4" s="1" t="s">
        <v>117</v>
      </c>
      <c r="B4" s="1" t="s">
        <v>118</v>
      </c>
      <c r="D4" s="1" t="s">
        <v>119</v>
      </c>
      <c r="F4" s="1"/>
      <c r="AH4" s="77" t="s">
        <v>63</v>
      </c>
      <c r="AI4" s="77"/>
      <c r="AJ4" s="77"/>
      <c r="AK4" s="77"/>
      <c r="AL4" s="77"/>
    </row>
    <row r="5" spans="1:38">
      <c r="A5" s="1" t="s">
        <v>120</v>
      </c>
      <c r="B5">
        <v>48</v>
      </c>
      <c r="D5">
        <v>48</v>
      </c>
      <c r="F5">
        <v>48</v>
      </c>
      <c r="H5" s="1" t="s">
        <v>121</v>
      </c>
      <c r="AH5" t="s">
        <v>122</v>
      </c>
      <c r="AL5" s="116"/>
    </row>
    <row r="6" spans="1:23">
      <c r="A6" t="s">
        <v>69</v>
      </c>
      <c r="B6">
        <v>0.21</v>
      </c>
      <c r="D6">
        <v>0.19</v>
      </c>
      <c r="F6">
        <v>0.19</v>
      </c>
      <c r="J6" s="39"/>
      <c r="S6" s="39"/>
      <c r="W6" s="39"/>
    </row>
    <row r="7" spans="1:23">
      <c r="A7" t="s">
        <v>70</v>
      </c>
      <c r="B7" s="2">
        <v>0.48</v>
      </c>
      <c r="D7" s="2">
        <v>0.48</v>
      </c>
      <c r="F7">
        <v>0.48</v>
      </c>
      <c r="J7" s="39"/>
      <c r="S7" s="39"/>
      <c r="W7" s="39"/>
    </row>
    <row r="8" spans="1:6">
      <c r="A8" s="1" t="s">
        <v>123</v>
      </c>
      <c r="B8" s="2">
        <v>0</v>
      </c>
      <c r="D8" s="2">
        <v>0</v>
      </c>
      <c r="F8" s="2">
        <v>0</v>
      </c>
    </row>
    <row r="9" spans="1:17">
      <c r="A9" s="1" t="s">
        <v>124</v>
      </c>
      <c r="B9" s="2">
        <v>0.1778</v>
      </c>
      <c r="D9" s="2">
        <v>0.1778</v>
      </c>
      <c r="F9" s="2">
        <v>0.1778</v>
      </c>
      <c r="Q9" s="39" t="s">
        <v>125</v>
      </c>
    </row>
    <row r="10" spans="2:17">
      <c r="B10" s="2"/>
      <c r="D10" s="2"/>
      <c r="Q10" s="39" t="s">
        <v>126</v>
      </c>
    </row>
    <row r="11" spans="1:32">
      <c r="A11" s="33" t="s">
        <v>127</v>
      </c>
      <c r="B11" s="33"/>
      <c r="C11" s="33"/>
      <c r="D11" s="33"/>
      <c r="E11" s="33"/>
      <c r="F11" s="33"/>
      <c r="G11" s="33"/>
      <c r="H11" s="33"/>
      <c r="I11" s="87" t="s">
        <v>128</v>
      </c>
      <c r="J11" s="77"/>
      <c r="K11" s="77"/>
      <c r="L11" s="88"/>
      <c r="M11" s="88"/>
      <c r="N11" s="40" t="s">
        <v>129</v>
      </c>
      <c r="O11" s="88"/>
      <c r="P11" s="88"/>
      <c r="Q11" s="88"/>
      <c r="R11" s="88"/>
      <c r="S11" s="88"/>
      <c r="T11" s="100"/>
      <c r="U11" s="100"/>
      <c r="Y11" s="40" t="s">
        <v>73</v>
      </c>
      <c r="Z11" s="40"/>
      <c r="AA11" s="40"/>
      <c r="AB11" s="40"/>
      <c r="AC11" s="40"/>
      <c r="AD11" s="40"/>
      <c r="AE11" s="40"/>
      <c r="AF11" s="40"/>
    </row>
    <row r="12" spans="1:32">
      <c r="A12" s="34"/>
      <c r="B12" s="34"/>
      <c r="C12" s="34"/>
      <c r="D12" s="34"/>
      <c r="E12" s="34"/>
      <c r="F12" s="34"/>
      <c r="G12" s="34"/>
      <c r="H12" s="34"/>
      <c r="I12" s="34"/>
      <c r="J12" s="77"/>
      <c r="K12" s="77"/>
      <c r="L12" s="89"/>
      <c r="M12" s="89"/>
      <c r="N12" s="89"/>
      <c r="O12" s="89"/>
      <c r="P12" s="89"/>
      <c r="Q12" s="89"/>
      <c r="R12" s="89"/>
      <c r="S12" s="89"/>
      <c r="T12" s="101"/>
      <c r="U12" s="101"/>
      <c r="Y12" s="34"/>
      <c r="Z12" s="34"/>
      <c r="AA12" s="34"/>
      <c r="AB12" s="34"/>
      <c r="AC12" s="34"/>
      <c r="AD12" s="34"/>
      <c r="AE12" s="34"/>
      <c r="AF12" s="34"/>
    </row>
    <row r="13" ht="14.25" spans="1:32">
      <c r="A13" s="4" t="s">
        <v>74</v>
      </c>
      <c r="B13" s="4" t="s">
        <v>75</v>
      </c>
      <c r="C13" s="4" t="s">
        <v>130</v>
      </c>
      <c r="D13" s="4"/>
      <c r="E13" s="4" t="s">
        <v>131</v>
      </c>
      <c r="F13" s="4"/>
      <c r="G13" s="4" t="s">
        <v>132</v>
      </c>
      <c r="H13" s="4"/>
      <c r="I13" s="4" t="s">
        <v>133</v>
      </c>
      <c r="J13" s="4" t="s">
        <v>134</v>
      </c>
      <c r="K13" s="4" t="s">
        <v>135</v>
      </c>
      <c r="L13" s="4"/>
      <c r="M13" s="4"/>
      <c r="N13" s="41" t="s">
        <v>131</v>
      </c>
      <c r="O13" s="41"/>
      <c r="P13" s="41"/>
      <c r="Q13" s="48" t="s">
        <v>132</v>
      </c>
      <c r="R13" s="49"/>
      <c r="S13" s="50"/>
      <c r="T13" s="41"/>
      <c r="U13" s="41"/>
      <c r="Y13" s="6" t="s">
        <v>136</v>
      </c>
      <c r="Z13" s="6" t="s">
        <v>75</v>
      </c>
      <c r="AA13" s="4" t="s">
        <v>137</v>
      </c>
      <c r="AB13" s="4"/>
      <c r="AC13" s="4"/>
      <c r="AD13" s="4" t="s">
        <v>134</v>
      </c>
      <c r="AE13" s="4" t="s">
        <v>82</v>
      </c>
      <c r="AF13" s="6" t="s">
        <v>138</v>
      </c>
    </row>
    <row r="14" ht="14.25" spans="1:32">
      <c r="A14" s="4"/>
      <c r="B14" s="4"/>
      <c r="C14" s="4" t="s">
        <v>139</v>
      </c>
      <c r="D14" s="4" t="s">
        <v>140</v>
      </c>
      <c r="E14" s="4" t="s">
        <v>139</v>
      </c>
      <c r="F14" s="4" t="s">
        <v>141</v>
      </c>
      <c r="G14" s="4" t="s">
        <v>139</v>
      </c>
      <c r="H14" s="4" t="s">
        <v>141</v>
      </c>
      <c r="I14" s="4"/>
      <c r="J14" s="4"/>
      <c r="K14" s="4"/>
      <c r="L14" s="4"/>
      <c r="M14" s="4"/>
      <c r="N14" s="41" t="s">
        <v>142</v>
      </c>
      <c r="O14" s="41" t="s">
        <v>143</v>
      </c>
      <c r="P14" s="41" t="s">
        <v>144</v>
      </c>
      <c r="Q14" s="41" t="s">
        <v>142</v>
      </c>
      <c r="R14" s="41" t="s">
        <v>143</v>
      </c>
      <c r="S14" s="41" t="s">
        <v>145</v>
      </c>
      <c r="T14" s="4"/>
      <c r="U14" s="4"/>
      <c r="Y14" s="58"/>
      <c r="Z14" s="58"/>
      <c r="AA14" s="4" t="s">
        <v>146</v>
      </c>
      <c r="AB14" s="4" t="s">
        <v>147</v>
      </c>
      <c r="AC14" s="4" t="s">
        <v>145</v>
      </c>
      <c r="AD14" s="4"/>
      <c r="AE14" s="4"/>
      <c r="AF14" s="58"/>
    </row>
    <row r="15" spans="1:32">
      <c r="A15" s="77" t="s">
        <v>88</v>
      </c>
      <c r="B15" s="86" t="s">
        <v>148</v>
      </c>
      <c r="C15" s="77">
        <v>741.6</v>
      </c>
      <c r="D15" s="77">
        <v>7.3</v>
      </c>
      <c r="E15" s="77">
        <v>746.4</v>
      </c>
      <c r="F15" s="77">
        <v>7.2</v>
      </c>
      <c r="G15" s="77">
        <v>742.4</v>
      </c>
      <c r="H15" s="77">
        <v>7.1</v>
      </c>
      <c r="I15" s="77">
        <v>70</v>
      </c>
      <c r="J15" s="77">
        <v>70</v>
      </c>
      <c r="K15" s="77"/>
      <c r="L15" s="90"/>
      <c r="M15" s="90"/>
      <c r="N15" s="91">
        <v>4.79999999999995</v>
      </c>
      <c r="O15" s="91">
        <v>-0.0999999999999996</v>
      </c>
      <c r="P15" s="92">
        <v>17.9355374399998</v>
      </c>
      <c r="Q15" s="91">
        <v>0.799999999999955</v>
      </c>
      <c r="R15" s="91">
        <v>-0.2</v>
      </c>
      <c r="S15" s="92">
        <v>2.65925623999983</v>
      </c>
      <c r="T15" s="102"/>
      <c r="U15" s="90"/>
      <c r="Y15" s="90" t="s">
        <v>88</v>
      </c>
      <c r="Z15" s="90" t="s">
        <v>148</v>
      </c>
      <c r="AA15" s="108">
        <v>18</v>
      </c>
      <c r="AB15" s="108">
        <v>15</v>
      </c>
      <c r="AC15" s="108">
        <v>3</v>
      </c>
      <c r="AD15" s="108">
        <v>70</v>
      </c>
      <c r="AE15" s="92">
        <v>0.214285714285714</v>
      </c>
      <c r="AF15" s="109">
        <v>0.166666666666667</v>
      </c>
    </row>
    <row r="16" spans="1:32">
      <c r="A16" s="77" t="s">
        <v>88</v>
      </c>
      <c r="B16" s="86" t="s">
        <v>149</v>
      </c>
      <c r="C16" s="77">
        <v>647.9</v>
      </c>
      <c r="D16" s="77">
        <v>7.3</v>
      </c>
      <c r="E16" s="77">
        <v>655.5</v>
      </c>
      <c r="F16" s="77">
        <v>7.1</v>
      </c>
      <c r="G16" s="77">
        <v>649</v>
      </c>
      <c r="H16" s="77">
        <v>7.1</v>
      </c>
      <c r="I16" s="77">
        <v>76.67</v>
      </c>
      <c r="J16" s="77">
        <v>77</v>
      </c>
      <c r="K16" s="77"/>
      <c r="L16" s="90"/>
      <c r="M16" s="90"/>
      <c r="N16" s="91">
        <v>7.60000000000002</v>
      </c>
      <c r="O16" s="91">
        <v>-0.2</v>
      </c>
      <c r="P16" s="92">
        <v>28.3229342800001</v>
      </c>
      <c r="Q16" s="91">
        <v>1.10000000000002</v>
      </c>
      <c r="R16" s="91">
        <v>-0.2</v>
      </c>
      <c r="S16" s="92">
        <v>3.79147733000009</v>
      </c>
      <c r="T16" s="103"/>
      <c r="U16" s="90"/>
      <c r="Y16" s="90" t="s">
        <v>88</v>
      </c>
      <c r="Z16" s="90" t="s">
        <v>149</v>
      </c>
      <c r="AA16" s="108">
        <v>28</v>
      </c>
      <c r="AB16" s="108">
        <v>24</v>
      </c>
      <c r="AC16" s="108">
        <v>4</v>
      </c>
      <c r="AD16" s="108">
        <v>77</v>
      </c>
      <c r="AE16" s="92">
        <v>0.311688311688312</v>
      </c>
      <c r="AF16" s="109">
        <v>0.142857142857143</v>
      </c>
    </row>
    <row r="17" spans="1:32">
      <c r="A17" s="77" t="s">
        <v>88</v>
      </c>
      <c r="B17" s="86" t="s">
        <v>150</v>
      </c>
      <c r="C17" s="77">
        <v>723.6</v>
      </c>
      <c r="D17" s="77">
        <v>8</v>
      </c>
      <c r="E17" s="77">
        <v>733.1</v>
      </c>
      <c r="F17" s="77">
        <v>7.7</v>
      </c>
      <c r="G17" s="77">
        <v>725</v>
      </c>
      <c r="H17" s="77">
        <v>7.7</v>
      </c>
      <c r="I17" s="77">
        <v>86.67</v>
      </c>
      <c r="J17" s="77">
        <v>87</v>
      </c>
      <c r="K17" s="77"/>
      <c r="L17" s="93"/>
      <c r="M17" s="93"/>
      <c r="N17" s="91">
        <v>9.5</v>
      </c>
      <c r="O17" s="91">
        <v>-0.3</v>
      </c>
      <c r="P17" s="92">
        <v>35.31366785</v>
      </c>
      <c r="Q17" s="91">
        <v>1.39999999999998</v>
      </c>
      <c r="R17" s="91">
        <v>-0.3</v>
      </c>
      <c r="S17" s="92">
        <v>4.74369841999992</v>
      </c>
      <c r="T17" s="104"/>
      <c r="U17" s="93"/>
      <c r="Y17" s="93" t="s">
        <v>88</v>
      </c>
      <c r="Z17" s="93" t="s">
        <v>150</v>
      </c>
      <c r="AA17" s="108">
        <v>35</v>
      </c>
      <c r="AB17" s="108">
        <v>30</v>
      </c>
      <c r="AC17" s="108">
        <v>5</v>
      </c>
      <c r="AD17" s="108">
        <v>87</v>
      </c>
      <c r="AE17" s="92">
        <v>0.344827586206897</v>
      </c>
      <c r="AF17" s="109">
        <v>0.142857142857143</v>
      </c>
    </row>
    <row r="18" spans="1:32">
      <c r="A18" s="77" t="s">
        <v>88</v>
      </c>
      <c r="B18" s="86" t="s">
        <v>151</v>
      </c>
      <c r="C18" s="77">
        <v>707.3</v>
      </c>
      <c r="D18" s="77">
        <v>7.9</v>
      </c>
      <c r="E18" s="77">
        <v>717.5</v>
      </c>
      <c r="F18" s="77">
        <v>7.6</v>
      </c>
      <c r="G18" s="77">
        <v>708.6</v>
      </c>
      <c r="H18" s="77">
        <v>7.6</v>
      </c>
      <c r="I18" s="77">
        <v>93.33</v>
      </c>
      <c r="J18" s="77">
        <v>93</v>
      </c>
      <c r="K18" s="77"/>
      <c r="L18" s="90"/>
      <c r="M18" s="90"/>
      <c r="N18" s="91">
        <v>10.2</v>
      </c>
      <c r="O18" s="91">
        <v>-0.300000000000001</v>
      </c>
      <c r="P18" s="92">
        <v>37.9555170600002</v>
      </c>
      <c r="Q18" s="91">
        <v>1.30000000000007</v>
      </c>
      <c r="R18" s="91">
        <v>-0.300000000000001</v>
      </c>
      <c r="S18" s="92">
        <v>4.36629139000026</v>
      </c>
      <c r="T18" s="103"/>
      <c r="U18" s="90"/>
      <c r="Y18" s="90" t="s">
        <v>88</v>
      </c>
      <c r="Z18" s="90" t="s">
        <v>151</v>
      </c>
      <c r="AA18" s="108">
        <v>38</v>
      </c>
      <c r="AB18" s="108">
        <v>34</v>
      </c>
      <c r="AC18" s="108">
        <v>4</v>
      </c>
      <c r="AD18" s="108">
        <v>93</v>
      </c>
      <c r="AE18" s="92">
        <v>0.365591397849462</v>
      </c>
      <c r="AF18" s="109">
        <v>0.105263157894737</v>
      </c>
    </row>
    <row r="19" spans="1:32">
      <c r="A19" s="77" t="s">
        <v>88</v>
      </c>
      <c r="B19" s="86" t="s">
        <v>152</v>
      </c>
      <c r="C19" s="77">
        <v>716.2</v>
      </c>
      <c r="D19" s="77">
        <v>8.1</v>
      </c>
      <c r="E19" s="77">
        <v>724.3</v>
      </c>
      <c r="F19" s="77">
        <v>7.8</v>
      </c>
      <c r="G19" s="77">
        <v>717.4</v>
      </c>
      <c r="H19" s="77">
        <v>7.8</v>
      </c>
      <c r="I19" s="77">
        <v>100</v>
      </c>
      <c r="J19" s="77">
        <v>100</v>
      </c>
      <c r="K19" s="77"/>
      <c r="L19" s="90"/>
      <c r="M19" s="90"/>
      <c r="N19" s="91">
        <v>8.09999999999991</v>
      </c>
      <c r="O19" s="91">
        <v>-0.3</v>
      </c>
      <c r="P19" s="92">
        <v>30.0299694299997</v>
      </c>
      <c r="Q19" s="91">
        <v>1.19999999999993</v>
      </c>
      <c r="R19" s="91">
        <v>-0.3</v>
      </c>
      <c r="S19" s="92">
        <v>3.98888435999974</v>
      </c>
      <c r="T19" s="103"/>
      <c r="U19" s="90"/>
      <c r="Y19" s="90" t="s">
        <v>88</v>
      </c>
      <c r="Z19" s="90" t="s">
        <v>152</v>
      </c>
      <c r="AA19" s="108">
        <v>30</v>
      </c>
      <c r="AB19" s="108">
        <v>26</v>
      </c>
      <c r="AC19" s="108">
        <v>4</v>
      </c>
      <c r="AD19" s="108">
        <v>100</v>
      </c>
      <c r="AE19" s="92">
        <v>0.26</v>
      </c>
      <c r="AF19" s="109">
        <v>0.133333333333333</v>
      </c>
    </row>
    <row r="20" spans="1:32">
      <c r="A20" s="77" t="s">
        <v>88</v>
      </c>
      <c r="B20" s="86" t="s">
        <v>153</v>
      </c>
      <c r="C20" s="77">
        <v>667.3</v>
      </c>
      <c r="D20" s="77">
        <v>8.2</v>
      </c>
      <c r="E20" s="77">
        <v>682.9</v>
      </c>
      <c r="F20" s="77">
        <v>7.8</v>
      </c>
      <c r="G20" s="77">
        <v>670.2</v>
      </c>
      <c r="H20" s="77">
        <v>7.8</v>
      </c>
      <c r="I20" s="77">
        <v>100</v>
      </c>
      <c r="J20" s="77">
        <v>100</v>
      </c>
      <c r="K20" s="77"/>
      <c r="L20" s="93"/>
      <c r="M20" s="93"/>
      <c r="N20" s="91">
        <v>15.6</v>
      </c>
      <c r="O20" s="91">
        <v>-0.399999999999999</v>
      </c>
      <c r="P20" s="92">
        <v>58.1554966800001</v>
      </c>
      <c r="Q20" s="91">
        <v>2.90000000000009</v>
      </c>
      <c r="R20" s="91">
        <v>-0.399999999999999</v>
      </c>
      <c r="S20" s="92">
        <v>10.2248038700003</v>
      </c>
      <c r="T20" s="103"/>
      <c r="U20" s="90"/>
      <c r="Y20" s="93" t="s">
        <v>88</v>
      </c>
      <c r="Z20" s="93" t="s">
        <v>153</v>
      </c>
      <c r="AA20" s="108">
        <v>58</v>
      </c>
      <c r="AB20" s="108">
        <v>48</v>
      </c>
      <c r="AC20" s="108">
        <v>10</v>
      </c>
      <c r="AD20" s="108">
        <v>100</v>
      </c>
      <c r="AE20" s="92">
        <v>0.48</v>
      </c>
      <c r="AF20" s="109">
        <v>0.172413793103448</v>
      </c>
    </row>
    <row r="21" spans="1:32">
      <c r="A21" s="77" t="s">
        <v>88</v>
      </c>
      <c r="B21" s="86" t="s">
        <v>154</v>
      </c>
      <c r="C21" s="77">
        <v>612.5</v>
      </c>
      <c r="D21" s="77">
        <v>8.4</v>
      </c>
      <c r="E21" s="77">
        <v>626.6</v>
      </c>
      <c r="F21" s="77">
        <v>7.8</v>
      </c>
      <c r="G21" s="77">
        <v>615.1</v>
      </c>
      <c r="H21" s="77">
        <v>7.8</v>
      </c>
      <c r="I21" s="77">
        <v>93.33</v>
      </c>
      <c r="J21" s="77">
        <v>93</v>
      </c>
      <c r="K21" s="77"/>
      <c r="L21" s="90"/>
      <c r="M21" s="90"/>
      <c r="N21" s="91">
        <v>14.1</v>
      </c>
      <c r="O21" s="91">
        <v>-0.600000000000001</v>
      </c>
      <c r="P21" s="92">
        <v>52.1343912300001</v>
      </c>
      <c r="Q21" s="91">
        <v>2.60000000000002</v>
      </c>
      <c r="R21" s="91">
        <v>-0.600000000000001</v>
      </c>
      <c r="S21" s="92">
        <v>8.73258278000009</v>
      </c>
      <c r="T21" s="105"/>
      <c r="U21" s="94"/>
      <c r="Y21" s="90" t="s">
        <v>88</v>
      </c>
      <c r="Z21" s="90" t="s">
        <v>154</v>
      </c>
      <c r="AA21" s="108">
        <v>52</v>
      </c>
      <c r="AB21" s="108">
        <v>43</v>
      </c>
      <c r="AC21" s="108">
        <v>9</v>
      </c>
      <c r="AD21" s="108">
        <v>93</v>
      </c>
      <c r="AE21" s="92">
        <v>0.462365591397849</v>
      </c>
      <c r="AF21" s="109">
        <v>0.173076923076923</v>
      </c>
    </row>
    <row r="22" spans="1:32">
      <c r="A22" s="77" t="s">
        <v>88</v>
      </c>
      <c r="B22" s="86" t="s">
        <v>155</v>
      </c>
      <c r="C22" s="77">
        <v>661.7</v>
      </c>
      <c r="D22" s="77">
        <v>8.2</v>
      </c>
      <c r="E22" s="77">
        <v>671.3</v>
      </c>
      <c r="F22" s="77">
        <v>7.6</v>
      </c>
      <c r="G22" s="77">
        <v>663.1</v>
      </c>
      <c r="H22" s="77">
        <v>7.7</v>
      </c>
      <c r="I22" s="77">
        <v>86.67</v>
      </c>
      <c r="J22" s="77">
        <v>87</v>
      </c>
      <c r="K22" s="77"/>
      <c r="L22" s="90"/>
      <c r="M22" s="90"/>
      <c r="N22" s="91">
        <v>9.59999999999991</v>
      </c>
      <c r="O22" s="91">
        <v>-0.6</v>
      </c>
      <c r="P22" s="92">
        <v>35.1510748799997</v>
      </c>
      <c r="Q22" s="91">
        <v>1.39999999999998</v>
      </c>
      <c r="R22" s="91">
        <v>-0.499999999999999</v>
      </c>
      <c r="S22" s="92">
        <v>4.38369841999992</v>
      </c>
      <c r="T22" s="103"/>
      <c r="U22" s="90"/>
      <c r="Y22" s="90" t="s">
        <v>88</v>
      </c>
      <c r="Z22" s="90" t="s">
        <v>155</v>
      </c>
      <c r="AA22" s="108">
        <v>35</v>
      </c>
      <c r="AB22" s="108">
        <v>31</v>
      </c>
      <c r="AC22" s="108">
        <v>4</v>
      </c>
      <c r="AD22" s="108">
        <v>87</v>
      </c>
      <c r="AE22" s="92">
        <v>0.35632183908046</v>
      </c>
      <c r="AF22" s="109">
        <v>0.114285714285714</v>
      </c>
    </row>
    <row r="23" spans="1:32">
      <c r="A23" s="77" t="s">
        <v>88</v>
      </c>
      <c r="B23" s="86" t="s">
        <v>156</v>
      </c>
      <c r="C23" s="77">
        <v>591.8</v>
      </c>
      <c r="D23" s="77">
        <v>10</v>
      </c>
      <c r="E23" s="77">
        <v>604</v>
      </c>
      <c r="F23" s="77">
        <v>9.3</v>
      </c>
      <c r="G23" s="77">
        <v>594.1</v>
      </c>
      <c r="H23" s="77">
        <v>9.5</v>
      </c>
      <c r="I23" s="77">
        <v>80</v>
      </c>
      <c r="J23" s="77">
        <v>80</v>
      </c>
      <c r="K23" s="77"/>
      <c r="L23" s="90"/>
      <c r="M23" s="90"/>
      <c r="N23" s="91">
        <v>12.2</v>
      </c>
      <c r="O23" s="91">
        <v>-0.699999999999999</v>
      </c>
      <c r="P23" s="92">
        <v>44.7836576600002</v>
      </c>
      <c r="Q23" s="91">
        <v>2.30000000000007</v>
      </c>
      <c r="R23" s="91">
        <v>-0.5</v>
      </c>
      <c r="S23" s="92">
        <v>7.78036169000026</v>
      </c>
      <c r="T23" s="103"/>
      <c r="U23" s="90"/>
      <c r="Y23" s="90" t="s">
        <v>88</v>
      </c>
      <c r="Z23" s="90" t="s">
        <v>156</v>
      </c>
      <c r="AA23" s="108">
        <v>45</v>
      </c>
      <c r="AB23" s="108">
        <v>37</v>
      </c>
      <c r="AC23" s="108">
        <v>8</v>
      </c>
      <c r="AD23" s="108">
        <v>80</v>
      </c>
      <c r="AE23" s="92">
        <v>0.4625</v>
      </c>
      <c r="AF23" s="109">
        <v>0.177777777777778</v>
      </c>
    </row>
    <row r="24" spans="1:32">
      <c r="A24" s="77" t="s">
        <v>88</v>
      </c>
      <c r="B24" s="86" t="s">
        <v>157</v>
      </c>
      <c r="C24" s="77">
        <v>677.3</v>
      </c>
      <c r="D24" s="77">
        <v>8.6</v>
      </c>
      <c r="E24" s="77">
        <v>685.3</v>
      </c>
      <c r="F24" s="77">
        <v>8.1</v>
      </c>
      <c r="G24" s="77">
        <v>678.9</v>
      </c>
      <c r="H24" s="77">
        <v>8.1</v>
      </c>
      <c r="I24" s="77">
        <v>70</v>
      </c>
      <c r="J24" s="77">
        <v>70</v>
      </c>
      <c r="K24" s="77"/>
      <c r="L24" s="94"/>
      <c r="M24" s="94"/>
      <c r="N24" s="91">
        <v>8</v>
      </c>
      <c r="O24" s="91">
        <v>-0.5</v>
      </c>
      <c r="P24" s="92">
        <v>29.2925624</v>
      </c>
      <c r="Q24" s="91">
        <v>1.60000000000002</v>
      </c>
      <c r="R24" s="91">
        <v>-0.5</v>
      </c>
      <c r="S24" s="92">
        <v>5.13851248000009</v>
      </c>
      <c r="T24" s="105"/>
      <c r="U24" s="94"/>
      <c r="Y24" s="94" t="s">
        <v>88</v>
      </c>
      <c r="Z24" s="94" t="s">
        <v>157</v>
      </c>
      <c r="AA24" s="108">
        <v>29</v>
      </c>
      <c r="AB24" s="108">
        <v>24</v>
      </c>
      <c r="AC24" s="108">
        <v>5</v>
      </c>
      <c r="AD24" s="108">
        <v>70</v>
      </c>
      <c r="AE24" s="92">
        <v>0.342857142857143</v>
      </c>
      <c r="AF24" s="109">
        <v>0.172413793103448</v>
      </c>
    </row>
    <row r="25" spans="1:32">
      <c r="A25" s="77" t="s">
        <v>88</v>
      </c>
      <c r="B25" s="86" t="s">
        <v>158</v>
      </c>
      <c r="C25" s="77">
        <v>651.3</v>
      </c>
      <c r="D25" s="77">
        <v>8.2</v>
      </c>
      <c r="E25" s="77">
        <v>659</v>
      </c>
      <c r="F25" s="77">
        <v>7.4</v>
      </c>
      <c r="G25" s="77">
        <v>651.7</v>
      </c>
      <c r="H25" s="77">
        <v>8.1</v>
      </c>
      <c r="I25" s="77">
        <v>60</v>
      </c>
      <c r="J25" s="77">
        <v>60</v>
      </c>
      <c r="K25" s="77"/>
      <c r="L25" s="90"/>
      <c r="M25" s="90"/>
      <c r="N25" s="91">
        <v>7.70000000000005</v>
      </c>
      <c r="O25" s="91">
        <v>-0.799999999999999</v>
      </c>
      <c r="P25" s="92">
        <v>27.6203413100002</v>
      </c>
      <c r="Q25" s="91">
        <v>0.400000000000091</v>
      </c>
      <c r="R25" s="91">
        <v>-0.0999999999999996</v>
      </c>
      <c r="S25" s="92">
        <v>1.32962812000034</v>
      </c>
      <c r="T25" s="103"/>
      <c r="U25" s="90"/>
      <c r="Y25" s="90" t="s">
        <v>88</v>
      </c>
      <c r="Z25" s="90" t="s">
        <v>158</v>
      </c>
      <c r="AA25" s="108">
        <v>28</v>
      </c>
      <c r="AB25" s="108">
        <v>27</v>
      </c>
      <c r="AC25" s="108">
        <v>1</v>
      </c>
      <c r="AD25" s="108">
        <v>60</v>
      </c>
      <c r="AE25" s="92">
        <v>0.45</v>
      </c>
      <c r="AF25" s="109">
        <v>0.0357142857142857</v>
      </c>
    </row>
    <row r="26" spans="1:32">
      <c r="A26" s="77" t="s">
        <v>88</v>
      </c>
      <c r="B26" s="86" t="s">
        <v>159</v>
      </c>
      <c r="C26" s="77">
        <v>676.8</v>
      </c>
      <c r="D26" s="77">
        <v>8.7</v>
      </c>
      <c r="E26" s="77">
        <v>681.8</v>
      </c>
      <c r="F26" s="77">
        <v>8.2</v>
      </c>
      <c r="G26" s="77">
        <v>677.6</v>
      </c>
      <c r="H26" s="77">
        <v>8.2</v>
      </c>
      <c r="I26" s="77">
        <v>50</v>
      </c>
      <c r="J26" s="77">
        <v>50</v>
      </c>
      <c r="K26" s="77"/>
      <c r="L26" s="90"/>
      <c r="M26" s="90"/>
      <c r="N26" s="91">
        <v>5</v>
      </c>
      <c r="O26" s="91">
        <v>-0.5</v>
      </c>
      <c r="P26" s="92">
        <v>17.9703515</v>
      </c>
      <c r="Q26" s="91">
        <v>0.800000000000068</v>
      </c>
      <c r="R26" s="91">
        <v>-0.5</v>
      </c>
      <c r="S26" s="92">
        <v>2.11925624000026</v>
      </c>
      <c r="T26" s="103"/>
      <c r="U26" s="90"/>
      <c r="Y26" s="90" t="s">
        <v>88</v>
      </c>
      <c r="Z26" s="90" t="s">
        <v>159</v>
      </c>
      <c r="AA26" s="108">
        <v>18</v>
      </c>
      <c r="AB26" s="108">
        <v>16</v>
      </c>
      <c r="AC26" s="108">
        <v>2</v>
      </c>
      <c r="AD26" s="108">
        <v>50</v>
      </c>
      <c r="AE26" s="92">
        <v>0.32</v>
      </c>
      <c r="AF26" s="109">
        <v>0.111111111111111</v>
      </c>
    </row>
    <row r="27" spans="1:32">
      <c r="A27" s="77" t="s">
        <v>88</v>
      </c>
      <c r="B27" s="86" t="s">
        <v>160</v>
      </c>
      <c r="C27" s="77">
        <v>696.8</v>
      </c>
      <c r="D27" s="77">
        <v>8.6</v>
      </c>
      <c r="E27" s="77">
        <v>700.6</v>
      </c>
      <c r="F27" s="77">
        <v>8.2</v>
      </c>
      <c r="G27" s="77">
        <v>697.1</v>
      </c>
      <c r="H27" s="77">
        <v>8.1</v>
      </c>
      <c r="I27" s="77">
        <v>40</v>
      </c>
      <c r="J27" s="77">
        <v>40</v>
      </c>
      <c r="K27" s="77"/>
      <c r="L27" s="94"/>
      <c r="M27" s="94"/>
      <c r="N27" s="91">
        <v>3.80000000000007</v>
      </c>
      <c r="O27" s="91">
        <v>-0.4</v>
      </c>
      <c r="P27" s="92">
        <v>13.6214671400003</v>
      </c>
      <c r="Q27" s="91">
        <v>0.300000000000068</v>
      </c>
      <c r="R27" s="91">
        <v>-0.5</v>
      </c>
      <c r="S27" s="92">
        <v>0.232221090000258</v>
      </c>
      <c r="T27" s="105"/>
      <c r="U27" s="94"/>
      <c r="Y27" s="94" t="s">
        <v>88</v>
      </c>
      <c r="Z27" s="94" t="s">
        <v>160</v>
      </c>
      <c r="AA27" s="108">
        <v>14</v>
      </c>
      <c r="AB27" s="108">
        <v>14</v>
      </c>
      <c r="AC27" s="108">
        <v>0</v>
      </c>
      <c r="AD27" s="108">
        <v>40</v>
      </c>
      <c r="AE27" s="92">
        <v>0.35</v>
      </c>
      <c r="AF27" s="109">
        <v>0</v>
      </c>
    </row>
    <row r="28" ht="14.25" spans="1:32">
      <c r="A28" s="77" t="s">
        <v>88</v>
      </c>
      <c r="B28" s="86" t="s">
        <v>161</v>
      </c>
      <c r="C28" s="77">
        <v>288</v>
      </c>
      <c r="D28" s="77">
        <v>8.9</v>
      </c>
      <c r="E28" s="77">
        <v>290.6</v>
      </c>
      <c r="F28" s="77">
        <v>8.4</v>
      </c>
      <c r="G28" s="77">
        <v>288.1</v>
      </c>
      <c r="H28" s="77">
        <v>8.3</v>
      </c>
      <c r="I28" s="77">
        <v>33.33333333</v>
      </c>
      <c r="J28" s="77">
        <v>33</v>
      </c>
      <c r="K28" s="77"/>
      <c r="L28" s="93"/>
      <c r="M28" s="93"/>
      <c r="N28" s="95">
        <v>2.60000000000002</v>
      </c>
      <c r="O28" s="95">
        <v>-0.5</v>
      </c>
      <c r="P28" s="96">
        <v>8.91258278000009</v>
      </c>
      <c r="Q28" s="95">
        <v>0.100000000000023</v>
      </c>
      <c r="R28" s="95">
        <v>-0.6</v>
      </c>
      <c r="S28" s="92">
        <v>0</v>
      </c>
      <c r="T28" s="104"/>
      <c r="U28" s="93"/>
      <c r="Y28" s="93" t="s">
        <v>88</v>
      </c>
      <c r="Z28" s="93" t="s">
        <v>161</v>
      </c>
      <c r="AA28" s="110">
        <v>9</v>
      </c>
      <c r="AB28" s="110">
        <v>9</v>
      </c>
      <c r="AC28" s="110">
        <v>0</v>
      </c>
      <c r="AD28" s="110">
        <v>33</v>
      </c>
      <c r="AE28" s="111">
        <v>0.272727272727273</v>
      </c>
      <c r="AF28" s="112">
        <v>0</v>
      </c>
    </row>
    <row r="29" spans="1:32">
      <c r="A29" s="77" t="s">
        <v>103</v>
      </c>
      <c r="B29" s="86" t="s">
        <v>148</v>
      </c>
      <c r="C29" s="77">
        <v>741.6</v>
      </c>
      <c r="D29" s="77">
        <v>7.3</v>
      </c>
      <c r="E29" s="77">
        <v>746.4</v>
      </c>
      <c r="F29" s="77">
        <v>7.2</v>
      </c>
      <c r="G29" s="77">
        <v>742.4</v>
      </c>
      <c r="H29" s="77">
        <v>7.1</v>
      </c>
      <c r="I29" s="77">
        <v>70</v>
      </c>
      <c r="J29" s="77">
        <v>70</v>
      </c>
      <c r="K29" s="77"/>
      <c r="L29" s="97"/>
      <c r="M29" s="97"/>
      <c r="N29" s="98">
        <v>4.79999999999995</v>
      </c>
      <c r="O29" s="98">
        <v>-0.0999999999999996</v>
      </c>
      <c r="P29" s="99">
        <v>17.9355374399998</v>
      </c>
      <c r="Q29" s="98">
        <v>0.799999999999955</v>
      </c>
      <c r="R29" s="98">
        <v>-0.2</v>
      </c>
      <c r="S29" s="106">
        <v>2.65925623999983</v>
      </c>
      <c r="T29" s="107"/>
      <c r="U29" s="97"/>
      <c r="Y29" s="97" t="s">
        <v>103</v>
      </c>
      <c r="Z29" s="97" t="s">
        <v>148</v>
      </c>
      <c r="AA29" s="113">
        <v>18</v>
      </c>
      <c r="AB29" s="113">
        <v>15</v>
      </c>
      <c r="AC29" s="113">
        <v>3</v>
      </c>
      <c r="AD29" s="113">
        <v>70</v>
      </c>
      <c r="AE29" s="114">
        <v>0.214285714285714</v>
      </c>
      <c r="AF29" s="115">
        <v>0.166666666666667</v>
      </c>
    </row>
    <row r="30" spans="1:32">
      <c r="A30" s="77" t="s">
        <v>103</v>
      </c>
      <c r="B30" s="86" t="s">
        <v>149</v>
      </c>
      <c r="C30" s="77">
        <v>647.9</v>
      </c>
      <c r="D30" s="77">
        <v>7.3</v>
      </c>
      <c r="E30" s="77">
        <v>655.5</v>
      </c>
      <c r="F30" s="77">
        <v>7.1</v>
      </c>
      <c r="G30" s="77">
        <v>649</v>
      </c>
      <c r="H30" s="77">
        <v>7.1</v>
      </c>
      <c r="I30" s="77">
        <v>76.67</v>
      </c>
      <c r="J30" s="77">
        <v>77</v>
      </c>
      <c r="K30" s="77"/>
      <c r="L30" s="90"/>
      <c r="M30" s="90"/>
      <c r="N30" s="91">
        <v>7.60000000000002</v>
      </c>
      <c r="O30" s="91">
        <v>-0.2</v>
      </c>
      <c r="P30" s="92">
        <v>28.3229342800001</v>
      </c>
      <c r="Q30" s="91">
        <v>1.10000000000002</v>
      </c>
      <c r="R30" s="91">
        <v>-0.2</v>
      </c>
      <c r="S30" s="92">
        <v>3.79147733000009</v>
      </c>
      <c r="T30" s="105"/>
      <c r="U30" s="94"/>
      <c r="Y30" s="90" t="s">
        <v>103</v>
      </c>
      <c r="Z30" s="90" t="s">
        <v>149</v>
      </c>
      <c r="AA30" s="108">
        <v>28</v>
      </c>
      <c r="AB30" s="108">
        <v>24</v>
      </c>
      <c r="AC30" s="108">
        <v>4</v>
      </c>
      <c r="AD30" s="108">
        <v>77</v>
      </c>
      <c r="AE30" s="92">
        <v>0.311688311688312</v>
      </c>
      <c r="AF30" s="109">
        <v>0.142857142857143</v>
      </c>
    </row>
    <row r="31" spans="1:32">
      <c r="A31" s="77" t="s">
        <v>103</v>
      </c>
      <c r="B31" s="86" t="s">
        <v>150</v>
      </c>
      <c r="C31" s="77">
        <v>723.6</v>
      </c>
      <c r="D31" s="77">
        <v>8</v>
      </c>
      <c r="E31" s="77">
        <v>733.1</v>
      </c>
      <c r="F31" s="77">
        <v>7.7</v>
      </c>
      <c r="G31" s="77">
        <v>725</v>
      </c>
      <c r="H31" s="77">
        <v>7.7</v>
      </c>
      <c r="I31" s="77">
        <v>86.67</v>
      </c>
      <c r="J31" s="77">
        <v>87</v>
      </c>
      <c r="K31" s="77"/>
      <c r="L31" s="93"/>
      <c r="M31" s="93"/>
      <c r="N31" s="91">
        <v>9.5</v>
      </c>
      <c r="O31" s="91">
        <v>-0.3</v>
      </c>
      <c r="P31" s="92">
        <v>35.31366785</v>
      </c>
      <c r="Q31" s="91">
        <v>1.39999999999998</v>
      </c>
      <c r="R31" s="91">
        <v>-0.3</v>
      </c>
      <c r="S31" s="92">
        <v>4.74369841999992</v>
      </c>
      <c r="T31" s="103"/>
      <c r="U31" s="90"/>
      <c r="Y31" s="93" t="s">
        <v>103</v>
      </c>
      <c r="Z31" s="93" t="s">
        <v>150</v>
      </c>
      <c r="AA31" s="108">
        <v>35</v>
      </c>
      <c r="AB31" s="108">
        <v>30</v>
      </c>
      <c r="AC31" s="108">
        <v>5</v>
      </c>
      <c r="AD31" s="108">
        <v>87</v>
      </c>
      <c r="AE31" s="92">
        <v>0.344827586206897</v>
      </c>
      <c r="AF31" s="109">
        <v>0.142857142857143</v>
      </c>
    </row>
    <row r="32" spans="1:32">
      <c r="A32" s="77" t="s">
        <v>103</v>
      </c>
      <c r="B32" s="86" t="s">
        <v>151</v>
      </c>
      <c r="C32" s="77">
        <v>707.3</v>
      </c>
      <c r="D32" s="77">
        <v>7.9</v>
      </c>
      <c r="E32" s="77">
        <v>717.5</v>
      </c>
      <c r="F32" s="77">
        <v>7.6</v>
      </c>
      <c r="G32" s="77">
        <v>708.6</v>
      </c>
      <c r="H32" s="77">
        <v>7.6</v>
      </c>
      <c r="I32" s="77">
        <v>93.33</v>
      </c>
      <c r="J32" s="77">
        <v>93</v>
      </c>
      <c r="K32" s="77"/>
      <c r="L32" s="90"/>
      <c r="M32" s="90"/>
      <c r="N32" s="91">
        <v>10.2</v>
      </c>
      <c r="O32" s="91">
        <v>-0.300000000000001</v>
      </c>
      <c r="P32" s="92">
        <v>37.9555170600002</v>
      </c>
      <c r="Q32" s="91">
        <v>1.30000000000007</v>
      </c>
      <c r="R32" s="91">
        <v>-0.300000000000001</v>
      </c>
      <c r="S32" s="92">
        <v>4.36629139000026</v>
      </c>
      <c r="T32" s="103"/>
      <c r="U32" s="90"/>
      <c r="Y32" s="90" t="s">
        <v>103</v>
      </c>
      <c r="Z32" s="90" t="s">
        <v>151</v>
      </c>
      <c r="AA32" s="108">
        <v>38</v>
      </c>
      <c r="AB32" s="108">
        <v>34</v>
      </c>
      <c r="AC32" s="108">
        <v>4</v>
      </c>
      <c r="AD32" s="108">
        <v>93</v>
      </c>
      <c r="AE32" s="92">
        <v>0.365591397849462</v>
      </c>
      <c r="AF32" s="109">
        <v>0.105263157894737</v>
      </c>
    </row>
    <row r="33" spans="1:32">
      <c r="A33" s="77" t="s">
        <v>103</v>
      </c>
      <c r="B33" s="86" t="s">
        <v>152</v>
      </c>
      <c r="C33" s="77">
        <v>716.2</v>
      </c>
      <c r="D33" s="77">
        <v>8.1</v>
      </c>
      <c r="E33" s="77">
        <v>724.3</v>
      </c>
      <c r="F33" s="77">
        <v>7.8</v>
      </c>
      <c r="G33" s="77">
        <v>717.4</v>
      </c>
      <c r="H33" s="77">
        <v>7.8</v>
      </c>
      <c r="I33" s="77">
        <v>100</v>
      </c>
      <c r="J33" s="77">
        <v>100</v>
      </c>
      <c r="K33" s="77"/>
      <c r="L33" s="90"/>
      <c r="M33" s="90"/>
      <c r="N33" s="91">
        <v>8.09999999999991</v>
      </c>
      <c r="O33" s="91">
        <v>-0.3</v>
      </c>
      <c r="P33" s="92">
        <v>30.0299694299997</v>
      </c>
      <c r="Q33" s="91">
        <v>1.19999999999993</v>
      </c>
      <c r="R33" s="91">
        <v>-0.3</v>
      </c>
      <c r="S33" s="92">
        <v>3.98888435999974</v>
      </c>
      <c r="T33" s="105"/>
      <c r="U33" s="94"/>
      <c r="Y33" s="90" t="s">
        <v>103</v>
      </c>
      <c r="Z33" s="90" t="s">
        <v>152</v>
      </c>
      <c r="AA33" s="108">
        <v>30</v>
      </c>
      <c r="AB33" s="108">
        <v>26</v>
      </c>
      <c r="AC33" s="108">
        <v>4</v>
      </c>
      <c r="AD33" s="108">
        <v>100</v>
      </c>
      <c r="AE33" s="92">
        <v>0.26</v>
      </c>
      <c r="AF33" s="109">
        <v>0.133333333333333</v>
      </c>
    </row>
    <row r="34" spans="1:32">
      <c r="A34" s="77" t="s">
        <v>103</v>
      </c>
      <c r="B34" s="86" t="s">
        <v>153</v>
      </c>
      <c r="C34" s="77">
        <v>667.3</v>
      </c>
      <c r="D34" s="77">
        <v>8.2</v>
      </c>
      <c r="E34" s="77">
        <v>682.9</v>
      </c>
      <c r="F34" s="77">
        <v>7.8</v>
      </c>
      <c r="G34" s="77">
        <v>670.2</v>
      </c>
      <c r="H34" s="77">
        <v>7.8</v>
      </c>
      <c r="I34" s="77">
        <v>100</v>
      </c>
      <c r="J34" s="77">
        <v>100</v>
      </c>
      <c r="K34" s="77"/>
      <c r="L34" s="93"/>
      <c r="M34" s="93"/>
      <c r="N34" s="91">
        <v>15.6</v>
      </c>
      <c r="O34" s="91">
        <v>-0.399999999999999</v>
      </c>
      <c r="P34" s="92">
        <v>58.1554966800001</v>
      </c>
      <c r="Q34" s="91">
        <v>2.90000000000009</v>
      </c>
      <c r="R34" s="91">
        <v>-0.399999999999999</v>
      </c>
      <c r="S34" s="92">
        <v>10.2248038700003</v>
      </c>
      <c r="T34" s="103"/>
      <c r="U34" s="90"/>
      <c r="Y34" s="93" t="s">
        <v>103</v>
      </c>
      <c r="Z34" s="93" t="s">
        <v>153</v>
      </c>
      <c r="AA34" s="108">
        <v>58</v>
      </c>
      <c r="AB34" s="108">
        <v>48</v>
      </c>
      <c r="AC34" s="108">
        <v>10</v>
      </c>
      <c r="AD34" s="108">
        <v>100</v>
      </c>
      <c r="AE34" s="92">
        <v>0.48</v>
      </c>
      <c r="AF34" s="109">
        <v>0.172413793103448</v>
      </c>
    </row>
    <row r="35" spans="1:32">
      <c r="A35" s="77" t="s">
        <v>103</v>
      </c>
      <c r="B35" s="86" t="s">
        <v>154</v>
      </c>
      <c r="C35" s="77">
        <v>612.5</v>
      </c>
      <c r="D35" s="77">
        <v>8.4</v>
      </c>
      <c r="E35" s="77">
        <v>626.6</v>
      </c>
      <c r="F35" s="77">
        <v>7.8</v>
      </c>
      <c r="G35" s="77">
        <v>615.1</v>
      </c>
      <c r="H35" s="77">
        <v>7.8</v>
      </c>
      <c r="I35" s="77">
        <v>93.33</v>
      </c>
      <c r="J35" s="77">
        <v>93</v>
      </c>
      <c r="K35" s="77"/>
      <c r="L35" s="90"/>
      <c r="M35" s="90"/>
      <c r="N35" s="91">
        <v>14.1</v>
      </c>
      <c r="O35" s="91">
        <v>-0.600000000000001</v>
      </c>
      <c r="P35" s="92">
        <v>52.1343912300001</v>
      </c>
      <c r="Q35" s="91">
        <v>2.60000000000002</v>
      </c>
      <c r="R35" s="91">
        <v>-0.600000000000001</v>
      </c>
      <c r="S35" s="92">
        <v>8.73258278000009</v>
      </c>
      <c r="T35" s="103"/>
      <c r="U35" s="90"/>
      <c r="Y35" s="90" t="s">
        <v>103</v>
      </c>
      <c r="Z35" s="90" t="s">
        <v>154</v>
      </c>
      <c r="AA35" s="108">
        <v>52</v>
      </c>
      <c r="AB35" s="108">
        <v>43</v>
      </c>
      <c r="AC35" s="108">
        <v>9</v>
      </c>
      <c r="AD35" s="108">
        <v>93</v>
      </c>
      <c r="AE35" s="92">
        <v>0.462365591397849</v>
      </c>
      <c r="AF35" s="109">
        <v>0.173076923076923</v>
      </c>
    </row>
    <row r="36" spans="1:32">
      <c r="A36" s="77" t="s">
        <v>103</v>
      </c>
      <c r="B36" s="86" t="s">
        <v>155</v>
      </c>
      <c r="C36" s="77">
        <v>661.7</v>
      </c>
      <c r="D36" s="77">
        <v>8.2</v>
      </c>
      <c r="E36" s="77">
        <v>671.3</v>
      </c>
      <c r="F36" s="77">
        <v>7.6</v>
      </c>
      <c r="G36" s="77">
        <v>663.1</v>
      </c>
      <c r="H36" s="77">
        <v>7.7</v>
      </c>
      <c r="I36" s="77">
        <v>86.67</v>
      </c>
      <c r="J36" s="77">
        <v>87</v>
      </c>
      <c r="K36" s="77"/>
      <c r="L36" s="90"/>
      <c r="M36" s="90"/>
      <c r="N36" s="91">
        <v>9.59999999999991</v>
      </c>
      <c r="O36" s="91">
        <v>-0.6</v>
      </c>
      <c r="P36" s="92">
        <v>35.1510748799997</v>
      </c>
      <c r="Q36" s="91">
        <v>1.39999999999998</v>
      </c>
      <c r="R36" s="91">
        <v>-0.499999999999999</v>
      </c>
      <c r="S36" s="92">
        <v>4.38369841999992</v>
      </c>
      <c r="T36" s="105"/>
      <c r="U36" s="94"/>
      <c r="Y36" s="90" t="s">
        <v>103</v>
      </c>
      <c r="Z36" s="90" t="s">
        <v>155</v>
      </c>
      <c r="AA36" s="108">
        <v>35</v>
      </c>
      <c r="AB36" s="108">
        <v>31</v>
      </c>
      <c r="AC36" s="108">
        <v>4</v>
      </c>
      <c r="AD36" s="108">
        <v>87</v>
      </c>
      <c r="AE36" s="92">
        <v>0.35632183908046</v>
      </c>
      <c r="AF36" s="109">
        <v>0.114285714285714</v>
      </c>
    </row>
    <row r="37" spans="1:32">
      <c r="A37" s="77" t="s">
        <v>103</v>
      </c>
      <c r="B37" s="86" t="s">
        <v>156</v>
      </c>
      <c r="C37" s="77">
        <v>591.8</v>
      </c>
      <c r="D37" s="77">
        <v>10</v>
      </c>
      <c r="E37" s="77">
        <v>604</v>
      </c>
      <c r="F37" s="77">
        <v>9.3</v>
      </c>
      <c r="G37" s="77">
        <v>594.1</v>
      </c>
      <c r="H37" s="77">
        <v>9.5</v>
      </c>
      <c r="I37" s="77">
        <v>80</v>
      </c>
      <c r="J37" s="77">
        <v>80</v>
      </c>
      <c r="K37" s="77"/>
      <c r="L37" s="90"/>
      <c r="M37" s="90"/>
      <c r="N37" s="91">
        <v>12.2</v>
      </c>
      <c r="O37" s="91">
        <v>-0.699999999999999</v>
      </c>
      <c r="P37" s="92">
        <v>44.7836576600002</v>
      </c>
      <c r="Q37" s="91">
        <v>2.30000000000007</v>
      </c>
      <c r="R37" s="91">
        <v>-0.5</v>
      </c>
      <c r="S37" s="92">
        <v>7.78036169000026</v>
      </c>
      <c r="T37" s="103"/>
      <c r="U37" s="90"/>
      <c r="Y37" s="90" t="s">
        <v>103</v>
      </c>
      <c r="Z37" s="90" t="s">
        <v>156</v>
      </c>
      <c r="AA37" s="108">
        <v>45</v>
      </c>
      <c r="AB37" s="108">
        <v>37</v>
      </c>
      <c r="AC37" s="108">
        <v>8</v>
      </c>
      <c r="AD37" s="108">
        <v>80</v>
      </c>
      <c r="AE37" s="92">
        <v>0.4625</v>
      </c>
      <c r="AF37" s="109">
        <v>0.177777777777778</v>
      </c>
    </row>
    <row r="38" spans="1:32">
      <c r="A38" s="77" t="s">
        <v>103</v>
      </c>
      <c r="B38" s="86" t="s">
        <v>157</v>
      </c>
      <c r="C38" s="77">
        <v>677.3</v>
      </c>
      <c r="D38" s="77">
        <v>8.6</v>
      </c>
      <c r="E38" s="77">
        <v>685.3</v>
      </c>
      <c r="F38" s="77">
        <v>8.1</v>
      </c>
      <c r="G38" s="77">
        <v>678.9</v>
      </c>
      <c r="H38" s="77">
        <v>8.1</v>
      </c>
      <c r="I38" s="77">
        <v>70</v>
      </c>
      <c r="J38" s="77">
        <v>70</v>
      </c>
      <c r="K38" s="77"/>
      <c r="L38" s="94"/>
      <c r="M38" s="94"/>
      <c r="N38" s="91">
        <v>8</v>
      </c>
      <c r="O38" s="91">
        <v>-0.5</v>
      </c>
      <c r="P38" s="92">
        <v>29.2925624</v>
      </c>
      <c r="Q38" s="91">
        <v>1.60000000000002</v>
      </c>
      <c r="R38" s="91">
        <v>-0.5</v>
      </c>
      <c r="S38" s="92">
        <v>5.13851248000009</v>
      </c>
      <c r="T38" s="103"/>
      <c r="U38" s="90"/>
      <c r="Y38" s="94" t="s">
        <v>103</v>
      </c>
      <c r="Z38" s="94" t="s">
        <v>157</v>
      </c>
      <c r="AA38" s="108">
        <v>29</v>
      </c>
      <c r="AB38" s="108">
        <v>24</v>
      </c>
      <c r="AC38" s="108">
        <v>5</v>
      </c>
      <c r="AD38" s="108">
        <v>70</v>
      </c>
      <c r="AE38" s="92">
        <v>0.342857142857143</v>
      </c>
      <c r="AF38" s="109">
        <v>0.172413793103448</v>
      </c>
    </row>
    <row r="39" spans="1:32">
      <c r="A39" s="77" t="s">
        <v>103</v>
      </c>
      <c r="B39" s="86" t="s">
        <v>158</v>
      </c>
      <c r="C39" s="77">
        <v>651.3</v>
      </c>
      <c r="D39" s="77">
        <v>8.2</v>
      </c>
      <c r="E39" s="77">
        <v>659</v>
      </c>
      <c r="F39" s="77">
        <v>7.4</v>
      </c>
      <c r="G39" s="77">
        <v>651.7</v>
      </c>
      <c r="H39" s="77">
        <v>8.1</v>
      </c>
      <c r="I39" s="77">
        <v>60</v>
      </c>
      <c r="J39" s="77">
        <v>60</v>
      </c>
      <c r="K39" s="77"/>
      <c r="L39" s="90"/>
      <c r="M39" s="90"/>
      <c r="N39" s="91">
        <v>7.70000000000005</v>
      </c>
      <c r="O39" s="91">
        <v>-0.799999999999999</v>
      </c>
      <c r="P39" s="92">
        <v>27.6203413100002</v>
      </c>
      <c r="Q39" s="91">
        <v>0.400000000000091</v>
      </c>
      <c r="R39" s="91">
        <v>-0.0999999999999996</v>
      </c>
      <c r="S39" s="92">
        <v>1.32962812000034</v>
      </c>
      <c r="T39" s="105"/>
      <c r="U39" s="94"/>
      <c r="Y39" s="90" t="s">
        <v>103</v>
      </c>
      <c r="Z39" s="90" t="s">
        <v>158</v>
      </c>
      <c r="AA39" s="108">
        <v>28</v>
      </c>
      <c r="AB39" s="108">
        <v>27</v>
      </c>
      <c r="AC39" s="108">
        <v>1</v>
      </c>
      <c r="AD39" s="108">
        <v>60</v>
      </c>
      <c r="AE39" s="92">
        <v>0.45</v>
      </c>
      <c r="AF39" s="109">
        <v>0.0357142857142857</v>
      </c>
    </row>
    <row r="40" spans="1:32">
      <c r="A40" s="77" t="s">
        <v>103</v>
      </c>
      <c r="B40" s="86" t="s">
        <v>159</v>
      </c>
      <c r="C40" s="77">
        <v>676.8</v>
      </c>
      <c r="D40" s="77">
        <v>8.7</v>
      </c>
      <c r="E40" s="77">
        <v>681.8</v>
      </c>
      <c r="F40" s="77">
        <v>8.2</v>
      </c>
      <c r="G40" s="77">
        <v>677.6</v>
      </c>
      <c r="H40" s="77">
        <v>8.2</v>
      </c>
      <c r="I40" s="77">
        <v>50</v>
      </c>
      <c r="J40" s="77">
        <v>50</v>
      </c>
      <c r="K40" s="77"/>
      <c r="L40" s="90"/>
      <c r="M40" s="90"/>
      <c r="N40" s="91">
        <v>5</v>
      </c>
      <c r="O40" s="91">
        <v>-0.5</v>
      </c>
      <c r="P40" s="92">
        <v>17.9703515</v>
      </c>
      <c r="Q40" s="91">
        <v>0.800000000000068</v>
      </c>
      <c r="R40" s="91">
        <v>-0.5</v>
      </c>
      <c r="S40" s="92">
        <v>2.11925624000026</v>
      </c>
      <c r="T40" s="103"/>
      <c r="U40" s="90"/>
      <c r="Y40" s="90" t="s">
        <v>103</v>
      </c>
      <c r="Z40" s="90" t="s">
        <v>159</v>
      </c>
      <c r="AA40" s="108">
        <v>18</v>
      </c>
      <c r="AB40" s="108">
        <v>16</v>
      </c>
      <c r="AC40" s="108">
        <v>2</v>
      </c>
      <c r="AD40" s="108">
        <v>50</v>
      </c>
      <c r="AE40" s="92">
        <v>0.32</v>
      </c>
      <c r="AF40" s="109">
        <v>0.111111111111111</v>
      </c>
    </row>
    <row r="41" spans="1:32">
      <c r="A41" s="77" t="s">
        <v>103</v>
      </c>
      <c r="B41" s="86" t="s">
        <v>160</v>
      </c>
      <c r="C41" s="77">
        <v>696.8</v>
      </c>
      <c r="D41" s="77">
        <v>8.6</v>
      </c>
      <c r="E41" s="77">
        <v>700.6</v>
      </c>
      <c r="F41" s="77">
        <v>8.2</v>
      </c>
      <c r="G41" s="77">
        <v>697.1</v>
      </c>
      <c r="H41" s="77">
        <v>8.1</v>
      </c>
      <c r="I41" s="77">
        <v>40</v>
      </c>
      <c r="J41" s="77">
        <v>40</v>
      </c>
      <c r="K41" s="77"/>
      <c r="L41" s="94"/>
      <c r="M41" s="94"/>
      <c r="N41" s="91">
        <v>3.80000000000007</v>
      </c>
      <c r="O41" s="91">
        <v>-0.4</v>
      </c>
      <c r="P41" s="92">
        <v>13.6214671400003</v>
      </c>
      <c r="Q41" s="91">
        <v>0.300000000000068</v>
      </c>
      <c r="R41" s="91">
        <v>-0.5</v>
      </c>
      <c r="S41" s="92">
        <v>0.232221090000258</v>
      </c>
      <c r="T41" s="103"/>
      <c r="U41" s="90"/>
      <c r="Y41" s="94" t="s">
        <v>103</v>
      </c>
      <c r="Z41" s="94" t="s">
        <v>160</v>
      </c>
      <c r="AA41" s="108">
        <v>14</v>
      </c>
      <c r="AB41" s="108">
        <v>14</v>
      </c>
      <c r="AC41" s="108">
        <v>0</v>
      </c>
      <c r="AD41" s="108">
        <v>40</v>
      </c>
      <c r="AE41" s="92">
        <v>0.35</v>
      </c>
      <c r="AF41" s="109">
        <v>0</v>
      </c>
    </row>
    <row r="42" spans="1:32">
      <c r="A42" s="77" t="s">
        <v>103</v>
      </c>
      <c r="B42" s="86" t="s">
        <v>161</v>
      </c>
      <c r="C42" s="77">
        <v>288</v>
      </c>
      <c r="D42" s="77">
        <v>8.9</v>
      </c>
      <c r="E42" s="77">
        <v>290.6</v>
      </c>
      <c r="F42" s="77">
        <v>8.4</v>
      </c>
      <c r="G42" s="77">
        <v>288.1</v>
      </c>
      <c r="H42" s="77">
        <v>8.3</v>
      </c>
      <c r="I42" s="77">
        <v>33.33333333</v>
      </c>
      <c r="J42" s="77">
        <v>33</v>
      </c>
      <c r="K42" s="77"/>
      <c r="L42" s="93"/>
      <c r="M42" s="93"/>
      <c r="N42" s="91">
        <v>2.60000000000002</v>
      </c>
      <c r="O42" s="91">
        <v>-0.5</v>
      </c>
      <c r="P42" s="92">
        <v>8.91258278000009</v>
      </c>
      <c r="Q42" s="91">
        <v>0.100000000000023</v>
      </c>
      <c r="R42" s="91">
        <v>-0.6</v>
      </c>
      <c r="S42" s="92">
        <v>0</v>
      </c>
      <c r="T42" s="105"/>
      <c r="U42" s="94"/>
      <c r="Y42" s="93" t="s">
        <v>103</v>
      </c>
      <c r="Z42" s="93" t="s">
        <v>161</v>
      </c>
      <c r="AA42" s="108">
        <v>9</v>
      </c>
      <c r="AB42" s="108">
        <v>9</v>
      </c>
      <c r="AC42" s="108">
        <v>0</v>
      </c>
      <c r="AD42" s="108">
        <v>33</v>
      </c>
      <c r="AE42" s="92">
        <v>0.272727272727273</v>
      </c>
      <c r="AF42" s="109">
        <v>0</v>
      </c>
    </row>
    <row r="43" spans="1:32">
      <c r="A43" s="77" t="s">
        <v>103</v>
      </c>
      <c r="B43" s="86" t="s">
        <v>162</v>
      </c>
      <c r="C43" s="77">
        <v>568.9</v>
      </c>
      <c r="D43" s="77">
        <v>8.5</v>
      </c>
      <c r="E43" s="77">
        <v>570.3</v>
      </c>
      <c r="F43" s="77">
        <v>8.1</v>
      </c>
      <c r="G43" s="77">
        <v>569.1</v>
      </c>
      <c r="H43" s="77">
        <v>8</v>
      </c>
      <c r="I43" s="77">
        <v>26.66666667</v>
      </c>
      <c r="J43" s="77">
        <v>27</v>
      </c>
      <c r="K43" s="77"/>
      <c r="N43">
        <v>1.39999999999998</v>
      </c>
      <c r="O43">
        <v>-0.4</v>
      </c>
      <c r="P43">
        <v>4.56369841999991</v>
      </c>
      <c r="Q43">
        <v>0.200000000000045</v>
      </c>
      <c r="R43">
        <v>-0.5</v>
      </c>
      <c r="S43">
        <v>0</v>
      </c>
      <c r="Y43" t="s">
        <v>103</v>
      </c>
      <c r="Z43" t="s">
        <v>162</v>
      </c>
      <c r="AA43">
        <v>5</v>
      </c>
      <c r="AB43">
        <v>5</v>
      </c>
      <c r="AC43">
        <v>0</v>
      </c>
      <c r="AD43">
        <v>27</v>
      </c>
      <c r="AE43">
        <v>0.185185185185185</v>
      </c>
      <c r="AF43">
        <v>0</v>
      </c>
    </row>
    <row r="44" spans="1:32">
      <c r="A44" s="77" t="s">
        <v>103</v>
      </c>
      <c r="B44" s="86" t="s">
        <v>163</v>
      </c>
      <c r="C44" s="77">
        <v>751.6</v>
      </c>
      <c r="D44" s="77">
        <v>8.6</v>
      </c>
      <c r="E44" s="77">
        <v>753.4</v>
      </c>
      <c r="F44" s="77">
        <v>8.3</v>
      </c>
      <c r="G44" s="77">
        <v>751.9</v>
      </c>
      <c r="H44" s="77">
        <v>8.2</v>
      </c>
      <c r="I44" s="77">
        <v>20</v>
      </c>
      <c r="J44" s="77">
        <v>20</v>
      </c>
      <c r="K44" s="77"/>
      <c r="N44">
        <v>1.79999999999995</v>
      </c>
      <c r="O44">
        <v>-0.299999999999999</v>
      </c>
      <c r="P44">
        <v>6.25332653999983</v>
      </c>
      <c r="Q44">
        <v>0.299999999999955</v>
      </c>
      <c r="R44">
        <v>-0.4</v>
      </c>
      <c r="S44">
        <v>0.412221089999828</v>
      </c>
      <c r="Y44" t="s">
        <v>103</v>
      </c>
      <c r="Z44" t="s">
        <v>163</v>
      </c>
      <c r="AA44">
        <v>6</v>
      </c>
      <c r="AB44">
        <v>6</v>
      </c>
      <c r="AC44">
        <v>0</v>
      </c>
      <c r="AD44">
        <v>20</v>
      </c>
      <c r="AE44">
        <v>0.3</v>
      </c>
      <c r="AF44">
        <v>0</v>
      </c>
    </row>
    <row r="45" spans="1:32">
      <c r="A45" s="77" t="s">
        <v>103</v>
      </c>
      <c r="B45" s="86" t="s">
        <v>164</v>
      </c>
      <c r="C45" s="77">
        <v>568.9</v>
      </c>
      <c r="D45" s="77">
        <v>8.5</v>
      </c>
      <c r="E45" s="77">
        <v>570.3</v>
      </c>
      <c r="F45" s="77">
        <v>8.1</v>
      </c>
      <c r="G45" s="77">
        <v>569.1</v>
      </c>
      <c r="H45" s="77">
        <v>8</v>
      </c>
      <c r="I45" s="77">
        <v>26.66666667</v>
      </c>
      <c r="J45" s="77">
        <v>27</v>
      </c>
      <c r="K45" s="77"/>
      <c r="N45">
        <v>1.39999999999998</v>
      </c>
      <c r="O45">
        <v>-0.4</v>
      </c>
      <c r="P45">
        <v>4.56369841999991</v>
      </c>
      <c r="Q45">
        <v>0.200000000000045</v>
      </c>
      <c r="R45">
        <v>-0.5</v>
      </c>
      <c r="S45">
        <v>0</v>
      </c>
      <c r="Y45" t="s">
        <v>103</v>
      </c>
      <c r="Z45" t="s">
        <v>164</v>
      </c>
      <c r="AA45">
        <v>5</v>
      </c>
      <c r="AB45">
        <v>5</v>
      </c>
      <c r="AC45">
        <v>0</v>
      </c>
      <c r="AD45">
        <v>27</v>
      </c>
      <c r="AE45">
        <v>0.185185185185185</v>
      </c>
      <c r="AF45">
        <v>0</v>
      </c>
    </row>
    <row r="46" spans="1:32">
      <c r="A46" s="77" t="s">
        <v>103</v>
      </c>
      <c r="B46" s="86" t="s">
        <v>165</v>
      </c>
      <c r="C46" s="77">
        <v>751.6</v>
      </c>
      <c r="D46" s="77">
        <v>8.6</v>
      </c>
      <c r="E46" s="77">
        <v>753.4</v>
      </c>
      <c r="F46" s="77">
        <v>8.3</v>
      </c>
      <c r="G46" s="77">
        <v>751.9</v>
      </c>
      <c r="H46" s="77">
        <v>8.2</v>
      </c>
      <c r="I46" s="77">
        <v>20</v>
      </c>
      <c r="J46" s="77">
        <v>20</v>
      </c>
      <c r="K46" s="77"/>
      <c r="N46">
        <v>1.79999999999995</v>
      </c>
      <c r="O46">
        <v>-0.299999999999999</v>
      </c>
      <c r="P46">
        <v>6.25332653999983</v>
      </c>
      <c r="Q46">
        <v>0.299999999999955</v>
      </c>
      <c r="R46">
        <v>-0.4</v>
      </c>
      <c r="S46">
        <v>0.412221089999828</v>
      </c>
      <c r="Y46" t="s">
        <v>103</v>
      </c>
      <c r="Z46" t="s">
        <v>165</v>
      </c>
      <c r="AA46">
        <v>6</v>
      </c>
      <c r="AB46">
        <v>6</v>
      </c>
      <c r="AC46">
        <v>0</v>
      </c>
      <c r="AD46">
        <v>20</v>
      </c>
      <c r="AE46">
        <v>0.3</v>
      </c>
      <c r="AF46">
        <v>0</v>
      </c>
    </row>
    <row r="47" spans="1:32">
      <c r="A47" s="77" t="s">
        <v>103</v>
      </c>
      <c r="B47" s="86" t="s">
        <v>166</v>
      </c>
      <c r="C47" s="77">
        <v>568.9</v>
      </c>
      <c r="D47" s="77">
        <v>8.5</v>
      </c>
      <c r="E47" s="77">
        <v>570.3</v>
      </c>
      <c r="F47" s="77">
        <v>8.1</v>
      </c>
      <c r="G47" s="77">
        <v>569.1</v>
      </c>
      <c r="H47" s="77">
        <v>8</v>
      </c>
      <c r="I47" s="77">
        <v>26.66666667</v>
      </c>
      <c r="J47" s="77">
        <v>27</v>
      </c>
      <c r="K47" s="77"/>
      <c r="N47">
        <v>1.39999999999998</v>
      </c>
      <c r="O47">
        <v>-0.4</v>
      </c>
      <c r="P47">
        <v>4.56369841999991</v>
      </c>
      <c r="Q47">
        <v>0.200000000000045</v>
      </c>
      <c r="R47">
        <v>-0.5</v>
      </c>
      <c r="S47">
        <v>0</v>
      </c>
      <c r="Y47" t="s">
        <v>103</v>
      </c>
      <c r="Z47" t="s">
        <v>166</v>
      </c>
      <c r="AA47">
        <v>5</v>
      </c>
      <c r="AB47">
        <v>5</v>
      </c>
      <c r="AC47">
        <v>0</v>
      </c>
      <c r="AD47">
        <v>27</v>
      </c>
      <c r="AE47">
        <v>0.185185185185185</v>
      </c>
      <c r="AF47">
        <v>0</v>
      </c>
    </row>
    <row r="48" spans="1:32">
      <c r="A48" s="77" t="s">
        <v>103</v>
      </c>
      <c r="B48" s="86" t="s">
        <v>167</v>
      </c>
      <c r="C48" s="77">
        <v>751.6</v>
      </c>
      <c r="D48" s="77">
        <v>8.6</v>
      </c>
      <c r="E48" s="77">
        <v>753.4</v>
      </c>
      <c r="F48" s="77">
        <v>8.3</v>
      </c>
      <c r="G48" s="77">
        <v>751.9</v>
      </c>
      <c r="H48" s="77">
        <v>8.2</v>
      </c>
      <c r="I48" s="77">
        <v>20</v>
      </c>
      <c r="J48" s="77">
        <v>20</v>
      </c>
      <c r="K48" s="77"/>
      <c r="N48">
        <v>1.79999999999995</v>
      </c>
      <c r="O48">
        <v>-0.299999999999999</v>
      </c>
      <c r="P48">
        <v>6.25332653999983</v>
      </c>
      <c r="Q48">
        <v>0.299999999999955</v>
      </c>
      <c r="R48">
        <v>-0.4</v>
      </c>
      <c r="S48">
        <v>0.412221089999828</v>
      </c>
      <c r="Y48" t="s">
        <v>103</v>
      </c>
      <c r="Z48" t="s">
        <v>167</v>
      </c>
      <c r="AA48">
        <v>6</v>
      </c>
      <c r="AB48">
        <v>6</v>
      </c>
      <c r="AC48">
        <v>0</v>
      </c>
      <c r="AD48">
        <v>20</v>
      </c>
      <c r="AE48">
        <v>0.3</v>
      </c>
      <c r="AF48">
        <v>0</v>
      </c>
    </row>
    <row r="49" spans="1:32">
      <c r="A49" s="77" t="s">
        <v>103</v>
      </c>
      <c r="B49" s="86" t="s">
        <v>168</v>
      </c>
      <c r="C49" s="77">
        <v>568.9</v>
      </c>
      <c r="D49" s="77">
        <v>8.5</v>
      </c>
      <c r="E49" s="77">
        <v>570.3</v>
      </c>
      <c r="F49" s="77">
        <v>8.1</v>
      </c>
      <c r="G49" s="77">
        <v>569.1</v>
      </c>
      <c r="H49" s="77">
        <v>8</v>
      </c>
      <c r="I49" s="77">
        <v>26.66666667</v>
      </c>
      <c r="J49" s="77">
        <v>27</v>
      </c>
      <c r="K49" s="77"/>
      <c r="N49">
        <v>1.39999999999998</v>
      </c>
      <c r="O49">
        <v>-0.4</v>
      </c>
      <c r="P49">
        <v>4.56369841999991</v>
      </c>
      <c r="Q49">
        <v>0.200000000000045</v>
      </c>
      <c r="R49">
        <v>-0.5</v>
      </c>
      <c r="S49">
        <v>0</v>
      </c>
      <c r="Y49" t="s">
        <v>103</v>
      </c>
      <c r="Z49" t="s">
        <v>168</v>
      </c>
      <c r="AA49">
        <v>5</v>
      </c>
      <c r="AB49">
        <v>5</v>
      </c>
      <c r="AC49">
        <v>0</v>
      </c>
      <c r="AD49">
        <v>27</v>
      </c>
      <c r="AE49">
        <v>0.185185185185185</v>
      </c>
      <c r="AF49">
        <v>0</v>
      </c>
    </row>
    <row r="50" spans="1:32">
      <c r="A50" s="77" t="s">
        <v>103</v>
      </c>
      <c r="B50" s="86" t="s">
        <v>169</v>
      </c>
      <c r="C50" s="77">
        <v>751.6</v>
      </c>
      <c r="D50" s="77">
        <v>8.6</v>
      </c>
      <c r="E50" s="77">
        <v>753.4</v>
      </c>
      <c r="F50" s="77">
        <v>8.3</v>
      </c>
      <c r="G50" s="77">
        <v>751.9</v>
      </c>
      <c r="H50" s="77">
        <v>8.2</v>
      </c>
      <c r="I50" s="77">
        <v>20</v>
      </c>
      <c r="J50" s="77">
        <v>20</v>
      </c>
      <c r="K50" s="77"/>
      <c r="N50">
        <v>1.79999999999995</v>
      </c>
      <c r="O50">
        <v>-0.299999999999999</v>
      </c>
      <c r="P50">
        <v>6.25332653999983</v>
      </c>
      <c r="Q50">
        <v>0.299999999999955</v>
      </c>
      <c r="R50">
        <v>-0.4</v>
      </c>
      <c r="S50">
        <v>0.412221089999828</v>
      </c>
      <c r="Y50" t="s">
        <v>103</v>
      </c>
      <c r="Z50" t="s">
        <v>169</v>
      </c>
      <c r="AA50">
        <v>6</v>
      </c>
      <c r="AB50">
        <v>6</v>
      </c>
      <c r="AC50">
        <v>0</v>
      </c>
      <c r="AD50">
        <v>20</v>
      </c>
      <c r="AE50">
        <v>0.3</v>
      </c>
      <c r="AF50">
        <v>0</v>
      </c>
    </row>
    <row r="51" spans="1:32">
      <c r="A51" s="77" t="s">
        <v>112</v>
      </c>
      <c r="B51" s="86" t="s">
        <v>148</v>
      </c>
      <c r="C51" s="77">
        <v>741.6</v>
      </c>
      <c r="D51" s="77">
        <v>7.3</v>
      </c>
      <c r="E51" s="77">
        <v>746.4</v>
      </c>
      <c r="F51" s="77">
        <v>7.2</v>
      </c>
      <c r="G51" s="77">
        <v>742.4</v>
      </c>
      <c r="H51" s="77">
        <v>7.1</v>
      </c>
      <c r="I51" s="77">
        <v>70</v>
      </c>
      <c r="J51" s="77">
        <v>70</v>
      </c>
      <c r="K51" s="77"/>
      <c r="N51">
        <v>4.79999999999995</v>
      </c>
      <c r="O51">
        <v>-0.0999999999999996</v>
      </c>
      <c r="P51">
        <v>17.9355374399998</v>
      </c>
      <c r="Q51">
        <v>0.799999999999955</v>
      </c>
      <c r="R51">
        <v>-0.2</v>
      </c>
      <c r="S51">
        <v>2.65925623999983</v>
      </c>
      <c r="Y51" t="s">
        <v>112</v>
      </c>
      <c r="Z51" t="s">
        <v>148</v>
      </c>
      <c r="AA51">
        <v>18</v>
      </c>
      <c r="AB51">
        <v>15</v>
      </c>
      <c r="AC51">
        <v>3</v>
      </c>
      <c r="AD51">
        <v>70</v>
      </c>
      <c r="AE51">
        <v>0.214285714285714</v>
      </c>
      <c r="AF51">
        <v>0.166666666666667</v>
      </c>
    </row>
    <row r="52" spans="1:32">
      <c r="A52" s="77" t="s">
        <v>112</v>
      </c>
      <c r="B52" s="86" t="s">
        <v>149</v>
      </c>
      <c r="C52" s="77">
        <v>647.9</v>
      </c>
      <c r="D52" s="77">
        <v>7.3</v>
      </c>
      <c r="E52" s="77">
        <v>655.5</v>
      </c>
      <c r="F52" s="77">
        <v>7.1</v>
      </c>
      <c r="G52" s="77">
        <v>649</v>
      </c>
      <c r="H52" s="77">
        <v>7.1</v>
      </c>
      <c r="I52" s="77">
        <v>76.67</v>
      </c>
      <c r="J52" s="77">
        <v>77</v>
      </c>
      <c r="K52" s="77"/>
      <c r="N52">
        <v>7.60000000000002</v>
      </c>
      <c r="O52">
        <v>-0.2</v>
      </c>
      <c r="P52">
        <v>28.3229342800001</v>
      </c>
      <c r="Q52">
        <v>1.10000000000002</v>
      </c>
      <c r="R52">
        <v>-0.2</v>
      </c>
      <c r="S52">
        <v>3.79147733000009</v>
      </c>
      <c r="Y52" t="s">
        <v>112</v>
      </c>
      <c r="Z52" t="s">
        <v>149</v>
      </c>
      <c r="AA52">
        <v>28</v>
      </c>
      <c r="AB52">
        <v>24</v>
      </c>
      <c r="AC52">
        <v>4</v>
      </c>
      <c r="AD52">
        <v>77</v>
      </c>
      <c r="AE52">
        <v>0.311688311688312</v>
      </c>
      <c r="AF52">
        <v>0.142857142857143</v>
      </c>
    </row>
    <row r="53" spans="1:32">
      <c r="A53" s="77" t="s">
        <v>112</v>
      </c>
      <c r="B53" s="86" t="s">
        <v>150</v>
      </c>
      <c r="C53" s="77">
        <v>723.6</v>
      </c>
      <c r="D53" s="77">
        <v>8</v>
      </c>
      <c r="E53" s="77">
        <v>733.1</v>
      </c>
      <c r="F53" s="77">
        <v>7.7</v>
      </c>
      <c r="G53" s="77">
        <v>725</v>
      </c>
      <c r="H53" s="77">
        <v>7.7</v>
      </c>
      <c r="I53" s="77">
        <v>86.67</v>
      </c>
      <c r="J53" s="77">
        <v>87</v>
      </c>
      <c r="K53" s="77"/>
      <c r="N53">
        <v>9.5</v>
      </c>
      <c r="O53">
        <v>-0.3</v>
      </c>
      <c r="P53">
        <v>35.31366785</v>
      </c>
      <c r="Q53">
        <v>1.39999999999998</v>
      </c>
      <c r="R53">
        <v>-0.3</v>
      </c>
      <c r="S53">
        <v>4.74369841999992</v>
      </c>
      <c r="Y53" t="s">
        <v>112</v>
      </c>
      <c r="Z53" t="s">
        <v>150</v>
      </c>
      <c r="AA53">
        <v>35</v>
      </c>
      <c r="AB53">
        <v>30</v>
      </c>
      <c r="AC53">
        <v>5</v>
      </c>
      <c r="AD53">
        <v>87</v>
      </c>
      <c r="AE53">
        <v>0.344827586206897</v>
      </c>
      <c r="AF53">
        <v>0.142857142857143</v>
      </c>
    </row>
    <row r="54" spans="1:32">
      <c r="A54" s="77" t="s">
        <v>112</v>
      </c>
      <c r="B54" s="86" t="s">
        <v>151</v>
      </c>
      <c r="C54" s="77">
        <v>707.3</v>
      </c>
      <c r="D54" s="77">
        <v>7.9</v>
      </c>
      <c r="E54" s="77">
        <v>717.5</v>
      </c>
      <c r="F54" s="77">
        <v>7.6</v>
      </c>
      <c r="G54" s="77">
        <v>708.6</v>
      </c>
      <c r="H54" s="77">
        <v>7.6</v>
      </c>
      <c r="I54" s="77">
        <v>93.33</v>
      </c>
      <c r="J54" s="77">
        <v>93</v>
      </c>
      <c r="K54" s="77"/>
      <c r="N54">
        <v>10.2</v>
      </c>
      <c r="O54">
        <v>-0.300000000000001</v>
      </c>
      <c r="P54">
        <v>37.9555170600002</v>
      </c>
      <c r="Q54">
        <v>1.30000000000007</v>
      </c>
      <c r="R54">
        <v>-0.300000000000001</v>
      </c>
      <c r="S54">
        <v>4.36629139000026</v>
      </c>
      <c r="Y54" t="s">
        <v>112</v>
      </c>
      <c r="Z54" t="s">
        <v>151</v>
      </c>
      <c r="AA54">
        <v>38</v>
      </c>
      <c r="AB54">
        <v>34</v>
      </c>
      <c r="AC54">
        <v>4</v>
      </c>
      <c r="AD54">
        <v>93</v>
      </c>
      <c r="AE54">
        <v>0.365591397849462</v>
      </c>
      <c r="AF54">
        <v>0.105263157894737</v>
      </c>
    </row>
    <row r="55" spans="1:32">
      <c r="A55" s="77" t="s">
        <v>112</v>
      </c>
      <c r="B55" s="86" t="s">
        <v>152</v>
      </c>
      <c r="C55" s="77">
        <v>716.2</v>
      </c>
      <c r="D55" s="77">
        <v>8.1</v>
      </c>
      <c r="E55" s="77">
        <v>724.3</v>
      </c>
      <c r="F55" s="77">
        <v>7.8</v>
      </c>
      <c r="G55" s="77">
        <v>717.4</v>
      </c>
      <c r="H55" s="77">
        <v>7.8</v>
      </c>
      <c r="I55" s="77">
        <v>100</v>
      </c>
      <c r="J55" s="77">
        <v>100</v>
      </c>
      <c r="K55" s="77"/>
      <c r="N55">
        <v>8.09999999999991</v>
      </c>
      <c r="O55">
        <v>-0.3</v>
      </c>
      <c r="P55">
        <v>30.0299694299997</v>
      </c>
      <c r="Q55">
        <v>1.19999999999993</v>
      </c>
      <c r="R55">
        <v>-0.3</v>
      </c>
      <c r="S55">
        <v>3.98888435999974</v>
      </c>
      <c r="Y55" t="s">
        <v>112</v>
      </c>
      <c r="Z55" t="s">
        <v>152</v>
      </c>
      <c r="AA55">
        <v>30</v>
      </c>
      <c r="AB55">
        <v>26</v>
      </c>
      <c r="AC55">
        <v>4</v>
      </c>
      <c r="AD55">
        <v>100</v>
      </c>
      <c r="AE55">
        <v>0.26</v>
      </c>
      <c r="AF55">
        <v>0.133333333333333</v>
      </c>
    </row>
    <row r="56" spans="1:32">
      <c r="A56" s="77" t="s">
        <v>112</v>
      </c>
      <c r="B56" s="86" t="s">
        <v>153</v>
      </c>
      <c r="C56" s="77">
        <v>667.3</v>
      </c>
      <c r="D56" s="77">
        <v>8.2</v>
      </c>
      <c r="E56" s="77">
        <v>682.9</v>
      </c>
      <c r="F56" s="77">
        <v>7.8</v>
      </c>
      <c r="G56" s="77">
        <v>670.2</v>
      </c>
      <c r="H56" s="77">
        <v>7.8</v>
      </c>
      <c r="I56" s="77">
        <v>100</v>
      </c>
      <c r="J56" s="77">
        <v>100</v>
      </c>
      <c r="K56" s="77"/>
      <c r="N56">
        <v>15.6</v>
      </c>
      <c r="O56">
        <v>-0.399999999999999</v>
      </c>
      <c r="P56">
        <v>58.1554966800001</v>
      </c>
      <c r="Q56">
        <v>2.90000000000009</v>
      </c>
      <c r="R56">
        <v>-0.399999999999999</v>
      </c>
      <c r="S56">
        <v>10.2248038700003</v>
      </c>
      <c r="Y56" t="s">
        <v>112</v>
      </c>
      <c r="Z56" t="s">
        <v>153</v>
      </c>
      <c r="AA56">
        <v>58</v>
      </c>
      <c r="AB56">
        <v>48</v>
      </c>
      <c r="AC56">
        <v>10</v>
      </c>
      <c r="AD56">
        <v>100</v>
      </c>
      <c r="AE56">
        <v>0.48</v>
      </c>
      <c r="AF56">
        <v>0.172413793103448</v>
      </c>
    </row>
    <row r="57" spans="1:32">
      <c r="A57" s="77" t="s">
        <v>112</v>
      </c>
      <c r="B57" s="86" t="s">
        <v>154</v>
      </c>
      <c r="C57" s="77">
        <v>612.5</v>
      </c>
      <c r="D57" s="77">
        <v>8.4</v>
      </c>
      <c r="E57" s="77">
        <v>626.6</v>
      </c>
      <c r="F57" s="77">
        <v>7.8</v>
      </c>
      <c r="G57" s="77">
        <v>615.1</v>
      </c>
      <c r="H57" s="77">
        <v>7.8</v>
      </c>
      <c r="I57" s="77">
        <v>93.33</v>
      </c>
      <c r="J57" s="77">
        <v>93</v>
      </c>
      <c r="K57" s="77"/>
      <c r="N57">
        <v>14.1</v>
      </c>
      <c r="O57">
        <v>-0.600000000000001</v>
      </c>
      <c r="P57">
        <v>52.1343912300001</v>
      </c>
      <c r="Q57">
        <v>2.60000000000002</v>
      </c>
      <c r="R57">
        <v>-0.600000000000001</v>
      </c>
      <c r="S57">
        <v>8.73258278000009</v>
      </c>
      <c r="Y57" t="s">
        <v>112</v>
      </c>
      <c r="Z57" t="s">
        <v>154</v>
      </c>
      <c r="AA57">
        <v>52</v>
      </c>
      <c r="AB57">
        <v>43</v>
      </c>
      <c r="AC57">
        <v>9</v>
      </c>
      <c r="AD57">
        <v>93</v>
      </c>
      <c r="AE57">
        <v>0.462365591397849</v>
      </c>
      <c r="AF57">
        <v>0.173076923076923</v>
      </c>
    </row>
    <row r="58" spans="1:32">
      <c r="A58" s="77" t="s">
        <v>112</v>
      </c>
      <c r="B58" s="86" t="s">
        <v>155</v>
      </c>
      <c r="C58" s="77">
        <v>661.7</v>
      </c>
      <c r="D58" s="77">
        <v>8.2</v>
      </c>
      <c r="E58" s="77">
        <v>671.3</v>
      </c>
      <c r="F58" s="77">
        <v>7.6</v>
      </c>
      <c r="G58" s="77">
        <v>663.1</v>
      </c>
      <c r="H58" s="77">
        <v>7.7</v>
      </c>
      <c r="I58" s="77">
        <v>86.67</v>
      </c>
      <c r="J58" s="77">
        <v>87</v>
      </c>
      <c r="K58" s="77"/>
      <c r="N58">
        <v>9.59999999999991</v>
      </c>
      <c r="O58">
        <v>-0.6</v>
      </c>
      <c r="P58">
        <v>35.1510748799997</v>
      </c>
      <c r="Q58">
        <v>1.39999999999998</v>
      </c>
      <c r="R58">
        <v>-0.499999999999999</v>
      </c>
      <c r="S58">
        <v>4.38369841999992</v>
      </c>
      <c r="Y58" t="s">
        <v>112</v>
      </c>
      <c r="Z58" t="s">
        <v>155</v>
      </c>
      <c r="AA58">
        <v>35</v>
      </c>
      <c r="AB58">
        <v>31</v>
      </c>
      <c r="AC58">
        <v>4</v>
      </c>
      <c r="AD58">
        <v>87</v>
      </c>
      <c r="AE58">
        <v>0.35632183908046</v>
      </c>
      <c r="AF58">
        <v>0.114285714285714</v>
      </c>
    </row>
    <row r="59" spans="1:32">
      <c r="A59" s="77" t="s">
        <v>112</v>
      </c>
      <c r="B59" s="86" t="s">
        <v>156</v>
      </c>
      <c r="C59" s="77">
        <v>591.8</v>
      </c>
      <c r="D59" s="77">
        <v>10</v>
      </c>
      <c r="E59" s="77">
        <v>604</v>
      </c>
      <c r="F59" s="77">
        <v>9.3</v>
      </c>
      <c r="G59" s="77">
        <v>594.1</v>
      </c>
      <c r="H59" s="77">
        <v>9.5</v>
      </c>
      <c r="I59" s="77">
        <v>80</v>
      </c>
      <c r="J59" s="77">
        <v>80</v>
      </c>
      <c r="K59" s="77"/>
      <c r="N59">
        <v>12.2</v>
      </c>
      <c r="O59">
        <v>-0.699999999999999</v>
      </c>
      <c r="P59">
        <v>44.7836576600002</v>
      </c>
      <c r="Q59">
        <v>2.30000000000007</v>
      </c>
      <c r="R59">
        <v>-0.5</v>
      </c>
      <c r="S59">
        <v>7.78036169000026</v>
      </c>
      <c r="Y59" t="s">
        <v>112</v>
      </c>
      <c r="Z59" t="s">
        <v>156</v>
      </c>
      <c r="AA59">
        <v>45</v>
      </c>
      <c r="AB59">
        <v>37</v>
      </c>
      <c r="AC59">
        <v>8</v>
      </c>
      <c r="AD59">
        <v>80</v>
      </c>
      <c r="AE59">
        <v>0.4625</v>
      </c>
      <c r="AF59">
        <v>0.177777777777778</v>
      </c>
    </row>
    <row r="60" spans="1:32">
      <c r="A60" s="77" t="s">
        <v>112</v>
      </c>
      <c r="B60" s="86" t="s">
        <v>157</v>
      </c>
      <c r="C60" s="77">
        <v>677.3</v>
      </c>
      <c r="D60" s="77">
        <v>8.6</v>
      </c>
      <c r="E60" s="77">
        <v>685.3</v>
      </c>
      <c r="F60" s="77">
        <v>8.1</v>
      </c>
      <c r="G60" s="77">
        <v>678.9</v>
      </c>
      <c r="H60" s="77">
        <v>8.1</v>
      </c>
      <c r="I60" s="77">
        <v>70</v>
      </c>
      <c r="J60" s="77">
        <v>70</v>
      </c>
      <c r="K60" s="77"/>
      <c r="N60">
        <v>8</v>
      </c>
      <c r="O60">
        <v>-0.5</v>
      </c>
      <c r="P60">
        <v>29.2925624</v>
      </c>
      <c r="Q60">
        <v>1.60000000000002</v>
      </c>
      <c r="R60">
        <v>-0.5</v>
      </c>
      <c r="S60">
        <v>5.13851248000009</v>
      </c>
      <c r="Y60" t="s">
        <v>112</v>
      </c>
      <c r="Z60" t="s">
        <v>157</v>
      </c>
      <c r="AA60">
        <v>29</v>
      </c>
      <c r="AB60">
        <v>24</v>
      </c>
      <c r="AC60">
        <v>5</v>
      </c>
      <c r="AD60">
        <v>70</v>
      </c>
      <c r="AE60">
        <v>0.342857142857143</v>
      </c>
      <c r="AF60">
        <v>0.172413793103448</v>
      </c>
    </row>
    <row r="61" spans="1:32">
      <c r="A61" s="77" t="s">
        <v>112</v>
      </c>
      <c r="B61" s="86" t="s">
        <v>158</v>
      </c>
      <c r="C61" s="77">
        <v>651.3</v>
      </c>
      <c r="D61" s="77">
        <v>8.2</v>
      </c>
      <c r="E61" s="77">
        <v>659</v>
      </c>
      <c r="F61" s="77">
        <v>7.4</v>
      </c>
      <c r="G61" s="77">
        <v>651.7</v>
      </c>
      <c r="H61" s="77">
        <v>8.1</v>
      </c>
      <c r="I61" s="77">
        <v>60</v>
      </c>
      <c r="J61" s="77">
        <v>60</v>
      </c>
      <c r="K61" s="77"/>
      <c r="N61">
        <v>7.70000000000005</v>
      </c>
      <c r="O61">
        <v>-0.799999999999999</v>
      </c>
      <c r="P61">
        <v>27.6203413100002</v>
      </c>
      <c r="Q61">
        <v>0.400000000000091</v>
      </c>
      <c r="R61">
        <v>-0.0999999999999996</v>
      </c>
      <c r="S61">
        <v>1.32962812000034</v>
      </c>
      <c r="Y61" t="s">
        <v>112</v>
      </c>
      <c r="Z61" t="s">
        <v>158</v>
      </c>
      <c r="AA61">
        <v>28</v>
      </c>
      <c r="AB61">
        <v>27</v>
      </c>
      <c r="AC61">
        <v>1</v>
      </c>
      <c r="AD61">
        <v>60</v>
      </c>
      <c r="AE61">
        <v>0.45</v>
      </c>
      <c r="AF61">
        <v>0.0357142857142857</v>
      </c>
    </row>
    <row r="62" spans="1:32">
      <c r="A62" s="77" t="s">
        <v>112</v>
      </c>
      <c r="B62" s="86" t="s">
        <v>159</v>
      </c>
      <c r="C62" s="77">
        <v>676.8</v>
      </c>
      <c r="D62" s="77">
        <v>8.7</v>
      </c>
      <c r="E62" s="77">
        <v>681.8</v>
      </c>
      <c r="F62" s="77">
        <v>8.2</v>
      </c>
      <c r="G62" s="77">
        <v>677.6</v>
      </c>
      <c r="H62" s="77">
        <v>8.2</v>
      </c>
      <c r="I62" s="77">
        <v>50</v>
      </c>
      <c r="J62" s="77">
        <v>50</v>
      </c>
      <c r="K62" s="77"/>
      <c r="N62">
        <v>5</v>
      </c>
      <c r="O62">
        <v>-0.5</v>
      </c>
      <c r="P62">
        <v>17.9703515</v>
      </c>
      <c r="Q62">
        <v>0.800000000000068</v>
      </c>
      <c r="R62">
        <v>-0.5</v>
      </c>
      <c r="S62">
        <v>2.11925624000026</v>
      </c>
      <c r="Y62" t="s">
        <v>112</v>
      </c>
      <c r="Z62" t="s">
        <v>159</v>
      </c>
      <c r="AA62">
        <v>18</v>
      </c>
      <c r="AB62">
        <v>16</v>
      </c>
      <c r="AC62">
        <v>2</v>
      </c>
      <c r="AD62">
        <v>50</v>
      </c>
      <c r="AE62">
        <v>0.32</v>
      </c>
      <c r="AF62">
        <v>0.111111111111111</v>
      </c>
    </row>
    <row r="63" spans="1:32">
      <c r="A63" s="77" t="s">
        <v>112</v>
      </c>
      <c r="B63" s="86" t="s">
        <v>160</v>
      </c>
      <c r="C63" s="77">
        <v>696.8</v>
      </c>
      <c r="D63" s="77">
        <v>8.6</v>
      </c>
      <c r="E63" s="77">
        <v>700.6</v>
      </c>
      <c r="F63" s="77">
        <v>8.2</v>
      </c>
      <c r="G63" s="77">
        <v>697.1</v>
      </c>
      <c r="H63" s="77">
        <v>8.1</v>
      </c>
      <c r="I63" s="77">
        <v>40</v>
      </c>
      <c r="J63" s="77">
        <v>40</v>
      </c>
      <c r="K63" s="77"/>
      <c r="N63">
        <v>3.80000000000007</v>
      </c>
      <c r="O63">
        <v>-0.4</v>
      </c>
      <c r="P63">
        <v>13.6214671400003</v>
      </c>
      <c r="Q63">
        <v>0.300000000000068</v>
      </c>
      <c r="R63">
        <v>-0.5</v>
      </c>
      <c r="S63">
        <v>0.232221090000258</v>
      </c>
      <c r="Y63" t="s">
        <v>112</v>
      </c>
      <c r="Z63" t="s">
        <v>160</v>
      </c>
      <c r="AA63">
        <v>14</v>
      </c>
      <c r="AB63">
        <v>14</v>
      </c>
      <c r="AC63">
        <v>0</v>
      </c>
      <c r="AD63">
        <v>40</v>
      </c>
      <c r="AE63">
        <v>0.35</v>
      </c>
      <c r="AF63">
        <v>0</v>
      </c>
    </row>
    <row r="64" spans="1:32">
      <c r="A64" s="77" t="s">
        <v>112</v>
      </c>
      <c r="B64" s="86" t="s">
        <v>161</v>
      </c>
      <c r="C64" s="77">
        <v>288</v>
      </c>
      <c r="D64" s="77">
        <v>8.9</v>
      </c>
      <c r="E64" s="77">
        <v>290.6</v>
      </c>
      <c r="F64" s="77">
        <v>8.4</v>
      </c>
      <c r="G64" s="77">
        <v>288.1</v>
      </c>
      <c r="H64" s="77">
        <v>8.3</v>
      </c>
      <c r="I64" s="77">
        <v>33.33333333</v>
      </c>
      <c r="J64" s="77">
        <v>33</v>
      </c>
      <c r="K64" s="77"/>
      <c r="N64">
        <v>2.60000000000002</v>
      </c>
      <c r="O64">
        <v>-0.5</v>
      </c>
      <c r="P64">
        <v>8.91258278000009</v>
      </c>
      <c r="Q64">
        <v>0.100000000000023</v>
      </c>
      <c r="R64">
        <v>-0.6</v>
      </c>
      <c r="S64">
        <v>0</v>
      </c>
      <c r="Y64" t="s">
        <v>112</v>
      </c>
      <c r="Z64" t="s">
        <v>161</v>
      </c>
      <c r="AA64">
        <v>9</v>
      </c>
      <c r="AB64">
        <v>9</v>
      </c>
      <c r="AC64">
        <v>0</v>
      </c>
      <c r="AD64">
        <v>33</v>
      </c>
      <c r="AE64">
        <v>0.272727272727273</v>
      </c>
      <c r="AF64">
        <v>0</v>
      </c>
    </row>
    <row r="65" spans="1:32">
      <c r="A65" s="77" t="s">
        <v>112</v>
      </c>
      <c r="B65" s="86" t="s">
        <v>162</v>
      </c>
      <c r="C65" s="77">
        <v>568.9</v>
      </c>
      <c r="D65" s="77">
        <v>8.5</v>
      </c>
      <c r="E65" s="77">
        <v>570.3</v>
      </c>
      <c r="F65" s="77">
        <v>8.1</v>
      </c>
      <c r="G65" s="77">
        <v>569.1</v>
      </c>
      <c r="H65" s="77">
        <v>8</v>
      </c>
      <c r="I65" s="77">
        <v>26.66666667</v>
      </c>
      <c r="J65" s="77">
        <v>27</v>
      </c>
      <c r="K65" s="77"/>
      <c r="N65">
        <v>1.39999999999998</v>
      </c>
      <c r="O65">
        <v>-0.4</v>
      </c>
      <c r="P65">
        <v>4.56369841999991</v>
      </c>
      <c r="Q65">
        <v>0.200000000000045</v>
      </c>
      <c r="R65">
        <v>-0.5</v>
      </c>
      <c r="S65">
        <v>0</v>
      </c>
      <c r="Y65" t="s">
        <v>112</v>
      </c>
      <c r="Z65" t="s">
        <v>162</v>
      </c>
      <c r="AA65">
        <v>5</v>
      </c>
      <c r="AB65">
        <v>5</v>
      </c>
      <c r="AC65">
        <v>0</v>
      </c>
      <c r="AD65">
        <v>27</v>
      </c>
      <c r="AE65">
        <v>0.185185185185185</v>
      </c>
      <c r="AF65">
        <v>0</v>
      </c>
    </row>
    <row r="66" spans="1:32">
      <c r="A66" s="77" t="s">
        <v>112</v>
      </c>
      <c r="B66" s="86" t="s">
        <v>163</v>
      </c>
      <c r="C66" s="77">
        <v>751.6</v>
      </c>
      <c r="D66" s="77">
        <v>8.6</v>
      </c>
      <c r="E66" s="77">
        <v>753.4</v>
      </c>
      <c r="F66" s="77">
        <v>8.3</v>
      </c>
      <c r="G66" s="77">
        <v>751.9</v>
      </c>
      <c r="H66" s="77">
        <v>8.2</v>
      </c>
      <c r="I66" s="77">
        <v>20</v>
      </c>
      <c r="J66" s="77">
        <v>20</v>
      </c>
      <c r="K66" s="77"/>
      <c r="N66">
        <v>1.79999999999995</v>
      </c>
      <c r="O66">
        <v>-0.299999999999999</v>
      </c>
      <c r="P66">
        <v>6.25332653999983</v>
      </c>
      <c r="Q66">
        <v>0.299999999999955</v>
      </c>
      <c r="R66">
        <v>-0.4</v>
      </c>
      <c r="S66">
        <v>0.412221089999828</v>
      </c>
      <c r="Y66" t="s">
        <v>112</v>
      </c>
      <c r="Z66" t="s">
        <v>163</v>
      </c>
      <c r="AA66">
        <v>6</v>
      </c>
      <c r="AB66">
        <v>6</v>
      </c>
      <c r="AC66">
        <v>0</v>
      </c>
      <c r="AD66">
        <v>20</v>
      </c>
      <c r="AE66">
        <v>0.3</v>
      </c>
      <c r="AF66">
        <v>0</v>
      </c>
    </row>
    <row r="67" spans="1:32">
      <c r="A67" s="77" t="s">
        <v>112</v>
      </c>
      <c r="B67" s="86" t="s">
        <v>164</v>
      </c>
      <c r="C67" s="77">
        <v>568.9</v>
      </c>
      <c r="D67" s="77">
        <v>8.5</v>
      </c>
      <c r="E67" s="77">
        <v>570.3</v>
      </c>
      <c r="F67" s="77">
        <v>8.1</v>
      </c>
      <c r="G67" s="77">
        <v>569.1</v>
      </c>
      <c r="H67" s="77">
        <v>8</v>
      </c>
      <c r="I67" s="77">
        <v>26.66666667</v>
      </c>
      <c r="J67" s="77">
        <v>27</v>
      </c>
      <c r="K67" s="77"/>
      <c r="N67">
        <v>1.39999999999998</v>
      </c>
      <c r="O67">
        <v>-0.4</v>
      </c>
      <c r="P67">
        <v>4.56369841999991</v>
      </c>
      <c r="Q67">
        <v>0.200000000000045</v>
      </c>
      <c r="R67">
        <v>-0.5</v>
      </c>
      <c r="S67">
        <v>0</v>
      </c>
      <c r="Y67" t="s">
        <v>112</v>
      </c>
      <c r="Z67" t="s">
        <v>164</v>
      </c>
      <c r="AA67">
        <v>5</v>
      </c>
      <c r="AB67">
        <v>5</v>
      </c>
      <c r="AC67">
        <v>0</v>
      </c>
      <c r="AD67">
        <v>27</v>
      </c>
      <c r="AE67">
        <v>0.185185185185185</v>
      </c>
      <c r="AF67">
        <v>0</v>
      </c>
    </row>
    <row r="68" spans="1:32">
      <c r="A68" s="77" t="s">
        <v>112</v>
      </c>
      <c r="B68" s="86" t="s">
        <v>165</v>
      </c>
      <c r="C68" s="77">
        <v>751.6</v>
      </c>
      <c r="D68" s="77">
        <v>8.6</v>
      </c>
      <c r="E68" s="77">
        <v>753.4</v>
      </c>
      <c r="F68" s="77">
        <v>8.3</v>
      </c>
      <c r="G68" s="77">
        <v>751.9</v>
      </c>
      <c r="H68" s="77">
        <v>8.2</v>
      </c>
      <c r="I68" s="77">
        <v>20</v>
      </c>
      <c r="J68" s="77">
        <v>20</v>
      </c>
      <c r="K68" s="77"/>
      <c r="N68">
        <v>1.79999999999995</v>
      </c>
      <c r="O68">
        <v>-0.299999999999999</v>
      </c>
      <c r="P68">
        <v>6.25332653999983</v>
      </c>
      <c r="Q68">
        <v>0.299999999999955</v>
      </c>
      <c r="R68">
        <v>-0.4</v>
      </c>
      <c r="S68">
        <v>0.412221089999828</v>
      </c>
      <c r="Y68" t="s">
        <v>112</v>
      </c>
      <c r="Z68" t="s">
        <v>165</v>
      </c>
      <c r="AA68">
        <v>6</v>
      </c>
      <c r="AB68">
        <v>6</v>
      </c>
      <c r="AC68">
        <v>0</v>
      </c>
      <c r="AD68">
        <v>20</v>
      </c>
      <c r="AE68">
        <v>0.3</v>
      </c>
      <c r="AF68">
        <v>0</v>
      </c>
    </row>
    <row r="69" spans="1:32">
      <c r="A69" s="77" t="s">
        <v>112</v>
      </c>
      <c r="B69" s="86" t="s">
        <v>166</v>
      </c>
      <c r="C69" s="77">
        <v>568.9</v>
      </c>
      <c r="D69" s="77">
        <v>8.5</v>
      </c>
      <c r="E69" s="77">
        <v>570.3</v>
      </c>
      <c r="F69" s="77">
        <v>8.1</v>
      </c>
      <c r="G69" s="77">
        <v>569.1</v>
      </c>
      <c r="H69" s="77">
        <v>8</v>
      </c>
      <c r="I69" s="77">
        <v>26.66666667</v>
      </c>
      <c r="J69" s="77">
        <v>27</v>
      </c>
      <c r="K69" s="77"/>
      <c r="N69">
        <v>1.39999999999998</v>
      </c>
      <c r="O69">
        <v>-0.4</v>
      </c>
      <c r="P69">
        <v>4.56369841999991</v>
      </c>
      <c r="Q69">
        <v>0.200000000000045</v>
      </c>
      <c r="R69">
        <v>-0.5</v>
      </c>
      <c r="S69">
        <v>0</v>
      </c>
      <c r="Y69" t="s">
        <v>112</v>
      </c>
      <c r="Z69" t="s">
        <v>166</v>
      </c>
      <c r="AA69">
        <v>5</v>
      </c>
      <c r="AB69">
        <v>5</v>
      </c>
      <c r="AC69">
        <v>0</v>
      </c>
      <c r="AD69">
        <v>27</v>
      </c>
      <c r="AE69">
        <v>0.185185185185185</v>
      </c>
      <c r="AF69">
        <v>0</v>
      </c>
    </row>
    <row r="70" spans="1:32">
      <c r="A70" s="77" t="s">
        <v>112</v>
      </c>
      <c r="B70" s="86" t="s">
        <v>167</v>
      </c>
      <c r="C70" s="77">
        <v>751.6</v>
      </c>
      <c r="D70" s="77">
        <v>8.6</v>
      </c>
      <c r="E70" s="77">
        <v>753.4</v>
      </c>
      <c r="F70" s="77">
        <v>8.3</v>
      </c>
      <c r="G70" s="77">
        <v>751.9</v>
      </c>
      <c r="H70" s="77">
        <v>8.2</v>
      </c>
      <c r="I70" s="77">
        <v>20</v>
      </c>
      <c r="J70" s="77">
        <v>20</v>
      </c>
      <c r="K70" s="77"/>
      <c r="N70">
        <v>1.79999999999995</v>
      </c>
      <c r="O70">
        <v>-0.299999999999999</v>
      </c>
      <c r="P70">
        <v>6.25332653999983</v>
      </c>
      <c r="Q70">
        <v>0.299999999999955</v>
      </c>
      <c r="R70">
        <v>-0.4</v>
      </c>
      <c r="S70">
        <v>0.412221089999828</v>
      </c>
      <c r="Y70" t="s">
        <v>112</v>
      </c>
      <c r="Z70" t="s">
        <v>167</v>
      </c>
      <c r="AA70">
        <v>6</v>
      </c>
      <c r="AB70">
        <v>6</v>
      </c>
      <c r="AC70">
        <v>0</v>
      </c>
      <c r="AD70">
        <v>20</v>
      </c>
      <c r="AE70">
        <v>0.3</v>
      </c>
      <c r="AF70">
        <v>0</v>
      </c>
    </row>
    <row r="71" spans="1:32">
      <c r="A71" s="77" t="s">
        <v>112</v>
      </c>
      <c r="B71" s="86" t="s">
        <v>168</v>
      </c>
      <c r="C71" s="77">
        <v>568.9</v>
      </c>
      <c r="D71" s="77">
        <v>8.5</v>
      </c>
      <c r="E71" s="77">
        <v>570.3</v>
      </c>
      <c r="F71" s="77">
        <v>8.1</v>
      </c>
      <c r="G71" s="77">
        <v>569.1</v>
      </c>
      <c r="H71" s="77">
        <v>8</v>
      </c>
      <c r="I71" s="77">
        <v>26.66666667</v>
      </c>
      <c r="J71" s="77">
        <v>27</v>
      </c>
      <c r="K71" s="77"/>
      <c r="N71">
        <v>1.39999999999998</v>
      </c>
      <c r="O71">
        <v>-0.4</v>
      </c>
      <c r="P71">
        <v>4.56369841999991</v>
      </c>
      <c r="Q71">
        <v>0.200000000000045</v>
      </c>
      <c r="R71">
        <v>-0.5</v>
      </c>
      <c r="S71">
        <v>0</v>
      </c>
      <c r="Y71" t="s">
        <v>112</v>
      </c>
      <c r="Z71" t="s">
        <v>168</v>
      </c>
      <c r="AA71">
        <v>5</v>
      </c>
      <c r="AB71">
        <v>5</v>
      </c>
      <c r="AC71">
        <v>0</v>
      </c>
      <c r="AD71">
        <v>27</v>
      </c>
      <c r="AE71">
        <v>0.185185185185185</v>
      </c>
      <c r="AF71">
        <v>0</v>
      </c>
    </row>
    <row r="72" spans="1:32">
      <c r="A72" s="77" t="s">
        <v>112</v>
      </c>
      <c r="B72" s="86" t="s">
        <v>169</v>
      </c>
      <c r="C72" s="77">
        <v>751.6</v>
      </c>
      <c r="D72" s="77">
        <v>8.6</v>
      </c>
      <c r="E72" s="77">
        <v>753.4</v>
      </c>
      <c r="F72" s="77">
        <v>8.3</v>
      </c>
      <c r="G72" s="77">
        <v>751.9</v>
      </c>
      <c r="H72" s="77">
        <v>8.2</v>
      </c>
      <c r="I72" s="77">
        <v>20</v>
      </c>
      <c r="J72" s="77">
        <v>20</v>
      </c>
      <c r="K72" s="77"/>
      <c r="N72">
        <v>1.79999999999995</v>
      </c>
      <c r="O72">
        <v>-0.299999999999999</v>
      </c>
      <c r="P72">
        <v>6.25332653999983</v>
      </c>
      <c r="Q72">
        <v>0.299999999999955</v>
      </c>
      <c r="R72">
        <v>-0.4</v>
      </c>
      <c r="S72">
        <v>0.412221089999828</v>
      </c>
      <c r="Y72" t="s">
        <v>112</v>
      </c>
      <c r="Z72" t="s">
        <v>169</v>
      </c>
      <c r="AA72">
        <v>6</v>
      </c>
      <c r="AB72">
        <v>6</v>
      </c>
      <c r="AC72">
        <v>0</v>
      </c>
      <c r="AD72">
        <v>20</v>
      </c>
      <c r="AE72">
        <v>0.3</v>
      </c>
      <c r="AF72">
        <v>0</v>
      </c>
    </row>
    <row r="73" spans="1:32">
      <c r="A73" s="77" t="s">
        <v>112</v>
      </c>
      <c r="B73" s="86" t="s">
        <v>170</v>
      </c>
      <c r="C73" s="77">
        <v>751.6</v>
      </c>
      <c r="D73" s="77">
        <v>8.6</v>
      </c>
      <c r="E73" s="77">
        <v>753.4</v>
      </c>
      <c r="F73" s="77">
        <v>8.3</v>
      </c>
      <c r="G73" s="77">
        <v>751.9</v>
      </c>
      <c r="H73" s="77">
        <v>8.2</v>
      </c>
      <c r="I73" s="77">
        <v>20</v>
      </c>
      <c r="J73" s="77">
        <v>20</v>
      </c>
      <c r="K73" s="77"/>
      <c r="N73">
        <v>1.79999999999995</v>
      </c>
      <c r="O73">
        <v>-0.299999999999999</v>
      </c>
      <c r="P73">
        <v>6.25332653999983</v>
      </c>
      <c r="Q73">
        <v>0.299999999999955</v>
      </c>
      <c r="R73">
        <v>-0.4</v>
      </c>
      <c r="S73">
        <v>0.412221089999828</v>
      </c>
      <c r="Y73" t="s">
        <v>112</v>
      </c>
      <c r="Z73" t="s">
        <v>170</v>
      </c>
      <c r="AA73">
        <v>6</v>
      </c>
      <c r="AB73">
        <v>6</v>
      </c>
      <c r="AC73">
        <v>0</v>
      </c>
      <c r="AD73">
        <v>20</v>
      </c>
      <c r="AE73">
        <v>0.3</v>
      </c>
      <c r="AF73">
        <v>0</v>
      </c>
    </row>
    <row r="74" spans="1:32">
      <c r="A74" s="77" t="s">
        <v>112</v>
      </c>
      <c r="B74" s="86" t="s">
        <v>171</v>
      </c>
      <c r="C74" s="77">
        <v>568.9</v>
      </c>
      <c r="D74" s="77">
        <v>8.5</v>
      </c>
      <c r="E74" s="77">
        <v>570.3</v>
      </c>
      <c r="F74" s="77">
        <v>8.1</v>
      </c>
      <c r="G74" s="77">
        <v>569.1</v>
      </c>
      <c r="H74" s="77">
        <v>8</v>
      </c>
      <c r="I74" s="77">
        <v>26.66666667</v>
      </c>
      <c r="J74" s="77">
        <v>27</v>
      </c>
      <c r="K74" s="77"/>
      <c r="N74">
        <v>1.39999999999998</v>
      </c>
      <c r="O74">
        <v>-0.4</v>
      </c>
      <c r="P74">
        <v>4.56369841999991</v>
      </c>
      <c r="Q74">
        <v>0.200000000000045</v>
      </c>
      <c r="R74">
        <v>-0.5</v>
      </c>
      <c r="S74">
        <v>0</v>
      </c>
      <c r="Y74" t="s">
        <v>112</v>
      </c>
      <c r="Z74" t="s">
        <v>171</v>
      </c>
      <c r="AA74">
        <v>5</v>
      </c>
      <c r="AB74">
        <v>5</v>
      </c>
      <c r="AC74">
        <v>0</v>
      </c>
      <c r="AD74">
        <v>27</v>
      </c>
      <c r="AE74">
        <v>0.185185185185185</v>
      </c>
      <c r="AF74">
        <v>0</v>
      </c>
    </row>
    <row r="75" spans="1:32">
      <c r="A75" s="77" t="s">
        <v>112</v>
      </c>
      <c r="B75" s="86" t="s">
        <v>172</v>
      </c>
      <c r="C75" s="77">
        <v>751.6</v>
      </c>
      <c r="D75" s="77">
        <v>8.6</v>
      </c>
      <c r="E75" s="77">
        <v>753.4</v>
      </c>
      <c r="F75" s="77">
        <v>8.3</v>
      </c>
      <c r="G75" s="77">
        <v>751.9</v>
      </c>
      <c r="H75" s="77">
        <v>8.2</v>
      </c>
      <c r="I75" s="77">
        <v>20</v>
      </c>
      <c r="J75" s="77">
        <v>20</v>
      </c>
      <c r="K75" s="77"/>
      <c r="N75">
        <v>1.79999999999995</v>
      </c>
      <c r="O75">
        <v>-0.299999999999999</v>
      </c>
      <c r="P75">
        <v>6.25332653999983</v>
      </c>
      <c r="Q75">
        <v>0.299999999999955</v>
      </c>
      <c r="R75">
        <v>-0.4</v>
      </c>
      <c r="S75">
        <v>0.412221089999828</v>
      </c>
      <c r="Y75" t="s">
        <v>112</v>
      </c>
      <c r="Z75" t="s">
        <v>172</v>
      </c>
      <c r="AA75">
        <v>6</v>
      </c>
      <c r="AB75">
        <v>6</v>
      </c>
      <c r="AC75">
        <v>0</v>
      </c>
      <c r="AD75">
        <v>20</v>
      </c>
      <c r="AE75">
        <v>0.3</v>
      </c>
      <c r="AF75">
        <v>0</v>
      </c>
    </row>
  </sheetData>
  <mergeCells count="21">
    <mergeCell ref="C13:D13"/>
    <mergeCell ref="E13:F13"/>
    <mergeCell ref="G13:H13"/>
    <mergeCell ref="N13:P13"/>
    <mergeCell ref="Q13:S13"/>
    <mergeCell ref="T13:U13"/>
    <mergeCell ref="AA13:AC13"/>
    <mergeCell ref="A13:A14"/>
    <mergeCell ref="B13:B14"/>
    <mergeCell ref="I11:I12"/>
    <mergeCell ref="I13:I14"/>
    <mergeCell ref="J13:J14"/>
    <mergeCell ref="K13:K14"/>
    <mergeCell ref="Y13:Y14"/>
    <mergeCell ref="Z13:Z14"/>
    <mergeCell ref="AD13:AD14"/>
    <mergeCell ref="AE13:AE14"/>
    <mergeCell ref="AF13:AF14"/>
    <mergeCell ref="A11:H12"/>
    <mergeCell ref="Y11:AF12"/>
    <mergeCell ref="N11:S12"/>
  </mergeCells>
  <pageMargins left="0.699305555555556" right="0.699305555555556" top="0.75" bottom="0.75" header="0.3" footer="0.3"/>
  <pageSetup paperSize="9" orientation="portrait"/>
  <headerFooter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name="Button 1" r:id="rId4">
              <controlPr defaultSize="0">
                <anchor moveWithCells="1">
                  <from>
                    <xdr:col>12</xdr:col>
                    <xdr:colOff>314325</xdr:colOff>
                    <xdr:row>6</xdr:row>
                    <xdr:rowOff>140335</xdr:rowOff>
                  </from>
                  <to>
                    <xdr:col>13</xdr:col>
                    <xdr:colOff>676275</xdr:colOff>
                    <xdr:row>8</xdr:row>
                    <xdr:rowOff>81915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name="Button 2" r:id="rId5">
              <controlPr defaultSize="0">
                <anchor moveWithCells="1">
                  <from>
                    <xdr:col>14</xdr:col>
                    <xdr:colOff>371475</xdr:colOff>
                    <xdr:row>4</xdr:row>
                    <xdr:rowOff>43815</xdr:rowOff>
                  </from>
                  <to>
                    <xdr:col>15</xdr:col>
                    <xdr:colOff>647700</xdr:colOff>
                    <xdr:row>5</xdr:row>
                    <xdr:rowOff>124460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name="Button 3" r:id="rId6">
              <controlPr defaultSize="0">
                <anchor moveWithCells="1">
                  <from>
                    <xdr:col>12</xdr:col>
                    <xdr:colOff>323850</xdr:colOff>
                    <xdr:row>9</xdr:row>
                    <xdr:rowOff>97155</xdr:rowOff>
                  </from>
                  <to>
                    <xdr:col>14</xdr:col>
                    <xdr:colOff>266700</xdr:colOff>
                    <xdr:row>11</xdr:row>
                    <xdr:rowOff>39370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name="Button 4" r:id="rId7">
              <controlPr defaultSize="0">
                <anchor moveWithCells="1">
                  <from>
                    <xdr:col>14</xdr:col>
                    <xdr:colOff>371475</xdr:colOff>
                    <xdr:row>7</xdr:row>
                    <xdr:rowOff>1270</xdr:rowOff>
                  </from>
                  <to>
                    <xdr:col>16</xdr:col>
                    <xdr:colOff>228600</xdr:colOff>
                    <xdr:row>8</xdr:row>
                    <xdr:rowOff>81915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name="Button 5" r:id="rId8">
              <controlPr defaultSize="0">
                <anchor moveWithCells="1" sizeWithCells="1">
                  <from>
                    <xdr:col>12</xdr:col>
                    <xdr:colOff>285750</xdr:colOff>
                    <xdr:row>4</xdr:row>
                    <xdr:rowOff>43815</xdr:rowOff>
                  </from>
                  <to>
                    <xdr:col>14</xdr:col>
                    <xdr:colOff>142875</xdr:colOff>
                    <xdr:row>5</xdr:row>
                    <xdr:rowOff>116205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name="Group Box 6" r:id="rId9">
              <controlPr defaultSize="0">
                <anchor moveWithCells="1">
                  <from>
                    <xdr:col>12</xdr:col>
                    <xdr:colOff>19050</xdr:colOff>
                    <xdr:row>3</xdr:row>
                    <xdr:rowOff>28575</xdr:rowOff>
                  </from>
                  <to>
                    <xdr:col>16</xdr:col>
                    <xdr:colOff>438150</xdr:colOff>
                    <xdr:row>13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9"/>
  <dimension ref="A1:G31"/>
  <sheetViews>
    <sheetView workbookViewId="0">
      <selection activeCell="E25" sqref="E25:E30"/>
    </sheetView>
  </sheetViews>
  <sheetFormatPr defaultColWidth="9" defaultRowHeight="13.5" outlineLevelCol="6"/>
  <sheetData>
    <row r="1" spans="1:2">
      <c r="A1" s="1" t="s">
        <v>173</v>
      </c>
      <c r="B1">
        <v>3</v>
      </c>
    </row>
    <row r="2" spans="1:2">
      <c r="A2" s="1" t="s">
        <v>174</v>
      </c>
      <c r="B2" s="1">
        <v>5</v>
      </c>
    </row>
    <row r="7" spans="7:7">
      <c r="G7" s="1"/>
    </row>
    <row r="11" ht="14.25" spans="1:6">
      <c r="A11" s="4" t="s">
        <v>75</v>
      </c>
      <c r="B11" s="4" t="s">
        <v>175</v>
      </c>
      <c r="C11" s="72" t="s">
        <v>80</v>
      </c>
      <c r="D11" s="73"/>
      <c r="E11" s="74" t="s">
        <v>176</v>
      </c>
      <c r="F11" s="74" t="s">
        <v>83</v>
      </c>
    </row>
    <row r="12" ht="15" spans="1:6">
      <c r="A12" s="4"/>
      <c r="B12" s="4"/>
      <c r="C12" s="75" t="s">
        <v>85</v>
      </c>
      <c r="D12" s="75" t="s">
        <v>86</v>
      </c>
      <c r="E12" s="76"/>
      <c r="F12" s="76"/>
    </row>
    <row r="13" ht="15.75" spans="1:6">
      <c r="A13" s="77" t="s">
        <v>89</v>
      </c>
      <c r="B13" s="77" t="s">
        <v>177</v>
      </c>
      <c r="C13" s="78">
        <v>0.18</v>
      </c>
      <c r="D13" s="79" t="s">
        <v>178</v>
      </c>
      <c r="E13" s="80">
        <v>0.01</v>
      </c>
      <c r="F13" s="81">
        <v>0.0127</v>
      </c>
    </row>
    <row r="14" ht="15" spans="1:6">
      <c r="A14" s="77" t="s">
        <v>89</v>
      </c>
      <c r="B14" s="77" t="s">
        <v>179</v>
      </c>
      <c r="C14" s="82">
        <v>0.3</v>
      </c>
      <c r="D14" s="79" t="s">
        <v>178</v>
      </c>
      <c r="E14" s="83"/>
      <c r="F14" s="84"/>
    </row>
    <row r="15" ht="15" spans="1:6">
      <c r="A15" s="77" t="s">
        <v>89</v>
      </c>
      <c r="B15" s="77" t="s">
        <v>180</v>
      </c>
      <c r="C15" s="82">
        <v>0.45</v>
      </c>
      <c r="D15" s="79" t="s">
        <v>178</v>
      </c>
      <c r="E15" s="83"/>
      <c r="F15" s="84"/>
    </row>
    <row r="16" ht="15" spans="1:6">
      <c r="A16" s="77" t="s">
        <v>89</v>
      </c>
      <c r="B16" s="77" t="s">
        <v>181</v>
      </c>
      <c r="C16" s="82">
        <v>0.62</v>
      </c>
      <c r="D16" s="79" t="s">
        <v>178</v>
      </c>
      <c r="E16" s="83"/>
      <c r="F16" s="84"/>
    </row>
    <row r="17" ht="15" spans="1:6">
      <c r="A17" s="77" t="s">
        <v>89</v>
      </c>
      <c r="B17" s="77" t="s">
        <v>182</v>
      </c>
      <c r="C17" s="82">
        <v>0.79</v>
      </c>
      <c r="D17" s="79">
        <v>0.78</v>
      </c>
      <c r="E17" s="83"/>
      <c r="F17" s="84"/>
    </row>
    <row r="18" ht="15" spans="1:6">
      <c r="A18" s="77" t="s">
        <v>89</v>
      </c>
      <c r="B18" s="77" t="s">
        <v>183</v>
      </c>
      <c r="C18" s="85">
        <v>0.01</v>
      </c>
      <c r="D18" s="79" t="s">
        <v>178</v>
      </c>
      <c r="E18" s="83"/>
      <c r="F18" s="84"/>
    </row>
    <row r="19" ht="15.75" spans="1:6">
      <c r="A19" s="77" t="s">
        <v>90</v>
      </c>
      <c r="B19" s="77" t="s">
        <v>177</v>
      </c>
      <c r="C19" s="78">
        <v>0.13</v>
      </c>
      <c r="D19" s="79" t="s">
        <v>178</v>
      </c>
      <c r="E19" s="83">
        <v>0.03</v>
      </c>
      <c r="F19" s="84">
        <v>0.0411</v>
      </c>
    </row>
    <row r="20" ht="15" spans="1:6">
      <c r="A20" s="77" t="s">
        <v>90</v>
      </c>
      <c r="B20" s="77" t="s">
        <v>179</v>
      </c>
      <c r="C20" s="82">
        <v>0.28</v>
      </c>
      <c r="D20" s="79" t="s">
        <v>178</v>
      </c>
      <c r="E20" s="83"/>
      <c r="F20" s="84"/>
    </row>
    <row r="21" ht="15" spans="1:6">
      <c r="A21" s="77" t="s">
        <v>90</v>
      </c>
      <c r="B21" s="77" t="s">
        <v>180</v>
      </c>
      <c r="C21" s="82">
        <v>0.41</v>
      </c>
      <c r="D21" s="79" t="s">
        <v>178</v>
      </c>
      <c r="E21" s="83"/>
      <c r="F21" s="84"/>
    </row>
    <row r="22" ht="15" spans="1:6">
      <c r="A22" s="77" t="s">
        <v>90</v>
      </c>
      <c r="B22" s="77" t="s">
        <v>181</v>
      </c>
      <c r="C22" s="82">
        <v>0.57</v>
      </c>
      <c r="D22" s="79" t="s">
        <v>178</v>
      </c>
      <c r="E22" s="83"/>
      <c r="F22" s="84"/>
    </row>
    <row r="23" ht="15" spans="1:6">
      <c r="A23" s="77" t="s">
        <v>90</v>
      </c>
      <c r="B23" s="77" t="s">
        <v>182</v>
      </c>
      <c r="C23" s="82">
        <v>0.73</v>
      </c>
      <c r="D23" s="79">
        <v>0.7</v>
      </c>
      <c r="E23" s="83"/>
      <c r="F23" s="84"/>
    </row>
    <row r="24" ht="15" spans="1:6">
      <c r="A24" s="77" t="s">
        <v>90</v>
      </c>
      <c r="B24" s="77" t="s">
        <v>183</v>
      </c>
      <c r="C24" s="85">
        <v>0.03</v>
      </c>
      <c r="D24" s="79" t="s">
        <v>178</v>
      </c>
      <c r="E24" s="83"/>
      <c r="F24" s="84"/>
    </row>
    <row r="25" ht="15.75" spans="1:6">
      <c r="A25" s="77" t="s">
        <v>91</v>
      </c>
      <c r="B25" s="77" t="s">
        <v>177</v>
      </c>
      <c r="C25" s="78">
        <v>0.15</v>
      </c>
      <c r="D25" s="79" t="s">
        <v>178</v>
      </c>
      <c r="E25" s="83">
        <v>0.04</v>
      </c>
      <c r="F25" s="84">
        <v>0.0482</v>
      </c>
    </row>
    <row r="26" ht="15" spans="1:6">
      <c r="A26" s="77" t="s">
        <v>91</v>
      </c>
      <c r="B26" s="77" t="s">
        <v>179</v>
      </c>
      <c r="C26" s="82">
        <v>0.32</v>
      </c>
      <c r="D26" s="79" t="s">
        <v>178</v>
      </c>
      <c r="E26" s="83"/>
      <c r="F26" s="84"/>
    </row>
    <row r="27" ht="15" spans="1:6">
      <c r="A27" s="77" t="s">
        <v>91</v>
      </c>
      <c r="B27" s="77" t="s">
        <v>180</v>
      </c>
      <c r="C27" s="82">
        <v>0.48</v>
      </c>
      <c r="D27" s="79" t="s">
        <v>178</v>
      </c>
      <c r="E27" s="83"/>
      <c r="F27" s="84"/>
    </row>
    <row r="28" ht="15" spans="1:6">
      <c r="A28" s="77" t="s">
        <v>91</v>
      </c>
      <c r="B28" s="77" t="s">
        <v>181</v>
      </c>
      <c r="C28" s="82">
        <v>0.64</v>
      </c>
      <c r="D28" s="79" t="s">
        <v>178</v>
      </c>
      <c r="E28" s="83"/>
      <c r="F28" s="84"/>
    </row>
    <row r="29" ht="15" spans="1:6">
      <c r="A29" s="77" t="s">
        <v>91</v>
      </c>
      <c r="B29" s="77" t="s">
        <v>182</v>
      </c>
      <c r="C29" s="82">
        <v>0.83</v>
      </c>
      <c r="D29" s="79">
        <v>0.79</v>
      </c>
      <c r="E29" s="83"/>
      <c r="F29" s="84"/>
    </row>
    <row r="30" ht="15" spans="1:6">
      <c r="A30" s="77" t="s">
        <v>91</v>
      </c>
      <c r="B30" s="77" t="s">
        <v>183</v>
      </c>
      <c r="C30" s="85">
        <v>0.04</v>
      </c>
      <c r="D30" s="79" t="s">
        <v>178</v>
      </c>
      <c r="E30" s="83"/>
      <c r="F30" s="84"/>
    </row>
    <row r="31" ht="14.25"/>
  </sheetData>
  <mergeCells count="11">
    <mergeCell ref="C11:D11"/>
    <mergeCell ref="A11:A12"/>
    <mergeCell ref="B11:B12"/>
    <mergeCell ref="E11:E12"/>
    <mergeCell ref="E13:E18"/>
    <mergeCell ref="E19:E24"/>
    <mergeCell ref="E25:E30"/>
    <mergeCell ref="F11:F12"/>
    <mergeCell ref="F13:F18"/>
    <mergeCell ref="F19:F24"/>
    <mergeCell ref="F25:F30"/>
  </mergeCells>
  <pageMargins left="0.699305555555556" right="0.699305555555556" top="0.75" bottom="0.75" header="0.3" footer="0.3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8" name="Button 2" r:id="rId3">
              <controlPr print="0" defaultSize="0">
                <anchor moveWithCells="1" sizeWithCells="1">
                  <from>
                    <xdr:col>6</xdr:col>
                    <xdr:colOff>676275</xdr:colOff>
                    <xdr:row>4</xdr:row>
                    <xdr:rowOff>161925</xdr:rowOff>
                  </from>
                  <to>
                    <xdr:col>8</xdr:col>
                    <xdr:colOff>381000</xdr:colOff>
                    <xdr:row>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name="Button 3" r:id="rId4">
              <controlPr print="0" defaultSize="0">
                <anchor moveWithCells="1" sizeWithCells="1">
                  <from>
                    <xdr:col>6</xdr:col>
                    <xdr:colOff>676275</xdr:colOff>
                    <xdr:row>6</xdr:row>
                    <xdr:rowOff>171450</xdr:rowOff>
                  </from>
                  <to>
                    <xdr:col>8</xdr:col>
                    <xdr:colOff>371475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name="Button 4" r:id="rId5">
              <controlPr print="0" defaultSize="0">
                <anchor moveWithCells="1" sizeWithCells="1">
                  <from>
                    <xdr:col>7</xdr:col>
                    <xdr:colOff>9525</xdr:colOff>
                    <xdr:row>8</xdr:row>
                    <xdr:rowOff>171450</xdr:rowOff>
                  </from>
                  <to>
                    <xdr:col>8</xdr:col>
                    <xdr:colOff>371475</xdr:colOff>
                    <xdr:row>10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G3:L33"/>
  <sheetViews>
    <sheetView topLeftCell="B1" workbookViewId="0">
      <selection activeCell="B38" sqref="B38"/>
    </sheetView>
  </sheetViews>
  <sheetFormatPr defaultColWidth="9" defaultRowHeight="13.5"/>
  <sheetData>
    <row r="3" spans="7:7">
      <c r="G3" t="s">
        <v>184</v>
      </c>
    </row>
    <row r="33" spans="12:12">
      <c r="L33" s="71"/>
    </row>
  </sheetData>
  <pageMargins left="0.75" right="0.75" top="1" bottom="1" header="0.511805555555556" footer="0.511805555555556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name="Button 1" r:id="rId3">
              <controlPr print="0" defaultSize="0">
                <anchor moveWithCells="1">
                  <from>
                    <xdr:col>6</xdr:col>
                    <xdr:colOff>123825</xdr:colOff>
                    <xdr:row>4</xdr:row>
                    <xdr:rowOff>47625</xdr:rowOff>
                  </from>
                  <to>
                    <xdr:col>8</xdr:col>
                    <xdr:colOff>85725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name="Button 3" r:id="rId4">
              <controlPr print="0" defaultSize="0">
                <anchor moveWithCells="1">
                  <from>
                    <xdr:col>6</xdr:col>
                    <xdr:colOff>133350</xdr:colOff>
                    <xdr:row>11</xdr:row>
                    <xdr:rowOff>66675</xdr:rowOff>
                  </from>
                  <to>
                    <xdr:col>8</xdr:col>
                    <xdr:colOff>247650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name="Button 4" r:id="rId5">
              <controlPr print="0" defaultSize="0">
                <anchor moveWithCells="1">
                  <from>
                    <xdr:col>6</xdr:col>
                    <xdr:colOff>104775</xdr:colOff>
                    <xdr:row>18</xdr:row>
                    <xdr:rowOff>104775</xdr:rowOff>
                  </from>
                  <to>
                    <xdr:col>8</xdr:col>
                    <xdr:colOff>9525</xdr:colOff>
                    <xdr:row>20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name="ExportRelationChartCheckBox" r:id="rId6">
              <controlPr defaultSize="0">
                <anchor moveWithCells="1">
                  <from>
                    <xdr:col>8</xdr:col>
                    <xdr:colOff>485775</xdr:colOff>
                    <xdr:row>4</xdr:row>
                    <xdr:rowOff>0</xdr:rowOff>
                  </from>
                  <to>
                    <xdr:col>11</xdr:col>
                    <xdr:colOff>400050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name="Group Box 7" r:id="rId7">
              <controlPr defaultSize="0">
                <anchor moveWithCells="1">
                  <from>
                    <xdr:col>6</xdr:col>
                    <xdr:colOff>85725</xdr:colOff>
                    <xdr:row>3</xdr:row>
                    <xdr:rowOff>85725</xdr:rowOff>
                  </from>
                  <to>
                    <xdr:col>11</xdr:col>
                    <xdr:colOff>457200</xdr:colOff>
                    <xdr:row>8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name="Group Box 8" r:id="rId8">
              <controlPr defaultSize="0">
                <anchor moveWithCells="1">
                  <from>
                    <xdr:col>6</xdr:col>
                    <xdr:colOff>66675</xdr:colOff>
                    <xdr:row>10</xdr:row>
                    <xdr:rowOff>9525</xdr:rowOff>
                  </from>
                  <to>
                    <xdr:col>11</xdr:col>
                    <xdr:colOff>485775</xdr:colOff>
                    <xdr:row>16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name="Button 10" r:id="rId9">
              <controlPr print="0" defaultSize="0">
                <anchor moveWithCells="1">
                  <from>
                    <xdr:col>6</xdr:col>
                    <xdr:colOff>133350</xdr:colOff>
                    <xdr:row>6</xdr:row>
                    <xdr:rowOff>76200</xdr:rowOff>
                  </from>
                  <to>
                    <xdr:col>8</xdr:col>
                    <xdr:colOff>76200</xdr:colOff>
                    <xdr:row>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name="Button 11" r:id="rId10">
              <controlPr print="0" defaultSize="0">
                <anchor moveWithCells="1">
                  <from>
                    <xdr:col>6</xdr:col>
                    <xdr:colOff>161925</xdr:colOff>
                    <xdr:row>13</xdr:row>
                    <xdr:rowOff>123825</xdr:rowOff>
                  </from>
                  <to>
                    <xdr:col>8</xdr:col>
                    <xdr:colOff>228600</xdr:colOff>
                    <xdr:row>15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name="ExportRelationChartCheckBox_Calc" r:id="rId11">
              <controlPr defaultSize="0">
                <anchor moveWithCells="1">
                  <from>
                    <xdr:col>8</xdr:col>
                    <xdr:colOff>419100</xdr:colOff>
                    <xdr:row>11</xdr:row>
                    <xdr:rowOff>57150</xdr:rowOff>
                  </from>
                  <to>
                    <xdr:col>11</xdr:col>
                    <xdr:colOff>333375</xdr:colOff>
                    <xdr:row>13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0"/>
  <dimension ref="A2:B2"/>
  <sheetViews>
    <sheetView workbookViewId="0">
      <selection activeCell="B2" sqref="B2"/>
    </sheetView>
  </sheetViews>
  <sheetFormatPr defaultColWidth="9" defaultRowHeight="13.5" outlineLevelRow="1" outlineLevelCol="1"/>
  <sheetData>
    <row r="2" spans="1:2">
      <c r="A2" t="s">
        <v>17</v>
      </c>
      <c r="B2" t="s">
        <v>18</v>
      </c>
    </row>
  </sheetData>
  <pageMargins left="0.75" right="0.75" top="1" bottom="1" header="0.5" footer="0.5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8" name="Button 2" r:id="rId3">
              <controlPr print="0" defaultSize="0">
                <anchor moveWithCells="1">
                  <from>
                    <xdr:col>7</xdr:col>
                    <xdr:colOff>161925</xdr:colOff>
                    <xdr:row>6</xdr:row>
                    <xdr:rowOff>95250</xdr:rowOff>
                  </from>
                  <to>
                    <xdr:col>9</xdr:col>
                    <xdr:colOff>313055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9" name="Button 3" r:id="rId4">
              <controlPr print="0" defaultSize="0">
                <anchor moveWithCells="1">
                  <from>
                    <xdr:col>7</xdr:col>
                    <xdr:colOff>114300</xdr:colOff>
                    <xdr:row>8</xdr:row>
                    <xdr:rowOff>142875</xdr:rowOff>
                  </from>
                  <to>
                    <xdr:col>9</xdr:col>
                    <xdr:colOff>514350</xdr:colOff>
                    <xdr:row>10</xdr:row>
                    <xdr:rowOff>75565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0" name="Button 4" r:id="rId5">
              <controlPr print="0" defaultSize="0">
                <anchor moveWithCells="1">
                  <from>
                    <xdr:col>7</xdr:col>
                    <xdr:colOff>104775</xdr:colOff>
                    <xdr:row>11</xdr:row>
                    <xdr:rowOff>38100</xdr:rowOff>
                  </from>
                  <to>
                    <xdr:col>9</xdr:col>
                    <xdr:colOff>581025</xdr:colOff>
                    <xdr:row>12</xdr:row>
                    <xdr:rowOff>105410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2" name="Button 6" r:id="rId6">
              <controlPr print="0" defaultSize="0">
                <anchor moveWithCells="1">
                  <from>
                    <xdr:col>7</xdr:col>
                    <xdr:colOff>133350</xdr:colOff>
                    <xdr:row>3</xdr:row>
                    <xdr:rowOff>47625</xdr:rowOff>
                  </from>
                  <to>
                    <xdr:col>10</xdr:col>
                    <xdr:colOff>218440</xdr:colOff>
                    <xdr:row>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3" name="Button 7" r:id="rId7">
              <controlPr print="0" defaultSize="0">
                <anchor moveWithCells="1">
                  <from>
                    <xdr:col>9</xdr:col>
                    <xdr:colOff>619125</xdr:colOff>
                    <xdr:row>6</xdr:row>
                    <xdr:rowOff>104775</xdr:rowOff>
                  </from>
                  <to>
                    <xdr:col>11</xdr:col>
                    <xdr:colOff>104775</xdr:colOff>
                    <xdr:row>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4" name="Button 8" r:id="rId8">
              <controlPr print="0" defaultSize="0">
                <anchor moveWithCells="1">
                  <from>
                    <xdr:col>9</xdr:col>
                    <xdr:colOff>666750</xdr:colOff>
                    <xdr:row>8</xdr:row>
                    <xdr:rowOff>152400</xdr:rowOff>
                  </from>
                  <to>
                    <xdr:col>11</xdr:col>
                    <xdr:colOff>152400</xdr:colOff>
                    <xdr:row>10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5" name="Button 9" r:id="rId9">
              <controlPr print="0" defaultSize="0">
                <anchor moveWithCells="1">
                  <from>
                    <xdr:col>10</xdr:col>
                    <xdr:colOff>76200</xdr:colOff>
                    <xdr:row>11</xdr:row>
                    <xdr:rowOff>47625</xdr:rowOff>
                  </from>
                  <to>
                    <xdr:col>11</xdr:col>
                    <xdr:colOff>247650</xdr:colOff>
                    <xdr:row>12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"/>
  <dimension ref="A1:S52"/>
  <sheetViews>
    <sheetView workbookViewId="0">
      <selection activeCell="A26" sqref="A26"/>
    </sheetView>
  </sheetViews>
  <sheetFormatPr defaultColWidth="9" defaultRowHeight="13.5"/>
  <cols>
    <col min="3" max="3" width="13.375" customWidth="1"/>
    <col min="4" max="4" width="12.875" customWidth="1"/>
    <col min="6" max="6" width="22.875" customWidth="1"/>
    <col min="10" max="10" width="11.125" customWidth="1"/>
    <col min="15" max="15" width="9.375"/>
    <col min="16" max="16" width="22.875" customWidth="1"/>
  </cols>
  <sheetData>
    <row r="1" spans="1:16">
      <c r="A1" s="1" t="s">
        <v>75</v>
      </c>
      <c r="B1" s="1" t="s">
        <v>185</v>
      </c>
      <c r="C1" s="1" t="s">
        <v>186</v>
      </c>
      <c r="D1" s="1" t="s">
        <v>187</v>
      </c>
      <c r="E1" s="1" t="s">
        <v>188</v>
      </c>
      <c r="F1" s="1" t="s">
        <v>189</v>
      </c>
      <c r="J1" s="1" t="s">
        <v>190</v>
      </c>
      <c r="K1" s="1" t="s">
        <v>75</v>
      </c>
      <c r="L1" s="1" t="s">
        <v>185</v>
      </c>
      <c r="M1" s="1" t="s">
        <v>191</v>
      </c>
      <c r="N1" s="1" t="s">
        <v>192</v>
      </c>
      <c r="O1" s="1" t="s">
        <v>188</v>
      </c>
      <c r="P1" s="1" t="s">
        <v>189</v>
      </c>
    </row>
    <row r="2" spans="1:15">
      <c r="A2" s="70" t="s">
        <v>193</v>
      </c>
      <c r="B2" s="1" t="s">
        <v>178</v>
      </c>
      <c r="C2">
        <v>0</v>
      </c>
      <c r="D2">
        <v>2.76937</v>
      </c>
      <c r="E2">
        <v>7.8367</v>
      </c>
      <c r="F2">
        <v>-7836.7</v>
      </c>
      <c r="J2" s="1"/>
      <c r="K2" s="70" t="s">
        <v>194</v>
      </c>
      <c r="L2" s="1" t="s">
        <v>178</v>
      </c>
      <c r="M2">
        <v>0</v>
      </c>
      <c r="N2">
        <v>1.71951</v>
      </c>
      <c r="O2">
        <v>0</v>
      </c>
    </row>
    <row r="3" spans="1:14">
      <c r="A3" s="39" t="s">
        <v>195</v>
      </c>
      <c r="B3" s="70" t="s">
        <v>193</v>
      </c>
      <c r="C3">
        <v>1.66853</v>
      </c>
      <c r="D3">
        <v>2.76937</v>
      </c>
      <c r="E3">
        <v>8.93754</v>
      </c>
      <c r="F3">
        <v>-8937.54</v>
      </c>
      <c r="K3" s="39" t="s">
        <v>89</v>
      </c>
      <c r="L3" s="70" t="s">
        <v>194</v>
      </c>
      <c r="M3">
        <v>1.34327</v>
      </c>
      <c r="N3">
        <v>1.71951</v>
      </c>
    </row>
    <row r="4" spans="1:14">
      <c r="A4" s="39" t="s">
        <v>196</v>
      </c>
      <c r="B4" s="70" t="s">
        <v>193</v>
      </c>
      <c r="C4">
        <v>0.90878</v>
      </c>
      <c r="D4">
        <v>2.76937</v>
      </c>
      <c r="E4">
        <v>9.69729</v>
      </c>
      <c r="F4">
        <v>-9697.29</v>
      </c>
      <c r="K4" s="39" t="s">
        <v>90</v>
      </c>
      <c r="L4" s="39" t="s">
        <v>194</v>
      </c>
      <c r="M4">
        <v>1.36554</v>
      </c>
      <c r="N4">
        <v>1.71951</v>
      </c>
    </row>
    <row r="5" spans="1:14">
      <c r="A5" s="39" t="s">
        <v>197</v>
      </c>
      <c r="B5" s="70" t="s">
        <v>193</v>
      </c>
      <c r="C5">
        <v>0.77649</v>
      </c>
      <c r="D5">
        <v>2.76937</v>
      </c>
      <c r="E5">
        <v>9.82958</v>
      </c>
      <c r="F5">
        <v>-9829.58</v>
      </c>
      <c r="K5" s="39" t="s">
        <v>91</v>
      </c>
      <c r="L5" s="39" t="s">
        <v>194</v>
      </c>
      <c r="M5">
        <v>1.38873</v>
      </c>
      <c r="N5">
        <v>1.71951</v>
      </c>
    </row>
    <row r="6" spans="1:14">
      <c r="A6" s="39" t="s">
        <v>198</v>
      </c>
      <c r="B6" s="70" t="s">
        <v>193</v>
      </c>
      <c r="C6">
        <v>1.67498</v>
      </c>
      <c r="D6">
        <v>2.76937</v>
      </c>
      <c r="E6">
        <v>8.93109</v>
      </c>
      <c r="F6">
        <v>-8931.09</v>
      </c>
      <c r="K6" s="39" t="s">
        <v>92</v>
      </c>
      <c r="L6" s="39" t="s">
        <v>194</v>
      </c>
      <c r="M6">
        <v>1.74934</v>
      </c>
      <c r="N6">
        <v>1.71951</v>
      </c>
    </row>
    <row r="7" spans="1:14">
      <c r="A7" s="39" t="s">
        <v>199</v>
      </c>
      <c r="B7" s="70" t="s">
        <v>193</v>
      </c>
      <c r="C7">
        <v>0.897</v>
      </c>
      <c r="D7">
        <v>2.76937</v>
      </c>
      <c r="E7">
        <v>9.70907</v>
      </c>
      <c r="F7">
        <v>-9709.07</v>
      </c>
      <c r="K7" s="39" t="s">
        <v>93</v>
      </c>
      <c r="L7" s="39" t="s">
        <v>194</v>
      </c>
      <c r="M7">
        <v>1.72875</v>
      </c>
      <c r="N7">
        <v>1.71951</v>
      </c>
    </row>
    <row r="8" spans="1:14">
      <c r="A8" s="39" t="s">
        <v>200</v>
      </c>
      <c r="B8" s="70" t="s">
        <v>193</v>
      </c>
      <c r="C8">
        <v>0.75308</v>
      </c>
      <c r="D8">
        <v>2.76937</v>
      </c>
      <c r="E8">
        <v>9.85299</v>
      </c>
      <c r="F8">
        <v>-9852.99</v>
      </c>
      <c r="K8" s="39" t="s">
        <v>94</v>
      </c>
      <c r="L8" s="39" t="s">
        <v>194</v>
      </c>
      <c r="M8">
        <v>1.6987</v>
      </c>
      <c r="N8">
        <v>1.71951</v>
      </c>
    </row>
    <row r="9" spans="1:14">
      <c r="A9" s="39" t="s">
        <v>201</v>
      </c>
      <c r="B9" s="70" t="s">
        <v>200</v>
      </c>
      <c r="C9">
        <v>1.09327</v>
      </c>
      <c r="D9">
        <v>0.91003</v>
      </c>
      <c r="E9">
        <v>9.66975</v>
      </c>
      <c r="F9">
        <v>-9669.75</v>
      </c>
      <c r="K9" s="39" t="s">
        <v>95</v>
      </c>
      <c r="L9" s="39" t="s">
        <v>194</v>
      </c>
      <c r="M9">
        <v>1.67526</v>
      </c>
      <c r="N9">
        <v>1.71951</v>
      </c>
    </row>
    <row r="10" spans="1:14">
      <c r="A10" s="39" t="s">
        <v>202</v>
      </c>
      <c r="B10" s="70" t="s">
        <v>200</v>
      </c>
      <c r="C10">
        <v>1.92201</v>
      </c>
      <c r="D10">
        <v>0.91003</v>
      </c>
      <c r="E10">
        <v>8.84101</v>
      </c>
      <c r="F10">
        <v>-8841.01</v>
      </c>
      <c r="K10" s="39" t="s">
        <v>96</v>
      </c>
      <c r="L10" s="39" t="s">
        <v>194</v>
      </c>
      <c r="M10">
        <v>1.66155</v>
      </c>
      <c r="N10">
        <v>1.71951</v>
      </c>
    </row>
    <row r="11" spans="1:14">
      <c r="A11" s="39" t="s">
        <v>203</v>
      </c>
      <c r="B11" s="70" t="s">
        <v>200</v>
      </c>
      <c r="C11">
        <v>1.08172</v>
      </c>
      <c r="D11">
        <v>0.91003</v>
      </c>
      <c r="E11">
        <v>9.6813</v>
      </c>
      <c r="F11">
        <v>-9681.3</v>
      </c>
      <c r="K11" s="39" t="s">
        <v>97</v>
      </c>
      <c r="L11" s="39" t="s">
        <v>194</v>
      </c>
      <c r="M11">
        <v>1.64923</v>
      </c>
      <c r="N11">
        <v>1.71951</v>
      </c>
    </row>
    <row r="12" spans="1:14">
      <c r="A12" s="70"/>
      <c r="B12" s="70"/>
      <c r="K12" s="70" t="s">
        <v>204</v>
      </c>
      <c r="L12" s="70" t="s">
        <v>96</v>
      </c>
      <c r="M12">
        <v>1.66053</v>
      </c>
      <c r="N12">
        <v>1.72431</v>
      </c>
    </row>
    <row r="13" spans="1:14">
      <c r="A13" s="70"/>
      <c r="B13" s="70"/>
      <c r="K13" s="70" t="s">
        <v>205</v>
      </c>
      <c r="L13" s="70" t="s">
        <v>96</v>
      </c>
      <c r="M13">
        <v>1.66256</v>
      </c>
      <c r="N13">
        <v>1.72352</v>
      </c>
    </row>
    <row r="14" spans="1:14">
      <c r="A14" s="70"/>
      <c r="B14" s="70"/>
      <c r="K14" s="70" t="s">
        <v>206</v>
      </c>
      <c r="L14" s="70" t="s">
        <v>207</v>
      </c>
      <c r="M14">
        <v>1.64823</v>
      </c>
      <c r="N14">
        <v>1.71828</v>
      </c>
    </row>
    <row r="15" spans="1:14">
      <c r="A15" s="70"/>
      <c r="B15" s="70"/>
      <c r="K15" s="70" t="s">
        <v>208</v>
      </c>
      <c r="L15" s="70" t="s">
        <v>206</v>
      </c>
      <c r="M15">
        <v>1.65823</v>
      </c>
      <c r="N15">
        <v>1.71639</v>
      </c>
    </row>
    <row r="18" spans="11:19">
      <c r="K18" s="70"/>
      <c r="L18" s="1"/>
      <c r="R18" s="70"/>
      <c r="S18" s="1"/>
    </row>
    <row r="19" spans="11:19">
      <c r="K19" s="39"/>
      <c r="L19" s="70"/>
      <c r="R19" s="39"/>
      <c r="S19" s="70"/>
    </row>
    <row r="20" spans="11:19">
      <c r="K20" s="39"/>
      <c r="L20" s="70"/>
      <c r="R20" s="39"/>
      <c r="S20" s="70"/>
    </row>
    <row r="21" spans="11:19">
      <c r="K21" s="39"/>
      <c r="L21" s="70"/>
      <c r="R21" s="39"/>
      <c r="S21" s="70"/>
    </row>
    <row r="22" spans="11:12">
      <c r="K22" s="39"/>
      <c r="L22" s="70"/>
    </row>
    <row r="24" spans="11:19">
      <c r="K24" s="70"/>
      <c r="L24" s="1"/>
      <c r="R24" s="70"/>
      <c r="S24" s="1"/>
    </row>
    <row r="25" spans="11:19">
      <c r="K25" s="39"/>
      <c r="L25" s="70"/>
      <c r="R25" s="39"/>
      <c r="S25" s="70"/>
    </row>
    <row r="26" spans="11:19">
      <c r="K26" s="39"/>
      <c r="L26" s="70"/>
      <c r="R26" s="39"/>
      <c r="S26" s="70"/>
    </row>
    <row r="27" spans="11:19">
      <c r="K27" s="39"/>
      <c r="L27" s="70"/>
      <c r="R27" s="39"/>
      <c r="S27" s="70"/>
    </row>
    <row r="28" spans="11:12">
      <c r="K28" s="39"/>
      <c r="L28" s="70"/>
    </row>
    <row r="30" spans="11:19">
      <c r="K30" s="70"/>
      <c r="L30" s="1"/>
      <c r="R30" s="70"/>
      <c r="S30" s="1"/>
    </row>
    <row r="31" spans="11:19">
      <c r="K31" s="39"/>
      <c r="L31" s="70"/>
      <c r="R31" s="39"/>
      <c r="S31" s="70"/>
    </row>
    <row r="32" spans="11:19">
      <c r="K32" s="39"/>
      <c r="L32" s="70"/>
      <c r="R32" s="39"/>
      <c r="S32" s="70"/>
    </row>
    <row r="33" spans="11:19">
      <c r="K33" s="39"/>
      <c r="L33" s="70"/>
      <c r="R33" s="39"/>
      <c r="S33" s="70"/>
    </row>
    <row r="34" spans="11:12">
      <c r="K34" s="39"/>
      <c r="L34" s="70"/>
    </row>
    <row r="36" spans="11:12">
      <c r="K36" s="70"/>
      <c r="L36" s="1"/>
    </row>
    <row r="37" spans="11:12">
      <c r="K37" s="39"/>
      <c r="L37" s="70"/>
    </row>
    <row r="38" spans="11:12">
      <c r="K38" s="39"/>
      <c r="L38" s="70"/>
    </row>
    <row r="39" spans="11:12">
      <c r="K39" s="39"/>
      <c r="L39" s="70"/>
    </row>
    <row r="40" spans="11:12">
      <c r="K40" s="39"/>
      <c r="L40" s="70"/>
    </row>
    <row r="42" spans="11:12">
      <c r="K42" s="70"/>
      <c r="L42" s="1"/>
    </row>
    <row r="43" spans="11:12">
      <c r="K43" s="39"/>
      <c r="L43" s="70"/>
    </row>
    <row r="44" spans="11:12">
      <c r="K44" s="39"/>
      <c r="L44" s="70"/>
    </row>
    <row r="45" spans="11:12">
      <c r="K45" s="39"/>
      <c r="L45" s="70"/>
    </row>
    <row r="46" spans="11:12">
      <c r="K46" s="39"/>
      <c r="L46" s="70"/>
    </row>
    <row r="48" spans="11:12">
      <c r="K48" s="70"/>
      <c r="L48" s="1"/>
    </row>
    <row r="49" spans="11:12">
      <c r="K49" s="39"/>
      <c r="L49" s="70"/>
    </row>
    <row r="50" spans="11:12">
      <c r="K50" s="39"/>
      <c r="L50" s="70"/>
    </row>
    <row r="51" spans="11:12">
      <c r="K51" s="39"/>
      <c r="L51" s="70"/>
    </row>
    <row r="52" spans="11:12">
      <c r="K52" s="39"/>
      <c r="L52" s="70"/>
    </row>
  </sheetData>
  <pageMargins left="0.699305555555556" right="0.699305555555556" top="0.75" bottom="0.75" header="0.3" footer="0.3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name="Button 1" r:id="rId3">
              <controlPr print="0" defaultSize="0">
                <anchor moveWithCells="1" sizeWithCells="1">
                  <from>
                    <xdr:col>6</xdr:col>
                    <xdr:colOff>619125</xdr:colOff>
                    <xdr:row>6</xdr:row>
                    <xdr:rowOff>171450</xdr:rowOff>
                  </from>
                  <to>
                    <xdr:col>8</xdr:col>
                    <xdr:colOff>257175</xdr:colOff>
                    <xdr:row>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name="Button 2" r:id="rId4">
              <controlPr print="0" defaultSize="0">
                <anchor moveWithCells="1" sizeWithCells="1">
                  <from>
                    <xdr:col>6</xdr:col>
                    <xdr:colOff>647700</xdr:colOff>
                    <xdr:row>4</xdr:row>
                    <xdr:rowOff>85725</xdr:rowOff>
                  </from>
                  <to>
                    <xdr:col>8</xdr:col>
                    <xdr:colOff>609600</xdr:colOff>
                    <xdr:row>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F11"/>
  <sheetViews>
    <sheetView workbookViewId="0">
      <selection activeCell="L35" sqref="L35"/>
    </sheetView>
  </sheetViews>
  <sheetFormatPr defaultColWidth="9" defaultRowHeight="13.5" outlineLevelCol="5"/>
  <sheetData>
    <row r="1" spans="2:6">
      <c r="B1" t="s">
        <v>86</v>
      </c>
      <c r="C1" t="s">
        <v>79</v>
      </c>
      <c r="E1" t="s">
        <v>86</v>
      </c>
      <c r="F1" t="s">
        <v>79</v>
      </c>
    </row>
    <row r="2" spans="1:6">
      <c r="A2" t="s">
        <v>202</v>
      </c>
      <c r="B2">
        <v>0.97</v>
      </c>
      <c r="C2">
        <v>2.342</v>
      </c>
      <c r="D2" t="s">
        <v>202</v>
      </c>
      <c r="E2">
        <v>0.97</v>
      </c>
      <c r="F2">
        <v>2.342</v>
      </c>
    </row>
    <row r="3" spans="1:6">
      <c r="A3" t="s">
        <v>209</v>
      </c>
      <c r="B3">
        <v>1.28</v>
      </c>
      <c r="C3">
        <v>3.079</v>
      </c>
      <c r="D3" t="s">
        <v>209</v>
      </c>
      <c r="E3">
        <v>1.28</v>
      </c>
      <c r="F3">
        <v>3.079</v>
      </c>
    </row>
    <row r="4" spans="1:6">
      <c r="A4" t="s">
        <v>210</v>
      </c>
      <c r="B4">
        <v>1.64</v>
      </c>
      <c r="C4">
        <v>4.008</v>
      </c>
      <c r="D4" t="s">
        <v>210</v>
      </c>
      <c r="E4">
        <v>1.64</v>
      </c>
      <c r="F4">
        <v>4.008</v>
      </c>
    </row>
    <row r="5" spans="1:6">
      <c r="A5" t="s">
        <v>211</v>
      </c>
      <c r="B5">
        <v>2.03</v>
      </c>
      <c r="C5">
        <v>5.16</v>
      </c>
      <c r="D5" t="s">
        <v>211</v>
      </c>
      <c r="E5">
        <v>5</v>
      </c>
      <c r="F5">
        <v>5.16</v>
      </c>
    </row>
    <row r="6" spans="1:6">
      <c r="A6" t="s">
        <v>212</v>
      </c>
      <c r="B6">
        <v>2.5</v>
      </c>
      <c r="C6">
        <v>5.953</v>
      </c>
      <c r="D6" t="s">
        <v>212</v>
      </c>
      <c r="E6">
        <v>2.5</v>
      </c>
      <c r="F6">
        <v>5.953</v>
      </c>
    </row>
    <row r="7" spans="1:6">
      <c r="A7" t="s">
        <v>213</v>
      </c>
      <c r="B7">
        <v>2.8</v>
      </c>
      <c r="C7">
        <v>6.742</v>
      </c>
      <c r="D7" t="s">
        <v>213</v>
      </c>
      <c r="E7">
        <v>2.8</v>
      </c>
      <c r="F7">
        <v>6.742</v>
      </c>
    </row>
    <row r="8" spans="1:6">
      <c r="A8" t="s">
        <v>214</v>
      </c>
      <c r="B8">
        <v>3.28</v>
      </c>
      <c r="C8">
        <v>7.048</v>
      </c>
      <c r="D8" t="s">
        <v>214</v>
      </c>
      <c r="E8">
        <v>3.28</v>
      </c>
      <c r="F8">
        <v>7.048</v>
      </c>
    </row>
    <row r="9" spans="1:6">
      <c r="A9" t="s">
        <v>215</v>
      </c>
      <c r="B9">
        <v>3.1</v>
      </c>
      <c r="C9">
        <v>7.268</v>
      </c>
      <c r="D9" t="s">
        <v>215</v>
      </c>
      <c r="E9">
        <v>3.1</v>
      </c>
      <c r="F9">
        <v>7.268</v>
      </c>
    </row>
    <row r="10" spans="1:6">
      <c r="A10" t="s">
        <v>216</v>
      </c>
      <c r="B10">
        <v>2.77</v>
      </c>
      <c r="C10">
        <v>6.793</v>
      </c>
      <c r="D10" t="s">
        <v>216</v>
      </c>
      <c r="E10">
        <v>2.77</v>
      </c>
      <c r="F10">
        <v>6.793</v>
      </c>
    </row>
    <row r="11" spans="1:6">
      <c r="A11" t="s">
        <v>217</v>
      </c>
      <c r="B11">
        <v>2.8</v>
      </c>
      <c r="C11">
        <v>6.702</v>
      </c>
      <c r="D11" t="s">
        <v>217</v>
      </c>
      <c r="E11">
        <v>2.8</v>
      </c>
      <c r="F11">
        <v>6.702</v>
      </c>
    </row>
  </sheetData>
  <pageMargins left="0.75" right="0.75" top="1" bottom="1" header="0.511805555555556" footer="0.511805555555556"/>
  <headerFooter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"/>
  <dimension ref="A1:AF42"/>
  <sheetViews>
    <sheetView workbookViewId="0">
      <selection activeCell="A1" sqref="A1"/>
    </sheetView>
  </sheetViews>
  <sheetFormatPr defaultColWidth="9" defaultRowHeight="13.5"/>
  <sheetData>
    <row r="1" spans="1:2">
      <c r="A1" t="s">
        <v>218</v>
      </c>
      <c r="B1">
        <v>2</v>
      </c>
    </row>
    <row r="2" spans="1:19">
      <c r="A2" t="s">
        <v>219</v>
      </c>
      <c r="B2">
        <v>14</v>
      </c>
      <c r="C2" t="s">
        <v>220</v>
      </c>
      <c r="D2">
        <v>14</v>
      </c>
      <c r="E2" t="s">
        <v>221</v>
      </c>
      <c r="G2" t="s">
        <v>222</v>
      </c>
      <c r="I2" t="s">
        <v>223</v>
      </c>
      <c r="K2" t="s">
        <v>224</v>
      </c>
      <c r="M2" t="s">
        <v>225</v>
      </c>
      <c r="O2" t="s">
        <v>226</v>
      </c>
      <c r="Q2" t="s">
        <v>227</v>
      </c>
      <c r="S2" t="s">
        <v>228</v>
      </c>
    </row>
    <row r="3" spans="1:4">
      <c r="A3" t="s">
        <v>62</v>
      </c>
      <c r="B3">
        <v>1</v>
      </c>
      <c r="C3" t="s">
        <v>62</v>
      </c>
      <c r="D3">
        <v>2</v>
      </c>
    </row>
    <row r="4" spans="1:4">
      <c r="A4" s="1" t="s">
        <v>120</v>
      </c>
      <c r="B4">
        <v>42.07</v>
      </c>
      <c r="D4">
        <v>44.37</v>
      </c>
    </row>
    <row r="5" spans="1:4">
      <c r="A5" t="s">
        <v>69</v>
      </c>
      <c r="B5">
        <v>0.08</v>
      </c>
      <c r="D5">
        <v>0.07</v>
      </c>
    </row>
    <row r="6" spans="1:21">
      <c r="A6" t="s">
        <v>70</v>
      </c>
      <c r="B6">
        <v>0.87</v>
      </c>
      <c r="D6">
        <v>0.65</v>
      </c>
      <c r="J6" s="39"/>
      <c r="S6" s="39"/>
      <c r="U6" s="39" t="s">
        <v>229</v>
      </c>
    </row>
    <row r="7" spans="1:21">
      <c r="A7" s="1" t="s">
        <v>123</v>
      </c>
      <c r="B7" s="2">
        <v>0</v>
      </c>
      <c r="D7" s="2">
        <v>0</v>
      </c>
      <c r="J7" s="39"/>
      <c r="S7" s="39"/>
      <c r="U7" s="39" t="s">
        <v>126</v>
      </c>
    </row>
    <row r="8" spans="1:4">
      <c r="A8" s="1" t="s">
        <v>124</v>
      </c>
      <c r="B8" s="2">
        <v>0.186</v>
      </c>
      <c r="D8" s="2">
        <v>0.1105</v>
      </c>
    </row>
    <row r="9" spans="2:4">
      <c r="B9" s="2"/>
      <c r="D9" s="2"/>
    </row>
    <row r="10" spans="2:4">
      <c r="B10" s="2"/>
      <c r="D10" s="2"/>
    </row>
    <row r="11" ht="14.25" customHeight="1" spans="1:32">
      <c r="A11" s="33" t="s">
        <v>127</v>
      </c>
      <c r="B11" s="33"/>
      <c r="C11" s="33"/>
      <c r="D11" s="33"/>
      <c r="E11" s="33"/>
      <c r="F11" s="33"/>
      <c r="G11" s="33"/>
      <c r="H11" s="33"/>
      <c r="L11" s="40" t="s">
        <v>129</v>
      </c>
      <c r="M11" s="40"/>
      <c r="N11" s="40"/>
      <c r="O11" s="40"/>
      <c r="P11" s="40"/>
      <c r="Q11" s="40"/>
      <c r="R11" s="40"/>
      <c r="S11" s="40"/>
      <c r="T11" s="40"/>
      <c r="U11" s="40"/>
      <c r="Y11" s="40" t="s">
        <v>73</v>
      </c>
      <c r="Z11" s="40"/>
      <c r="AA11" s="40"/>
      <c r="AB11" s="40"/>
      <c r="AC11" s="40"/>
      <c r="AD11" s="40"/>
      <c r="AE11" s="40"/>
      <c r="AF11" s="40"/>
    </row>
    <row r="12" spans="1:32">
      <c r="A12" s="34"/>
      <c r="B12" s="34"/>
      <c r="C12" s="34"/>
      <c r="D12" s="34"/>
      <c r="E12" s="34"/>
      <c r="F12" s="34"/>
      <c r="G12" s="34"/>
      <c r="H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Y12" s="34"/>
      <c r="Z12" s="34"/>
      <c r="AA12" s="34"/>
      <c r="AB12" s="34"/>
      <c r="AC12" s="34"/>
      <c r="AD12" s="34"/>
      <c r="AE12" s="34"/>
      <c r="AF12" s="34"/>
    </row>
    <row r="13" ht="14.25" customHeight="1" spans="1:32">
      <c r="A13" s="4" t="s">
        <v>136</v>
      </c>
      <c r="B13" s="4" t="s">
        <v>75</v>
      </c>
      <c r="C13" s="4" t="s">
        <v>130</v>
      </c>
      <c r="D13" s="4"/>
      <c r="E13" s="4" t="s">
        <v>131</v>
      </c>
      <c r="F13" s="4"/>
      <c r="G13" s="4" t="s">
        <v>132</v>
      </c>
      <c r="H13" s="4"/>
      <c r="L13" s="4" t="s">
        <v>136</v>
      </c>
      <c r="M13" s="4" t="s">
        <v>75</v>
      </c>
      <c r="N13" s="41" t="s">
        <v>131</v>
      </c>
      <c r="O13" s="41"/>
      <c r="P13" s="41"/>
      <c r="Q13" s="48" t="s">
        <v>132</v>
      </c>
      <c r="R13" s="49"/>
      <c r="S13" s="50"/>
      <c r="T13" s="41" t="s">
        <v>230</v>
      </c>
      <c r="U13" s="41"/>
      <c r="Y13" s="6" t="s">
        <v>136</v>
      </c>
      <c r="Z13" s="6" t="s">
        <v>75</v>
      </c>
      <c r="AA13" s="4" t="s">
        <v>137</v>
      </c>
      <c r="AB13" s="4"/>
      <c r="AC13" s="4"/>
      <c r="AD13" s="4" t="s">
        <v>134</v>
      </c>
      <c r="AE13" s="4" t="s">
        <v>82</v>
      </c>
      <c r="AF13" s="6" t="s">
        <v>138</v>
      </c>
    </row>
    <row r="14" ht="30.75" spans="1:32">
      <c r="A14" s="4"/>
      <c r="B14" s="4"/>
      <c r="C14" s="4" t="s">
        <v>139</v>
      </c>
      <c r="D14" s="4" t="s">
        <v>140</v>
      </c>
      <c r="E14" s="4" t="s">
        <v>139</v>
      </c>
      <c r="F14" s="4" t="s">
        <v>141</v>
      </c>
      <c r="G14" s="4" t="s">
        <v>139</v>
      </c>
      <c r="H14" s="4" t="s">
        <v>141</v>
      </c>
      <c r="L14" s="4"/>
      <c r="M14" s="4"/>
      <c r="N14" s="41" t="s">
        <v>142</v>
      </c>
      <c r="O14" s="41" t="s">
        <v>143</v>
      </c>
      <c r="P14" s="41" t="s">
        <v>144</v>
      </c>
      <c r="Q14" s="41" t="s">
        <v>142</v>
      </c>
      <c r="R14" s="41" t="s">
        <v>143</v>
      </c>
      <c r="S14" s="41" t="s">
        <v>145</v>
      </c>
      <c r="T14" s="4" t="s">
        <v>231</v>
      </c>
      <c r="U14" s="4" t="s">
        <v>144</v>
      </c>
      <c r="Y14" s="58"/>
      <c r="Z14" s="58"/>
      <c r="AA14" s="4" t="s">
        <v>146</v>
      </c>
      <c r="AB14" s="4" t="s">
        <v>147</v>
      </c>
      <c r="AC14" s="4" t="s">
        <v>145</v>
      </c>
      <c r="AD14" s="4"/>
      <c r="AE14" s="4"/>
      <c r="AF14" s="58"/>
    </row>
    <row r="15" spans="1:32">
      <c r="A15" t="s">
        <v>88</v>
      </c>
      <c r="B15" s="35" t="s">
        <v>89</v>
      </c>
      <c r="C15">
        <v>650.9</v>
      </c>
      <c r="D15">
        <v>23.3</v>
      </c>
      <c r="E15">
        <v>653.5</v>
      </c>
      <c r="F15">
        <v>23</v>
      </c>
      <c r="G15">
        <v>651.5</v>
      </c>
      <c r="H15">
        <v>23</v>
      </c>
      <c r="L15" s="35"/>
      <c r="M15" s="35"/>
      <c r="N15" s="42">
        <f>E15-C15</f>
        <v>2.60000000000002</v>
      </c>
      <c r="O15" s="42">
        <f>F15-D15</f>
        <v>-0.300000000000001</v>
      </c>
      <c r="P15" s="43">
        <f t="shared" ref="P15:P42" si="0">3.7*1.020019*(N15)+1.8*(O15)</f>
        <v>9.27258278000009</v>
      </c>
      <c r="Q15" s="42">
        <f>G15-C15</f>
        <v>0.600000000000023</v>
      </c>
      <c r="R15" s="42">
        <f>H15-D15</f>
        <v>-0.300000000000001</v>
      </c>
      <c r="S15" s="43">
        <f>IF(3.7*1.020019*(Q15)+1.8*(R15)&gt;=0,3.7*1.020019*(Q15)+1.8*(R15),0)</f>
        <v>1.72444218000008</v>
      </c>
      <c r="T15" s="11">
        <v>0.3</v>
      </c>
      <c r="U15" s="35">
        <f>T15*100/3.45</f>
        <v>8.69565217391304</v>
      </c>
      <c r="Y15" s="35"/>
      <c r="Z15" s="35"/>
      <c r="AA15" s="43">
        <v>9.27258278000009</v>
      </c>
      <c r="AB15" s="59">
        <v>7.5481406</v>
      </c>
      <c r="AC15" s="59">
        <v>1.72444218000008</v>
      </c>
      <c r="AD15" s="59">
        <v>8.69565217391304</v>
      </c>
      <c r="AE15" s="60">
        <v>0.868036169</v>
      </c>
      <c r="AF15" s="61">
        <v>0.185972152626074</v>
      </c>
    </row>
    <row r="16" spans="1:32">
      <c r="A16" t="s">
        <v>88</v>
      </c>
      <c r="B16" s="35" t="s">
        <v>90</v>
      </c>
      <c r="C16">
        <v>651.9</v>
      </c>
      <c r="D16">
        <v>23.4</v>
      </c>
      <c r="E16">
        <v>653.7</v>
      </c>
      <c r="F16">
        <v>23.2</v>
      </c>
      <c r="G16">
        <v>652.3</v>
      </c>
      <c r="H16">
        <v>23.1</v>
      </c>
      <c r="L16" s="35"/>
      <c r="M16" s="35"/>
      <c r="N16" s="42">
        <f t="shared" ref="N16:O31" si="1">E16-C16</f>
        <v>1.80000000000007</v>
      </c>
      <c r="O16" s="42">
        <f t="shared" si="1"/>
        <v>-0.199999999999999</v>
      </c>
      <c r="P16" s="43">
        <f t="shared" si="0"/>
        <v>6.43332654000026</v>
      </c>
      <c r="Q16" s="42">
        <f t="shared" ref="Q16:R31" si="2">G16-C16</f>
        <v>0.399999999999977</v>
      </c>
      <c r="R16" s="42">
        <f t="shared" si="2"/>
        <v>-0.299999999999997</v>
      </c>
      <c r="S16" s="43">
        <f t="shared" ref="S16:S42" si="3">IF(3.7*1.020019*(Q16)+1.8*(R16)&gt;=0,3.7*1.020019*(Q16)+1.8*(R16),0)</f>
        <v>0.969628119999919</v>
      </c>
      <c r="T16" s="51">
        <v>0.4</v>
      </c>
      <c r="U16" s="35">
        <f t="shared" ref="U16:U42" si="4">T16*100/3.45</f>
        <v>11.5942028985507</v>
      </c>
      <c r="Y16" s="35"/>
      <c r="Z16" s="35"/>
      <c r="AA16" s="43">
        <v>6.43332654000026</v>
      </c>
      <c r="AB16" s="59">
        <v>5.46369842000034</v>
      </c>
      <c r="AC16" s="59">
        <v>0.969628119999919</v>
      </c>
      <c r="AD16" s="59">
        <v>11.5942028985507</v>
      </c>
      <c r="AE16" s="60">
        <v>0.47124398872503</v>
      </c>
      <c r="AF16" s="61">
        <v>0.150719556044777</v>
      </c>
    </row>
    <row r="17" spans="1:32">
      <c r="A17" t="s">
        <v>88</v>
      </c>
      <c r="B17" s="36" t="s">
        <v>91</v>
      </c>
      <c r="C17">
        <v>629.4</v>
      </c>
      <c r="D17">
        <v>23.3</v>
      </c>
      <c r="E17">
        <v>632.3</v>
      </c>
      <c r="F17">
        <v>23.1</v>
      </c>
      <c r="G17">
        <v>630</v>
      </c>
      <c r="H17">
        <v>23</v>
      </c>
      <c r="L17" s="36"/>
      <c r="M17" s="36"/>
      <c r="N17" s="42">
        <f t="shared" si="1"/>
        <v>2.89999999999998</v>
      </c>
      <c r="O17" s="42">
        <f t="shared" si="1"/>
        <v>-0.199999999999999</v>
      </c>
      <c r="P17" s="43">
        <f t="shared" si="0"/>
        <v>10.5848038699999</v>
      </c>
      <c r="Q17" s="42">
        <f t="shared" si="2"/>
        <v>0.600000000000023</v>
      </c>
      <c r="R17" s="42">
        <f t="shared" si="2"/>
        <v>-0.300000000000001</v>
      </c>
      <c r="S17" s="43">
        <f t="shared" si="3"/>
        <v>1.72444218000008</v>
      </c>
      <c r="T17" s="52">
        <v>0.6</v>
      </c>
      <c r="U17" s="36">
        <f t="shared" si="4"/>
        <v>17.3913043478261</v>
      </c>
      <c r="Y17" s="36"/>
      <c r="Z17" s="36"/>
      <c r="AA17" s="43">
        <v>10.5848038699999</v>
      </c>
      <c r="AB17" s="59">
        <v>8.86036168999983</v>
      </c>
      <c r="AC17" s="59">
        <v>1.72444218000008</v>
      </c>
      <c r="AD17" s="59">
        <v>17.3913043478261</v>
      </c>
      <c r="AE17" s="60">
        <v>0.50947079717499</v>
      </c>
      <c r="AF17" s="61">
        <v>0.162916781565278</v>
      </c>
    </row>
    <row r="18" spans="1:32">
      <c r="A18" t="s">
        <v>88</v>
      </c>
      <c r="B18" s="35" t="s">
        <v>92</v>
      </c>
      <c r="C18">
        <v>470</v>
      </c>
      <c r="D18">
        <v>23.3</v>
      </c>
      <c r="E18">
        <v>470.8</v>
      </c>
      <c r="F18">
        <v>23.1</v>
      </c>
      <c r="G18">
        <v>468.1</v>
      </c>
      <c r="H18">
        <v>23</v>
      </c>
      <c r="L18" s="35"/>
      <c r="M18" s="35"/>
      <c r="N18" s="42">
        <f t="shared" si="1"/>
        <v>0.800000000000011</v>
      </c>
      <c r="O18" s="42">
        <f t="shared" si="1"/>
        <v>-0.199999999999999</v>
      </c>
      <c r="P18" s="43">
        <f t="shared" si="0"/>
        <v>2.65925624000004</v>
      </c>
      <c r="Q18" s="42">
        <f t="shared" si="2"/>
        <v>-1.89999999999998</v>
      </c>
      <c r="R18" s="42">
        <f t="shared" si="2"/>
        <v>-0.300000000000001</v>
      </c>
      <c r="S18" s="43">
        <f t="shared" si="3"/>
        <v>0</v>
      </c>
      <c r="T18" s="53">
        <v>0.8</v>
      </c>
      <c r="U18" s="35">
        <f t="shared" si="4"/>
        <v>23.1884057971014</v>
      </c>
      <c r="Y18" s="35"/>
      <c r="Z18" s="35"/>
      <c r="AA18" s="43">
        <v>2.65925624000004</v>
      </c>
      <c r="AB18" s="59">
        <v>2.65925624000004</v>
      </c>
      <c r="AC18" s="59">
        <v>0</v>
      </c>
      <c r="AD18" s="59">
        <v>23.1884057971014</v>
      </c>
      <c r="AE18" s="60">
        <v>0.114680425350002</v>
      </c>
      <c r="AF18" s="61">
        <v>0</v>
      </c>
    </row>
    <row r="19" spans="1:32">
      <c r="A19" t="s">
        <v>88</v>
      </c>
      <c r="B19" s="35" t="s">
        <v>93</v>
      </c>
      <c r="C19">
        <v>671.1</v>
      </c>
      <c r="D19">
        <v>23.3</v>
      </c>
      <c r="E19">
        <v>675.2</v>
      </c>
      <c r="F19">
        <v>23.1</v>
      </c>
      <c r="G19">
        <v>669.9</v>
      </c>
      <c r="H19">
        <v>22.9</v>
      </c>
      <c r="L19" s="35"/>
      <c r="M19" s="35"/>
      <c r="N19" s="42">
        <f t="shared" si="1"/>
        <v>4.10000000000002</v>
      </c>
      <c r="O19" s="42">
        <f t="shared" si="1"/>
        <v>-0.199999999999999</v>
      </c>
      <c r="P19" s="43">
        <f t="shared" si="0"/>
        <v>15.1136882300001</v>
      </c>
      <c r="Q19" s="42">
        <f t="shared" si="2"/>
        <v>-1.20000000000005</v>
      </c>
      <c r="R19" s="42">
        <f t="shared" si="2"/>
        <v>-0.400000000000002</v>
      </c>
      <c r="S19" s="43">
        <f t="shared" si="3"/>
        <v>0</v>
      </c>
      <c r="T19" s="53">
        <v>1</v>
      </c>
      <c r="U19" s="35">
        <f t="shared" si="4"/>
        <v>28.9855072463768</v>
      </c>
      <c r="Y19" s="35"/>
      <c r="Z19" s="35"/>
      <c r="AA19" s="43">
        <v>15.1136882300001</v>
      </c>
      <c r="AB19" s="59">
        <v>15.1136882300001</v>
      </c>
      <c r="AC19" s="59">
        <v>0</v>
      </c>
      <c r="AD19" s="59">
        <v>28.9855072463768</v>
      </c>
      <c r="AE19" s="60">
        <v>0.521422243935003</v>
      </c>
      <c r="AF19" s="61">
        <v>0</v>
      </c>
    </row>
    <row r="20" spans="1:32">
      <c r="A20" t="s">
        <v>88</v>
      </c>
      <c r="B20" s="36" t="s">
        <v>94</v>
      </c>
      <c r="C20">
        <v>692.9</v>
      </c>
      <c r="D20">
        <v>23.3</v>
      </c>
      <c r="E20">
        <v>697.4</v>
      </c>
      <c r="F20">
        <v>23.1</v>
      </c>
      <c r="G20">
        <v>693.3</v>
      </c>
      <c r="H20">
        <v>23</v>
      </c>
      <c r="L20" s="36"/>
      <c r="M20" s="36"/>
      <c r="N20" s="42">
        <f t="shared" si="1"/>
        <v>4.5</v>
      </c>
      <c r="O20" s="42">
        <f t="shared" si="1"/>
        <v>-0.199999999999999</v>
      </c>
      <c r="P20" s="43">
        <f t="shared" si="0"/>
        <v>16.62331635</v>
      </c>
      <c r="Q20" s="42">
        <f t="shared" si="2"/>
        <v>0.399999999999977</v>
      </c>
      <c r="R20" s="42">
        <f t="shared" si="2"/>
        <v>-0.300000000000001</v>
      </c>
      <c r="S20" s="43">
        <f t="shared" si="3"/>
        <v>0.969628119999913</v>
      </c>
      <c r="T20" s="53">
        <v>1.4</v>
      </c>
      <c r="U20" s="35">
        <f t="shared" si="4"/>
        <v>40.5797101449275</v>
      </c>
      <c r="Y20" s="36"/>
      <c r="Z20" s="36"/>
      <c r="AA20" s="43">
        <v>16.62331635</v>
      </c>
      <c r="AB20" s="59">
        <v>15.6536882300001</v>
      </c>
      <c r="AC20" s="59">
        <v>0.969628119999913</v>
      </c>
      <c r="AD20" s="59">
        <v>40.5797101449275</v>
      </c>
      <c r="AE20" s="60">
        <v>0.385751602810717</v>
      </c>
      <c r="AF20" s="61">
        <v>0.0583294030856793</v>
      </c>
    </row>
    <row r="21" spans="1:32">
      <c r="A21" t="s">
        <v>88</v>
      </c>
      <c r="B21" s="35" t="s">
        <v>95</v>
      </c>
      <c r="C21">
        <v>355</v>
      </c>
      <c r="D21">
        <v>23.3</v>
      </c>
      <c r="E21">
        <v>356.2</v>
      </c>
      <c r="F21">
        <v>23.1</v>
      </c>
      <c r="G21">
        <v>354.8</v>
      </c>
      <c r="H21">
        <v>23</v>
      </c>
      <c r="L21" s="35"/>
      <c r="M21" s="35"/>
      <c r="N21" s="42">
        <f t="shared" si="1"/>
        <v>1.19999999999999</v>
      </c>
      <c r="O21" s="42">
        <f t="shared" si="1"/>
        <v>-0.199999999999999</v>
      </c>
      <c r="P21" s="43">
        <f t="shared" si="0"/>
        <v>4.16888435999996</v>
      </c>
      <c r="Q21" s="42">
        <f t="shared" si="2"/>
        <v>-0.199999999999989</v>
      </c>
      <c r="R21" s="42">
        <f t="shared" si="2"/>
        <v>-0.300000000000001</v>
      </c>
      <c r="S21" s="43">
        <f t="shared" si="3"/>
        <v>0</v>
      </c>
      <c r="T21" s="54">
        <v>1.9</v>
      </c>
      <c r="U21" s="37">
        <f t="shared" si="4"/>
        <v>55.0724637681159</v>
      </c>
      <c r="Y21" s="35"/>
      <c r="Z21" s="35"/>
      <c r="AA21" s="43">
        <v>4.16888435999996</v>
      </c>
      <c r="AB21" s="59">
        <v>4.16888435999996</v>
      </c>
      <c r="AC21" s="59">
        <v>0</v>
      </c>
      <c r="AD21" s="59">
        <v>55.0724637681159</v>
      </c>
      <c r="AE21" s="60">
        <v>0.0756981633789467</v>
      </c>
      <c r="AF21" s="61">
        <v>0</v>
      </c>
    </row>
    <row r="22" spans="1:32">
      <c r="A22" t="s">
        <v>88</v>
      </c>
      <c r="B22" s="35" t="s">
        <v>96</v>
      </c>
      <c r="C22">
        <v>732.4</v>
      </c>
      <c r="D22">
        <v>23.2</v>
      </c>
      <c r="E22">
        <v>738.8</v>
      </c>
      <c r="F22">
        <v>23.1</v>
      </c>
      <c r="G22">
        <v>732.5</v>
      </c>
      <c r="H22">
        <v>23</v>
      </c>
      <c r="L22" s="35"/>
      <c r="M22" s="35"/>
      <c r="N22" s="42">
        <f t="shared" si="1"/>
        <v>6.39999999999998</v>
      </c>
      <c r="O22" s="42">
        <f t="shared" si="1"/>
        <v>-0.0999999999999979</v>
      </c>
      <c r="P22" s="43">
        <f t="shared" si="0"/>
        <v>23.9740499199999</v>
      </c>
      <c r="Q22" s="42">
        <f t="shared" si="2"/>
        <v>0.100000000000023</v>
      </c>
      <c r="R22" s="42">
        <f t="shared" si="2"/>
        <v>-0.199999999999999</v>
      </c>
      <c r="S22" s="43">
        <f t="shared" si="3"/>
        <v>0.0174070300000871</v>
      </c>
      <c r="T22" s="53">
        <v>2.9</v>
      </c>
      <c r="U22" s="35">
        <f t="shared" si="4"/>
        <v>84.0579710144928</v>
      </c>
      <c r="Y22" s="35"/>
      <c r="Z22" s="35"/>
      <c r="AA22" s="43">
        <v>23.9740499199999</v>
      </c>
      <c r="AB22" s="59">
        <v>23.9566428899998</v>
      </c>
      <c r="AC22" s="59">
        <v>0.0174070300000871</v>
      </c>
      <c r="AD22" s="59">
        <v>84.0579710144928</v>
      </c>
      <c r="AE22" s="60">
        <v>0.285001441277584</v>
      </c>
      <c r="AF22" s="61">
        <v>0.00072607799091824</v>
      </c>
    </row>
    <row r="23" spans="1:32">
      <c r="A23" t="s">
        <v>88</v>
      </c>
      <c r="B23" s="35" t="s">
        <v>97</v>
      </c>
      <c r="C23">
        <v>669</v>
      </c>
      <c r="D23">
        <v>23.2</v>
      </c>
      <c r="E23">
        <v>676.8</v>
      </c>
      <c r="F23">
        <v>23.1</v>
      </c>
      <c r="G23">
        <v>669.2</v>
      </c>
      <c r="H23">
        <v>23</v>
      </c>
      <c r="L23" s="35"/>
      <c r="M23" s="35"/>
      <c r="N23" s="42">
        <f t="shared" si="1"/>
        <v>7.79999999999995</v>
      </c>
      <c r="O23" s="42">
        <f t="shared" si="1"/>
        <v>-0.0999999999999979</v>
      </c>
      <c r="P23" s="43">
        <f t="shared" si="0"/>
        <v>29.2577483399998</v>
      </c>
      <c r="Q23" s="42">
        <f t="shared" si="2"/>
        <v>0.200000000000045</v>
      </c>
      <c r="R23" s="42">
        <f t="shared" si="2"/>
        <v>-0.199999999999999</v>
      </c>
      <c r="S23" s="43">
        <f t="shared" si="3"/>
        <v>0.394814060000173</v>
      </c>
      <c r="T23" s="53">
        <v>3.2</v>
      </c>
      <c r="U23" s="35">
        <f t="shared" si="4"/>
        <v>92.7536231884058</v>
      </c>
      <c r="Y23" s="35"/>
      <c r="Z23" s="35"/>
      <c r="AA23" s="43">
        <v>29.2577483399998</v>
      </c>
      <c r="AB23" s="59">
        <v>28.8629342799997</v>
      </c>
      <c r="AC23" s="59">
        <v>0.394814060000173</v>
      </c>
      <c r="AD23" s="59">
        <v>92.7536231884058</v>
      </c>
      <c r="AE23" s="60">
        <v>0.311178510206246</v>
      </c>
      <c r="AF23" s="61">
        <v>0.013494341923107</v>
      </c>
    </row>
    <row r="24" spans="1:32">
      <c r="A24" t="s">
        <v>88</v>
      </c>
      <c r="B24" s="37" t="s">
        <v>98</v>
      </c>
      <c r="C24">
        <v>799.1</v>
      </c>
      <c r="D24">
        <v>23.3</v>
      </c>
      <c r="E24">
        <v>801.8</v>
      </c>
      <c r="F24">
        <v>23.1</v>
      </c>
      <c r="G24">
        <v>798.9</v>
      </c>
      <c r="H24">
        <v>23.1</v>
      </c>
      <c r="L24" s="37"/>
      <c r="M24" s="37"/>
      <c r="N24" s="42">
        <f t="shared" si="1"/>
        <v>2.69999999999993</v>
      </c>
      <c r="O24" s="42">
        <f t="shared" si="1"/>
        <v>-0.199999999999999</v>
      </c>
      <c r="P24" s="43">
        <f t="shared" si="0"/>
        <v>9.82998980999974</v>
      </c>
      <c r="Q24" s="42">
        <f t="shared" si="2"/>
        <v>-0.200000000000045</v>
      </c>
      <c r="R24" s="42">
        <f t="shared" si="2"/>
        <v>-0.199999999999999</v>
      </c>
      <c r="S24" s="43">
        <f t="shared" si="3"/>
        <v>0</v>
      </c>
      <c r="T24" s="54">
        <v>3.6</v>
      </c>
      <c r="U24" s="37">
        <f t="shared" si="4"/>
        <v>104.347826086957</v>
      </c>
      <c r="Y24" s="37"/>
      <c r="Z24" s="37"/>
      <c r="AA24" s="43">
        <v>9.82998980999974</v>
      </c>
      <c r="AB24" s="59">
        <v>9.82998980999974</v>
      </c>
      <c r="AC24" s="59">
        <v>0</v>
      </c>
      <c r="AD24" s="59">
        <v>104.347826086957</v>
      </c>
      <c r="AE24" s="60">
        <v>0.0942040690124971</v>
      </c>
      <c r="AF24" s="61">
        <v>0</v>
      </c>
    </row>
    <row r="25" spans="1:32">
      <c r="A25" t="s">
        <v>88</v>
      </c>
      <c r="B25" s="35" t="s">
        <v>99</v>
      </c>
      <c r="C25">
        <v>675.9</v>
      </c>
      <c r="D25">
        <v>23.2</v>
      </c>
      <c r="E25">
        <v>686.5</v>
      </c>
      <c r="F25">
        <v>23.1</v>
      </c>
      <c r="G25">
        <v>675.8</v>
      </c>
      <c r="H25">
        <v>23</v>
      </c>
      <c r="L25" s="35"/>
      <c r="M25" s="35"/>
      <c r="N25" s="42">
        <f t="shared" si="1"/>
        <v>10.6</v>
      </c>
      <c r="O25" s="42">
        <f t="shared" si="1"/>
        <v>-0.0999999999999979</v>
      </c>
      <c r="P25" s="43">
        <f t="shared" si="0"/>
        <v>39.8251451800001</v>
      </c>
      <c r="Q25" s="42">
        <f t="shared" si="2"/>
        <v>-0.100000000000023</v>
      </c>
      <c r="R25" s="42">
        <f t="shared" si="2"/>
        <v>-0.199999999999999</v>
      </c>
      <c r="S25" s="43">
        <f t="shared" si="3"/>
        <v>0</v>
      </c>
      <c r="T25" s="53">
        <v>3.5</v>
      </c>
      <c r="U25" s="35">
        <f t="shared" si="4"/>
        <v>101.449275362319</v>
      </c>
      <c r="Y25" s="35"/>
      <c r="Z25" s="35"/>
      <c r="AA25" s="43">
        <v>39.8251451800001</v>
      </c>
      <c r="AB25" s="59">
        <v>39.8251451800001</v>
      </c>
      <c r="AC25" s="59">
        <v>0</v>
      </c>
      <c r="AD25" s="59">
        <v>101.449275362319</v>
      </c>
      <c r="AE25" s="60">
        <v>0.392562145345715</v>
      </c>
      <c r="AF25" s="61">
        <v>0</v>
      </c>
    </row>
    <row r="26" spans="1:32">
      <c r="A26" t="s">
        <v>88</v>
      </c>
      <c r="B26" s="35" t="s">
        <v>100</v>
      </c>
      <c r="C26">
        <v>580</v>
      </c>
      <c r="D26">
        <v>23.3</v>
      </c>
      <c r="E26">
        <v>591.5</v>
      </c>
      <c r="F26">
        <v>23.2</v>
      </c>
      <c r="G26">
        <v>580.4</v>
      </c>
      <c r="H26">
        <v>23.1</v>
      </c>
      <c r="L26" s="35"/>
      <c r="M26" s="35"/>
      <c r="N26" s="42">
        <f t="shared" si="1"/>
        <v>11.5</v>
      </c>
      <c r="O26" s="42">
        <f t="shared" si="1"/>
        <v>-0.100000000000001</v>
      </c>
      <c r="P26" s="43">
        <f t="shared" si="0"/>
        <v>43.22180845</v>
      </c>
      <c r="Q26" s="42">
        <f t="shared" si="2"/>
        <v>0.399999999999977</v>
      </c>
      <c r="R26" s="42">
        <f t="shared" si="2"/>
        <v>-0.199999999999999</v>
      </c>
      <c r="S26" s="43">
        <f t="shared" si="3"/>
        <v>1.14962811999992</v>
      </c>
      <c r="T26" s="53">
        <v>3.6</v>
      </c>
      <c r="U26" s="35">
        <f t="shared" si="4"/>
        <v>104.347826086957</v>
      </c>
      <c r="Y26" s="35"/>
      <c r="Z26" s="35"/>
      <c r="AA26" s="43">
        <v>43.22180845</v>
      </c>
      <c r="AB26" s="59">
        <v>42.0721803300001</v>
      </c>
      <c r="AC26" s="59">
        <v>1.14962811999992</v>
      </c>
      <c r="AD26" s="59">
        <v>104.347826086957</v>
      </c>
      <c r="AE26" s="60">
        <v>0.403191728162499</v>
      </c>
      <c r="AF26" s="61">
        <v>0.0265983345266506</v>
      </c>
    </row>
    <row r="27" spans="1:32">
      <c r="A27" t="s">
        <v>88</v>
      </c>
      <c r="B27" s="37" t="s">
        <v>101</v>
      </c>
      <c r="C27">
        <v>710.2</v>
      </c>
      <c r="D27">
        <v>23.2</v>
      </c>
      <c r="E27">
        <v>719.3</v>
      </c>
      <c r="F27">
        <v>23</v>
      </c>
      <c r="G27">
        <v>710.4</v>
      </c>
      <c r="H27">
        <v>22.9</v>
      </c>
      <c r="L27" s="37"/>
      <c r="M27" s="37"/>
      <c r="N27" s="42">
        <f t="shared" si="1"/>
        <v>9.09999999999991</v>
      </c>
      <c r="O27" s="42">
        <f t="shared" si="1"/>
        <v>-0.199999999999999</v>
      </c>
      <c r="P27" s="43">
        <f t="shared" si="0"/>
        <v>33.9840397299997</v>
      </c>
      <c r="Q27" s="42">
        <f t="shared" si="2"/>
        <v>0.199999999999932</v>
      </c>
      <c r="R27" s="42">
        <f t="shared" si="2"/>
        <v>-0.300000000000001</v>
      </c>
      <c r="S27" s="43">
        <f t="shared" si="3"/>
        <v>0.214814059999741</v>
      </c>
      <c r="T27" s="54">
        <v>3.1</v>
      </c>
      <c r="U27" s="37">
        <f t="shared" si="4"/>
        <v>89.8550724637681</v>
      </c>
      <c r="Y27" s="37"/>
      <c r="Z27" s="37"/>
      <c r="AA27" s="43">
        <v>33.9840397299997</v>
      </c>
      <c r="AB27" s="59">
        <v>33.7692256699999</v>
      </c>
      <c r="AC27" s="59">
        <v>0.214814059999741</v>
      </c>
      <c r="AD27" s="59">
        <v>89.8550724637681</v>
      </c>
      <c r="AE27" s="60">
        <v>0.37581880181129</v>
      </c>
      <c r="AF27" s="61">
        <v>0.00632102780324002</v>
      </c>
    </row>
    <row r="28" ht="14.25" spans="1:32">
      <c r="A28" t="s">
        <v>88</v>
      </c>
      <c r="B28" s="36" t="s">
        <v>102</v>
      </c>
      <c r="C28">
        <v>594.7</v>
      </c>
      <c r="D28">
        <v>23.3</v>
      </c>
      <c r="E28">
        <v>605.5</v>
      </c>
      <c r="F28">
        <v>23.2</v>
      </c>
      <c r="G28">
        <v>594.3</v>
      </c>
      <c r="H28">
        <v>23.1</v>
      </c>
      <c r="L28" s="36"/>
      <c r="M28" s="36"/>
      <c r="N28" s="44">
        <f t="shared" si="1"/>
        <v>10.8</v>
      </c>
      <c r="O28" s="44">
        <f t="shared" si="1"/>
        <v>-0.100000000000001</v>
      </c>
      <c r="P28" s="45">
        <f t="shared" si="0"/>
        <v>40.5799592399998</v>
      </c>
      <c r="Q28" s="44">
        <f t="shared" si="2"/>
        <v>-0.400000000000091</v>
      </c>
      <c r="R28" s="44">
        <f t="shared" si="2"/>
        <v>-0.199999999999999</v>
      </c>
      <c r="S28" s="43">
        <f t="shared" si="3"/>
        <v>0</v>
      </c>
      <c r="T28" s="55">
        <v>2.9</v>
      </c>
      <c r="U28" s="36">
        <f t="shared" si="4"/>
        <v>84.0579710144928</v>
      </c>
      <c r="Y28" s="36"/>
      <c r="Z28" s="36"/>
      <c r="AA28" s="62">
        <v>40.5799592399998</v>
      </c>
      <c r="AB28" s="63">
        <v>40.5799592399998</v>
      </c>
      <c r="AC28" s="63">
        <v>0</v>
      </c>
      <c r="AD28" s="63">
        <v>84.0579710144928</v>
      </c>
      <c r="AE28" s="64">
        <v>0.482761584062067</v>
      </c>
      <c r="AF28" s="65">
        <v>0</v>
      </c>
    </row>
    <row r="29" spans="1:32">
      <c r="A29" t="s">
        <v>103</v>
      </c>
      <c r="B29" s="38" t="s">
        <v>89</v>
      </c>
      <c r="C29">
        <v>650.9</v>
      </c>
      <c r="D29">
        <v>23.3</v>
      </c>
      <c r="E29">
        <v>663</v>
      </c>
      <c r="F29">
        <v>22.8</v>
      </c>
      <c r="G29">
        <v>651.9</v>
      </c>
      <c r="H29">
        <v>22.9</v>
      </c>
      <c r="L29" s="38"/>
      <c r="M29" s="38"/>
      <c r="N29" s="46">
        <f t="shared" si="1"/>
        <v>12.1</v>
      </c>
      <c r="O29" s="46">
        <f t="shared" si="1"/>
        <v>-0.5</v>
      </c>
      <c r="P29" s="47">
        <f t="shared" si="0"/>
        <v>44.7662506300001</v>
      </c>
      <c r="Q29" s="46">
        <f t="shared" si="2"/>
        <v>1</v>
      </c>
      <c r="R29" s="46">
        <f t="shared" si="2"/>
        <v>-0.400000000000002</v>
      </c>
      <c r="S29" s="56">
        <f t="shared" si="3"/>
        <v>3.0540703</v>
      </c>
      <c r="T29" s="57">
        <v>2.9</v>
      </c>
      <c r="U29" s="38">
        <f t="shared" si="4"/>
        <v>84.0579710144928</v>
      </c>
      <c r="Y29" s="38"/>
      <c r="Z29" s="38"/>
      <c r="AA29" s="66">
        <v>44.7662506300001</v>
      </c>
      <c r="AB29" s="67">
        <v>41.7121803300001</v>
      </c>
      <c r="AC29" s="67">
        <v>3.0540703</v>
      </c>
      <c r="AD29" s="67">
        <v>84.0579710144928</v>
      </c>
      <c r="AE29" s="68">
        <v>0.496231110822415</v>
      </c>
      <c r="AF29" s="69">
        <v>0.0682226064729511</v>
      </c>
    </row>
    <row r="30" spans="1:32">
      <c r="A30" t="s">
        <v>103</v>
      </c>
      <c r="B30" s="35" t="s">
        <v>90</v>
      </c>
      <c r="C30">
        <v>651.9</v>
      </c>
      <c r="D30">
        <v>23.4</v>
      </c>
      <c r="E30">
        <v>661.7</v>
      </c>
      <c r="F30">
        <v>23</v>
      </c>
      <c r="G30">
        <v>652.3</v>
      </c>
      <c r="H30">
        <v>23.1</v>
      </c>
      <c r="L30" s="35"/>
      <c r="M30" s="35"/>
      <c r="N30" s="42">
        <f t="shared" si="1"/>
        <v>9.80000000000007</v>
      </c>
      <c r="O30" s="42">
        <f t="shared" si="1"/>
        <v>-0.399999999999999</v>
      </c>
      <c r="P30" s="43">
        <f t="shared" si="0"/>
        <v>36.2658889400003</v>
      </c>
      <c r="Q30" s="42">
        <f t="shared" si="2"/>
        <v>0.399999999999977</v>
      </c>
      <c r="R30" s="42">
        <f t="shared" si="2"/>
        <v>-0.299999999999997</v>
      </c>
      <c r="S30" s="43">
        <f t="shared" si="3"/>
        <v>0.969628119999919</v>
      </c>
      <c r="T30" s="54">
        <v>3</v>
      </c>
      <c r="U30" s="37">
        <f t="shared" si="4"/>
        <v>86.9565217391304</v>
      </c>
      <c r="Y30" s="35"/>
      <c r="Z30" s="35"/>
      <c r="AA30" s="43">
        <v>36.2658889400003</v>
      </c>
      <c r="AB30" s="59">
        <v>35.2962608200003</v>
      </c>
      <c r="AC30" s="59">
        <v>0.969628119999919</v>
      </c>
      <c r="AD30" s="59">
        <v>86.9565217391304</v>
      </c>
      <c r="AE30" s="60">
        <v>0.405906999430004</v>
      </c>
      <c r="AF30" s="61">
        <v>0.0267366428437508</v>
      </c>
    </row>
    <row r="31" spans="1:32">
      <c r="A31" t="s">
        <v>103</v>
      </c>
      <c r="B31" s="36" t="s">
        <v>91</v>
      </c>
      <c r="C31">
        <v>629.4</v>
      </c>
      <c r="D31">
        <v>23.3</v>
      </c>
      <c r="E31">
        <v>642</v>
      </c>
      <c r="F31">
        <v>22.9</v>
      </c>
      <c r="G31">
        <v>630.1</v>
      </c>
      <c r="H31">
        <v>23.2</v>
      </c>
      <c r="L31" s="36"/>
      <c r="M31" s="36"/>
      <c r="N31" s="42">
        <f t="shared" si="1"/>
        <v>12.6</v>
      </c>
      <c r="O31" s="42">
        <f t="shared" si="1"/>
        <v>-0.400000000000002</v>
      </c>
      <c r="P31" s="43">
        <f t="shared" si="0"/>
        <v>46.8332857800001</v>
      </c>
      <c r="Q31" s="42">
        <f t="shared" si="2"/>
        <v>0.700000000000045</v>
      </c>
      <c r="R31" s="42">
        <f t="shared" si="2"/>
        <v>-0.100000000000001</v>
      </c>
      <c r="S31" s="43">
        <f t="shared" si="3"/>
        <v>2.46184921000017</v>
      </c>
      <c r="T31" s="53">
        <v>3.6</v>
      </c>
      <c r="U31" s="35">
        <f t="shared" si="4"/>
        <v>104.347826086957</v>
      </c>
      <c r="Y31" s="36"/>
      <c r="Z31" s="36"/>
      <c r="AA31" s="43">
        <v>46.8332857800001</v>
      </c>
      <c r="AB31" s="59">
        <v>44.3714365699999</v>
      </c>
      <c r="AC31" s="59">
        <v>2.46184921000017</v>
      </c>
      <c r="AD31" s="59">
        <v>104.347826086957</v>
      </c>
      <c r="AE31" s="60">
        <v>0.425226267129164</v>
      </c>
      <c r="AF31" s="61">
        <v>0.0525662286768589</v>
      </c>
    </row>
    <row r="32" spans="1:32">
      <c r="A32" t="s">
        <v>103</v>
      </c>
      <c r="B32" s="35" t="s">
        <v>92</v>
      </c>
      <c r="C32">
        <v>470</v>
      </c>
      <c r="D32">
        <v>23.3</v>
      </c>
      <c r="E32">
        <v>477</v>
      </c>
      <c r="F32">
        <v>22.9</v>
      </c>
      <c r="G32">
        <v>466.1</v>
      </c>
      <c r="H32">
        <v>23</v>
      </c>
      <c r="L32" s="35"/>
      <c r="M32" s="35"/>
      <c r="N32" s="42">
        <f t="shared" ref="N32:O42" si="5">E32-C32</f>
        <v>7</v>
      </c>
      <c r="O32" s="42">
        <f t="shared" si="5"/>
        <v>-0.400000000000002</v>
      </c>
      <c r="P32" s="43">
        <f t="shared" si="0"/>
        <v>25.6984921</v>
      </c>
      <c r="Q32" s="42">
        <f t="shared" ref="Q32:R42" si="6">G32-C32</f>
        <v>-3.89999999999998</v>
      </c>
      <c r="R32" s="42">
        <f t="shared" si="6"/>
        <v>-0.300000000000001</v>
      </c>
      <c r="S32" s="43">
        <f t="shared" si="3"/>
        <v>0</v>
      </c>
      <c r="T32" s="53">
        <v>3.4</v>
      </c>
      <c r="U32" s="35">
        <f t="shared" si="4"/>
        <v>98.5507246376812</v>
      </c>
      <c r="Y32" s="35"/>
      <c r="Z32" s="35"/>
      <c r="AA32" s="43">
        <v>25.6984921</v>
      </c>
      <c r="AB32" s="59">
        <v>25.6984921</v>
      </c>
      <c r="AC32" s="59">
        <v>0</v>
      </c>
      <c r="AD32" s="59">
        <v>98.5507246376812</v>
      </c>
      <c r="AE32" s="60">
        <v>0.260764111014706</v>
      </c>
      <c r="AF32" s="61">
        <v>0</v>
      </c>
    </row>
    <row r="33" spans="1:32">
      <c r="A33" t="s">
        <v>103</v>
      </c>
      <c r="B33" s="35" t="s">
        <v>93</v>
      </c>
      <c r="C33">
        <v>671.1</v>
      </c>
      <c r="D33">
        <v>23.3</v>
      </c>
      <c r="E33">
        <v>681.8</v>
      </c>
      <c r="F33">
        <v>22.9</v>
      </c>
      <c r="G33">
        <v>668.9</v>
      </c>
      <c r="H33">
        <v>23</v>
      </c>
      <c r="L33" s="35"/>
      <c r="M33" s="35"/>
      <c r="N33" s="42">
        <f t="shared" si="5"/>
        <v>10.6999999999999</v>
      </c>
      <c r="O33" s="42">
        <f t="shared" si="5"/>
        <v>-0.400000000000002</v>
      </c>
      <c r="P33" s="43">
        <f t="shared" si="0"/>
        <v>39.6625522099997</v>
      </c>
      <c r="Q33" s="42">
        <f t="shared" si="6"/>
        <v>-2.20000000000005</v>
      </c>
      <c r="R33" s="42">
        <f t="shared" si="6"/>
        <v>-0.300000000000001</v>
      </c>
      <c r="S33" s="43">
        <f t="shared" si="3"/>
        <v>0</v>
      </c>
      <c r="T33" s="54">
        <v>3.6</v>
      </c>
      <c r="U33" s="37">
        <f t="shared" si="4"/>
        <v>104.347826086957</v>
      </c>
      <c r="Y33" s="35"/>
      <c r="Z33" s="35"/>
      <c r="AA33" s="43">
        <v>39.6625522099997</v>
      </c>
      <c r="AB33" s="59">
        <v>39.6625522099997</v>
      </c>
      <c r="AC33" s="59">
        <v>0</v>
      </c>
      <c r="AD33" s="59">
        <v>104.347826086957</v>
      </c>
      <c r="AE33" s="60">
        <v>0.380099458679162</v>
      </c>
      <c r="AF33" s="61">
        <v>0</v>
      </c>
    </row>
    <row r="34" spans="1:32">
      <c r="A34" t="s">
        <v>103</v>
      </c>
      <c r="B34" s="36" t="s">
        <v>94</v>
      </c>
      <c r="C34">
        <v>692.9</v>
      </c>
      <c r="D34">
        <v>23.3</v>
      </c>
      <c r="E34">
        <v>702.5</v>
      </c>
      <c r="F34">
        <v>22.9</v>
      </c>
      <c r="G34">
        <v>693.4</v>
      </c>
      <c r="H34">
        <v>23</v>
      </c>
      <c r="L34" s="36"/>
      <c r="M34" s="36"/>
      <c r="N34" s="42">
        <f t="shared" si="5"/>
        <v>9.60000000000002</v>
      </c>
      <c r="O34" s="42">
        <f t="shared" si="5"/>
        <v>-0.400000000000002</v>
      </c>
      <c r="P34" s="43">
        <f t="shared" si="0"/>
        <v>35.5110748800001</v>
      </c>
      <c r="Q34" s="42">
        <f t="shared" si="6"/>
        <v>0.5</v>
      </c>
      <c r="R34" s="42">
        <f t="shared" si="6"/>
        <v>-0.300000000000001</v>
      </c>
      <c r="S34" s="43">
        <f t="shared" si="3"/>
        <v>1.34703515</v>
      </c>
      <c r="T34" s="53">
        <v>3.2</v>
      </c>
      <c r="U34" s="35">
        <f t="shared" si="4"/>
        <v>92.7536231884058</v>
      </c>
      <c r="Y34" s="36"/>
      <c r="Z34" s="36"/>
      <c r="AA34" s="43">
        <v>35.5110748800001</v>
      </c>
      <c r="AB34" s="59">
        <v>34.1640397300001</v>
      </c>
      <c r="AC34" s="59">
        <v>1.34703515</v>
      </c>
      <c r="AD34" s="59">
        <v>92.7536231884058</v>
      </c>
      <c r="AE34" s="60">
        <v>0.368331053339063</v>
      </c>
      <c r="AF34" s="61">
        <v>0.0379328182701294</v>
      </c>
    </row>
    <row r="35" spans="1:32">
      <c r="A35" t="s">
        <v>103</v>
      </c>
      <c r="B35" s="35" t="s">
        <v>95</v>
      </c>
      <c r="C35">
        <v>355</v>
      </c>
      <c r="D35">
        <v>23.3</v>
      </c>
      <c r="E35">
        <v>357.9</v>
      </c>
      <c r="F35">
        <v>22.9</v>
      </c>
      <c r="G35">
        <v>354.6</v>
      </c>
      <c r="H35">
        <v>23</v>
      </c>
      <c r="L35" s="35"/>
      <c r="M35" s="35"/>
      <c r="N35" s="42">
        <f t="shared" si="5"/>
        <v>2.89999999999998</v>
      </c>
      <c r="O35" s="42">
        <f t="shared" si="5"/>
        <v>-0.400000000000002</v>
      </c>
      <c r="P35" s="43">
        <f t="shared" si="0"/>
        <v>10.2248038699999</v>
      </c>
      <c r="Q35" s="42">
        <f t="shared" si="6"/>
        <v>-0.399999999999977</v>
      </c>
      <c r="R35" s="42">
        <f t="shared" si="6"/>
        <v>-0.300000000000001</v>
      </c>
      <c r="S35" s="43">
        <f t="shared" si="3"/>
        <v>0</v>
      </c>
      <c r="T35" s="53">
        <v>3</v>
      </c>
      <c r="U35" s="35">
        <f t="shared" si="4"/>
        <v>86.9565217391304</v>
      </c>
      <c r="Y35" s="35"/>
      <c r="Z35" s="35"/>
      <c r="AA35" s="43">
        <v>10.2248038699999</v>
      </c>
      <c r="AB35" s="59">
        <v>10.2248038699999</v>
      </c>
      <c r="AC35" s="59">
        <v>0</v>
      </c>
      <c r="AD35" s="59">
        <v>86.9565217391304</v>
      </c>
      <c r="AE35" s="60">
        <v>0.117585244504999</v>
      </c>
      <c r="AF35" s="61">
        <v>0</v>
      </c>
    </row>
    <row r="36" spans="1:32">
      <c r="A36" t="s">
        <v>103</v>
      </c>
      <c r="B36" s="35" t="s">
        <v>96</v>
      </c>
      <c r="C36">
        <v>732.4</v>
      </c>
      <c r="D36">
        <v>23.2</v>
      </c>
      <c r="E36">
        <v>737.5</v>
      </c>
      <c r="F36">
        <v>22.9</v>
      </c>
      <c r="G36">
        <v>732.5</v>
      </c>
      <c r="H36">
        <v>23</v>
      </c>
      <c r="L36" s="35"/>
      <c r="M36" s="35"/>
      <c r="N36" s="42">
        <f t="shared" si="5"/>
        <v>5.10000000000002</v>
      </c>
      <c r="O36" s="42">
        <f t="shared" si="5"/>
        <v>-0.300000000000001</v>
      </c>
      <c r="P36" s="43">
        <f t="shared" si="0"/>
        <v>18.7077585300001</v>
      </c>
      <c r="Q36" s="42">
        <f t="shared" si="6"/>
        <v>0.100000000000023</v>
      </c>
      <c r="R36" s="42">
        <f t="shared" si="6"/>
        <v>-0.199999999999999</v>
      </c>
      <c r="S36" s="43">
        <f t="shared" si="3"/>
        <v>0.0174070300000871</v>
      </c>
      <c r="T36" s="54">
        <v>2</v>
      </c>
      <c r="U36" s="37">
        <f t="shared" si="4"/>
        <v>57.9710144927536</v>
      </c>
      <c r="Y36" s="35"/>
      <c r="Z36" s="35"/>
      <c r="AA36" s="43">
        <v>18.7077585300001</v>
      </c>
      <c r="AB36" s="59">
        <v>18.6903515</v>
      </c>
      <c r="AC36" s="59">
        <v>0.0174070300000871</v>
      </c>
      <c r="AD36" s="59">
        <v>57.9710144927536</v>
      </c>
      <c r="AE36" s="60">
        <v>0.322408563375</v>
      </c>
      <c r="AF36" s="61">
        <v>0.000930471171742618</v>
      </c>
    </row>
    <row r="37" spans="1:32">
      <c r="A37" t="s">
        <v>103</v>
      </c>
      <c r="B37" s="35" t="s">
        <v>97</v>
      </c>
      <c r="C37">
        <v>669</v>
      </c>
      <c r="D37">
        <v>23.2</v>
      </c>
      <c r="E37">
        <v>673.9</v>
      </c>
      <c r="F37">
        <v>22.9</v>
      </c>
      <c r="G37">
        <v>669.2</v>
      </c>
      <c r="H37">
        <v>23</v>
      </c>
      <c r="L37" s="35"/>
      <c r="M37" s="35"/>
      <c r="N37" s="42">
        <f t="shared" si="5"/>
        <v>4.89999999999998</v>
      </c>
      <c r="O37" s="42">
        <f t="shared" si="5"/>
        <v>-0.300000000000001</v>
      </c>
      <c r="P37" s="43">
        <f t="shared" si="0"/>
        <v>17.9529444699999</v>
      </c>
      <c r="Q37" s="42">
        <f t="shared" si="6"/>
        <v>0.200000000000045</v>
      </c>
      <c r="R37" s="42">
        <f t="shared" si="6"/>
        <v>-0.199999999999999</v>
      </c>
      <c r="S37" s="43">
        <f t="shared" si="3"/>
        <v>0.394814060000173</v>
      </c>
      <c r="T37" s="53">
        <v>1.4</v>
      </c>
      <c r="U37" s="35">
        <f t="shared" si="4"/>
        <v>40.5797101449275</v>
      </c>
      <c r="Y37" s="35"/>
      <c r="Z37" s="35"/>
      <c r="AA37" s="43">
        <v>17.9529444699999</v>
      </c>
      <c r="AB37" s="59">
        <v>17.5581304099997</v>
      </c>
      <c r="AC37" s="59">
        <v>0.394814060000173</v>
      </c>
      <c r="AD37" s="59">
        <v>40.5797101449275</v>
      </c>
      <c r="AE37" s="60">
        <v>0.43268249938928</v>
      </c>
      <c r="AF37" s="61">
        <v>0.0219916048122314</v>
      </c>
    </row>
    <row r="38" spans="1:32">
      <c r="A38" t="s">
        <v>103</v>
      </c>
      <c r="B38" s="37" t="s">
        <v>98</v>
      </c>
      <c r="C38">
        <v>799.1</v>
      </c>
      <c r="D38">
        <v>23.3</v>
      </c>
      <c r="E38">
        <v>799.9</v>
      </c>
      <c r="F38">
        <v>22.9</v>
      </c>
      <c r="G38">
        <v>798.8</v>
      </c>
      <c r="H38">
        <v>23</v>
      </c>
      <c r="L38" s="37"/>
      <c r="M38" s="37"/>
      <c r="N38" s="42">
        <f t="shared" si="5"/>
        <v>0.799999999999955</v>
      </c>
      <c r="O38" s="42">
        <f t="shared" si="5"/>
        <v>-0.400000000000002</v>
      </c>
      <c r="P38" s="43">
        <f t="shared" si="0"/>
        <v>2.29925623999982</v>
      </c>
      <c r="Q38" s="42">
        <f t="shared" si="6"/>
        <v>-0.300000000000068</v>
      </c>
      <c r="R38" s="42">
        <f t="shared" si="6"/>
        <v>-0.300000000000001</v>
      </c>
      <c r="S38" s="43">
        <f t="shared" si="3"/>
        <v>0</v>
      </c>
      <c r="T38" s="53">
        <v>1.1</v>
      </c>
      <c r="U38" s="35">
        <f t="shared" si="4"/>
        <v>31.8840579710145</v>
      </c>
      <c r="Y38" s="37"/>
      <c r="Z38" s="37"/>
      <c r="AA38" s="43">
        <v>2.29925623999982</v>
      </c>
      <c r="AB38" s="59">
        <v>2.29925623999982</v>
      </c>
      <c r="AC38" s="59">
        <v>0</v>
      </c>
      <c r="AD38" s="59">
        <v>31.8840579710145</v>
      </c>
      <c r="AE38" s="60">
        <v>0.0721130366181763</v>
      </c>
      <c r="AF38" s="61">
        <v>0</v>
      </c>
    </row>
    <row r="39" spans="1:32">
      <c r="A39" t="s">
        <v>103</v>
      </c>
      <c r="B39" s="35" t="s">
        <v>99</v>
      </c>
      <c r="C39">
        <v>675.9</v>
      </c>
      <c r="D39">
        <v>23.2</v>
      </c>
      <c r="E39">
        <v>678.2</v>
      </c>
      <c r="F39">
        <v>22.9</v>
      </c>
      <c r="G39">
        <v>675.7</v>
      </c>
      <c r="H39">
        <v>23</v>
      </c>
      <c r="L39" s="35"/>
      <c r="M39" s="35"/>
      <c r="N39" s="42">
        <f t="shared" si="5"/>
        <v>2.30000000000007</v>
      </c>
      <c r="O39" s="42">
        <f t="shared" si="5"/>
        <v>-0.300000000000001</v>
      </c>
      <c r="P39" s="43">
        <f t="shared" si="0"/>
        <v>8.14036169000026</v>
      </c>
      <c r="Q39" s="42">
        <f t="shared" si="6"/>
        <v>-0.199999999999932</v>
      </c>
      <c r="R39" s="42">
        <f t="shared" si="6"/>
        <v>-0.199999999999999</v>
      </c>
      <c r="S39" s="43">
        <f t="shared" si="3"/>
        <v>0</v>
      </c>
      <c r="T39" s="54">
        <v>0.8</v>
      </c>
      <c r="U39" s="37">
        <f t="shared" si="4"/>
        <v>23.1884057971014</v>
      </c>
      <c r="Y39" s="35"/>
      <c r="Z39" s="35"/>
      <c r="AA39" s="43">
        <v>8.14036169000026</v>
      </c>
      <c r="AB39" s="59">
        <v>8.14036169000026</v>
      </c>
      <c r="AC39" s="59">
        <v>0</v>
      </c>
      <c r="AD39" s="59">
        <v>23.1884057971014</v>
      </c>
      <c r="AE39" s="60">
        <v>0.351053097881262</v>
      </c>
      <c r="AF39" s="61">
        <v>0</v>
      </c>
    </row>
    <row r="40" spans="1:32">
      <c r="A40" t="s">
        <v>103</v>
      </c>
      <c r="B40" s="35" t="s">
        <v>100</v>
      </c>
      <c r="C40">
        <v>580</v>
      </c>
      <c r="D40">
        <v>23.3</v>
      </c>
      <c r="E40">
        <v>582.9</v>
      </c>
      <c r="F40">
        <v>23</v>
      </c>
      <c r="G40">
        <v>580.4</v>
      </c>
      <c r="H40">
        <v>23.1</v>
      </c>
      <c r="L40" s="35"/>
      <c r="M40" s="35"/>
      <c r="N40" s="42">
        <f t="shared" si="5"/>
        <v>2.89999999999998</v>
      </c>
      <c r="O40" s="42">
        <f t="shared" si="5"/>
        <v>-0.300000000000001</v>
      </c>
      <c r="P40" s="43">
        <f t="shared" si="0"/>
        <v>10.4048038699999</v>
      </c>
      <c r="Q40" s="42">
        <f t="shared" si="6"/>
        <v>0.399999999999977</v>
      </c>
      <c r="R40" s="42">
        <f t="shared" si="6"/>
        <v>-0.199999999999999</v>
      </c>
      <c r="S40" s="43">
        <f t="shared" si="3"/>
        <v>1.14962811999992</v>
      </c>
      <c r="T40" s="53">
        <v>0.6</v>
      </c>
      <c r="U40" s="35">
        <f t="shared" si="4"/>
        <v>17.3913043478261</v>
      </c>
      <c r="Y40" s="35"/>
      <c r="Z40" s="35"/>
      <c r="AA40" s="43">
        <v>10.4048038699999</v>
      </c>
      <c r="AB40" s="59">
        <v>9.25517575</v>
      </c>
      <c r="AC40" s="59">
        <v>1.14962811999992</v>
      </c>
      <c r="AD40" s="59">
        <v>17.3913043478261</v>
      </c>
      <c r="AE40" s="60">
        <v>0.532172605625</v>
      </c>
      <c r="AF40" s="61">
        <v>0.110490128825458</v>
      </c>
    </row>
    <row r="41" spans="1:32">
      <c r="A41" t="s">
        <v>103</v>
      </c>
      <c r="B41" s="37" t="s">
        <v>101</v>
      </c>
      <c r="C41">
        <v>710.2</v>
      </c>
      <c r="D41">
        <v>23.2</v>
      </c>
      <c r="E41">
        <v>712.2</v>
      </c>
      <c r="F41">
        <v>22.9</v>
      </c>
      <c r="G41">
        <v>710.3</v>
      </c>
      <c r="H41">
        <v>22.9</v>
      </c>
      <c r="L41" s="37"/>
      <c r="M41" s="37"/>
      <c r="N41" s="42">
        <f t="shared" si="5"/>
        <v>2</v>
      </c>
      <c r="O41" s="42">
        <f t="shared" si="5"/>
        <v>-0.300000000000001</v>
      </c>
      <c r="P41" s="43">
        <f t="shared" si="0"/>
        <v>7.0081406</v>
      </c>
      <c r="Q41" s="42">
        <f t="shared" si="6"/>
        <v>0.0999999999999091</v>
      </c>
      <c r="R41" s="42">
        <f t="shared" si="6"/>
        <v>-0.300000000000001</v>
      </c>
      <c r="S41" s="43">
        <f t="shared" si="3"/>
        <v>0</v>
      </c>
      <c r="T41" s="53">
        <v>0.4</v>
      </c>
      <c r="U41" s="35">
        <f t="shared" si="4"/>
        <v>11.5942028985507</v>
      </c>
      <c r="Y41" s="37"/>
      <c r="Z41" s="37"/>
      <c r="AA41" s="43">
        <v>7.0081406</v>
      </c>
      <c r="AB41" s="59">
        <v>7.0081406</v>
      </c>
      <c r="AC41" s="59">
        <v>0</v>
      </c>
      <c r="AD41" s="59">
        <v>11.5942028985507</v>
      </c>
      <c r="AE41" s="60">
        <v>0.604452126750001</v>
      </c>
      <c r="AF41" s="61">
        <v>0</v>
      </c>
    </row>
    <row r="42" spans="1:32">
      <c r="A42" t="s">
        <v>103</v>
      </c>
      <c r="B42" s="35" t="s">
        <v>102</v>
      </c>
      <c r="C42">
        <v>594.7</v>
      </c>
      <c r="D42">
        <v>23.3</v>
      </c>
      <c r="E42">
        <v>596.3</v>
      </c>
      <c r="F42">
        <v>23.1</v>
      </c>
      <c r="G42">
        <v>594.3</v>
      </c>
      <c r="H42">
        <v>23</v>
      </c>
      <c r="L42" s="36"/>
      <c r="M42" s="36"/>
      <c r="N42" s="42">
        <f t="shared" si="5"/>
        <v>1.59999999999991</v>
      </c>
      <c r="O42" s="42">
        <f t="shared" si="5"/>
        <v>-0.199999999999999</v>
      </c>
      <c r="P42" s="43">
        <f t="shared" si="0"/>
        <v>5.67851247999966</v>
      </c>
      <c r="Q42" s="42">
        <f t="shared" si="6"/>
        <v>-0.400000000000091</v>
      </c>
      <c r="R42" s="42">
        <f t="shared" si="6"/>
        <v>-0.300000000000001</v>
      </c>
      <c r="S42" s="43">
        <f t="shared" si="3"/>
        <v>0</v>
      </c>
      <c r="T42" s="54">
        <v>0.3</v>
      </c>
      <c r="U42" s="37">
        <f t="shared" si="4"/>
        <v>8.69565217391304</v>
      </c>
      <c r="Y42" s="36"/>
      <c r="Z42" s="36"/>
      <c r="AA42" s="43">
        <v>5.67851247999966</v>
      </c>
      <c r="AB42" s="59">
        <v>5.67851247999966</v>
      </c>
      <c r="AC42" s="59">
        <v>0</v>
      </c>
      <c r="AD42" s="59">
        <v>8.69565217391304</v>
      </c>
      <c r="AE42" s="60">
        <v>0.653028935199961</v>
      </c>
      <c r="AF42" s="61">
        <v>0</v>
      </c>
    </row>
  </sheetData>
  <mergeCells count="19">
    <mergeCell ref="C13:D13"/>
    <mergeCell ref="E13:F13"/>
    <mergeCell ref="G13:H13"/>
    <mergeCell ref="N13:P13"/>
    <mergeCell ref="Q13:S13"/>
    <mergeCell ref="T13:U13"/>
    <mergeCell ref="AA13:AC13"/>
    <mergeCell ref="A13:A14"/>
    <mergeCell ref="B13:B14"/>
    <mergeCell ref="L13:L14"/>
    <mergeCell ref="M13:M14"/>
    <mergeCell ref="Y13:Y14"/>
    <mergeCell ref="Z13:Z14"/>
    <mergeCell ref="AD13:AD14"/>
    <mergeCell ref="AE13:AE14"/>
    <mergeCell ref="AF13:AF14"/>
    <mergeCell ref="A11:H12"/>
    <mergeCell ref="Y11:AF12"/>
    <mergeCell ref="L11:U12"/>
  </mergeCells>
  <pageMargins left="0.75" right="0.75" top="1" bottom="1" header="0.511805555555556" footer="0.511805555555556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1" name="Button 7" r:id="rId3">
              <controlPr print="0" defaultSize="0">
                <anchor moveWithCells="1">
                  <from>
                    <xdr:col>8</xdr:col>
                    <xdr:colOff>419100</xdr:colOff>
                    <xdr:row>7</xdr:row>
                    <xdr:rowOff>161925</xdr:rowOff>
                  </from>
                  <to>
                    <xdr:col>10</xdr:col>
                    <xdr:colOff>95250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" name="Button 8" r:id="rId4">
              <controlPr print="0" defaultSize="0">
                <anchor moveWithCells="1">
                  <from>
                    <xdr:col>8</xdr:col>
                    <xdr:colOff>419100</xdr:colOff>
                    <xdr:row>5</xdr:row>
                    <xdr:rowOff>133350</xdr:rowOff>
                  </from>
                  <to>
                    <xdr:col>10</xdr:col>
                    <xdr:colOff>9525</xdr:colOff>
                    <xdr:row>7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/>
  <dimension ref="A1:S40"/>
  <sheetViews>
    <sheetView workbookViewId="0">
      <selection activeCell="K20" sqref="K20"/>
    </sheetView>
  </sheetViews>
  <sheetFormatPr defaultColWidth="9" defaultRowHeight="13.5"/>
  <sheetData>
    <row r="1" spans="1:2">
      <c r="A1" t="s">
        <v>232</v>
      </c>
      <c r="B1">
        <v>1</v>
      </c>
    </row>
    <row r="2" spans="1:19">
      <c r="A2" t="s">
        <v>219</v>
      </c>
      <c r="B2">
        <v>14</v>
      </c>
      <c r="C2" t="s">
        <v>220</v>
      </c>
      <c r="E2" t="s">
        <v>221</v>
      </c>
      <c r="G2" t="s">
        <v>222</v>
      </c>
      <c r="I2" t="s">
        <v>223</v>
      </c>
      <c r="K2" t="s">
        <v>224</v>
      </c>
      <c r="M2" t="s">
        <v>225</v>
      </c>
      <c r="O2" t="s">
        <v>226</v>
      </c>
      <c r="Q2" t="s">
        <v>227</v>
      </c>
      <c r="S2" t="s">
        <v>228</v>
      </c>
    </row>
    <row r="3" spans="1:2">
      <c r="A3" t="s">
        <v>62</v>
      </c>
      <c r="B3">
        <v>2</v>
      </c>
    </row>
    <row r="4" spans="1:2">
      <c r="A4" s="1" t="s">
        <v>68</v>
      </c>
      <c r="B4">
        <v>3.28</v>
      </c>
    </row>
    <row r="5" spans="1:2">
      <c r="A5" t="s">
        <v>69</v>
      </c>
      <c r="B5">
        <v>0.39</v>
      </c>
    </row>
    <row r="6" spans="1:2">
      <c r="A6" t="s">
        <v>70</v>
      </c>
      <c r="B6">
        <v>0.93</v>
      </c>
    </row>
    <row r="7" spans="1:2">
      <c r="A7" s="1" t="s">
        <v>71</v>
      </c>
      <c r="B7" s="2">
        <v>0.0244</v>
      </c>
    </row>
    <row r="8" spans="1:4">
      <c r="A8" t="s">
        <v>72</v>
      </c>
      <c r="B8" s="2">
        <v>0</v>
      </c>
      <c r="D8" s="2"/>
    </row>
    <row r="11" ht="14.25" spans="1:12">
      <c r="A11" s="3" t="s">
        <v>136</v>
      </c>
      <c r="B11" s="3" t="s">
        <v>75</v>
      </c>
      <c r="C11" s="4" t="s">
        <v>76</v>
      </c>
      <c r="D11" s="4" t="s">
        <v>131</v>
      </c>
      <c r="E11" s="4"/>
      <c r="F11" s="4" t="s">
        <v>132</v>
      </c>
      <c r="G11" s="4"/>
      <c r="H11" s="4"/>
      <c r="I11" s="4" t="s">
        <v>86</v>
      </c>
      <c r="J11" s="4" t="s">
        <v>79</v>
      </c>
      <c r="K11" s="4" t="s">
        <v>82</v>
      </c>
      <c r="L11" s="4" t="s">
        <v>233</v>
      </c>
    </row>
    <row r="12" ht="14.25" spans="1:12">
      <c r="A12" s="3"/>
      <c r="B12" s="5"/>
      <c r="C12" s="6"/>
      <c r="D12" s="4" t="s">
        <v>234</v>
      </c>
      <c r="E12" s="4" t="s">
        <v>85</v>
      </c>
      <c r="F12" s="4" t="s">
        <v>234</v>
      </c>
      <c r="G12" s="4" t="s">
        <v>84</v>
      </c>
      <c r="H12" s="4" t="s">
        <v>87</v>
      </c>
      <c r="I12" s="4"/>
      <c r="J12" s="4"/>
      <c r="K12" s="4"/>
      <c r="L12" s="4"/>
    </row>
    <row r="13" spans="1:12">
      <c r="A13" s="7" t="s">
        <v>88</v>
      </c>
      <c r="B13" s="8" t="s">
        <v>195</v>
      </c>
      <c r="C13" s="9">
        <v>8.74</v>
      </c>
      <c r="D13" s="9">
        <v>9.18</v>
      </c>
      <c r="E13" s="10">
        <v>0.44</v>
      </c>
      <c r="F13" s="9">
        <v>8.65</v>
      </c>
      <c r="G13" s="10">
        <v>-0.529999999999999</v>
      </c>
      <c r="H13" s="11">
        <v>0</v>
      </c>
      <c r="I13" s="21">
        <v>0.44</v>
      </c>
      <c r="J13" s="22">
        <v>0.473</v>
      </c>
      <c r="K13" s="21">
        <v>0.930232558139534</v>
      </c>
      <c r="L13" s="23">
        <v>0</v>
      </c>
    </row>
    <row r="14" spans="1:12">
      <c r="A14" s="7" t="s">
        <v>88</v>
      </c>
      <c r="B14" s="8" t="s">
        <v>196</v>
      </c>
      <c r="C14" s="9">
        <v>1.29</v>
      </c>
      <c r="D14" s="9">
        <v>1.8</v>
      </c>
      <c r="E14" s="10">
        <v>0.51</v>
      </c>
      <c r="F14" s="9">
        <v>1.15</v>
      </c>
      <c r="G14" s="10">
        <v>-0.65</v>
      </c>
      <c r="H14" s="11">
        <v>0</v>
      </c>
      <c r="I14" s="21">
        <v>0.51</v>
      </c>
      <c r="J14" s="22">
        <v>0.825</v>
      </c>
      <c r="K14" s="21">
        <v>0.618181818181818</v>
      </c>
      <c r="L14" s="23">
        <v>0</v>
      </c>
    </row>
    <row r="15" spans="1:12">
      <c r="A15" s="7" t="s">
        <v>88</v>
      </c>
      <c r="B15" s="8" t="s">
        <v>197</v>
      </c>
      <c r="C15" s="9">
        <v>8.04</v>
      </c>
      <c r="D15" s="9">
        <v>8.74</v>
      </c>
      <c r="E15" s="10">
        <v>0.700000000000001</v>
      </c>
      <c r="F15" s="9">
        <v>7.95</v>
      </c>
      <c r="G15" s="10">
        <v>-0.79</v>
      </c>
      <c r="H15" s="11">
        <v>0</v>
      </c>
      <c r="I15" s="21">
        <v>0.700000000000001</v>
      </c>
      <c r="J15" s="22">
        <v>1.245</v>
      </c>
      <c r="K15" s="21">
        <v>0.562248995983937</v>
      </c>
      <c r="L15" s="23">
        <v>0</v>
      </c>
    </row>
    <row r="16" spans="1:12">
      <c r="A16" s="7" t="s">
        <v>88</v>
      </c>
      <c r="B16" s="8" t="s">
        <v>201</v>
      </c>
      <c r="C16" s="12">
        <v>2.23</v>
      </c>
      <c r="D16" s="12">
        <v>3</v>
      </c>
      <c r="E16" s="10">
        <v>0.77</v>
      </c>
      <c r="F16" s="12">
        <v>2.2</v>
      </c>
      <c r="G16" s="10">
        <v>-0.8</v>
      </c>
      <c r="H16" s="11">
        <v>0</v>
      </c>
      <c r="I16" s="21">
        <v>0.77</v>
      </c>
      <c r="J16" s="22">
        <v>1.743</v>
      </c>
      <c r="K16" s="21">
        <v>0.441767068273092</v>
      </c>
      <c r="L16" s="23">
        <v>0</v>
      </c>
    </row>
    <row r="17" spans="1:12">
      <c r="A17" s="7" t="s">
        <v>88</v>
      </c>
      <c r="B17" s="8" t="s">
        <v>202</v>
      </c>
      <c r="C17" s="9">
        <v>4.05</v>
      </c>
      <c r="D17" s="9">
        <v>5.02</v>
      </c>
      <c r="E17" s="10">
        <v>0.97</v>
      </c>
      <c r="F17" s="9">
        <v>3.93</v>
      </c>
      <c r="G17" s="10">
        <v>-1.09</v>
      </c>
      <c r="H17" s="11">
        <v>0</v>
      </c>
      <c r="I17" s="21">
        <v>0.97</v>
      </c>
      <c r="J17" s="22">
        <v>2.342</v>
      </c>
      <c r="K17" s="21">
        <v>0.414175918018787</v>
      </c>
      <c r="L17" s="23">
        <v>0</v>
      </c>
    </row>
    <row r="18" spans="1:12">
      <c r="A18" s="7" t="s">
        <v>88</v>
      </c>
      <c r="B18" s="8" t="s">
        <v>209</v>
      </c>
      <c r="C18" s="9">
        <v>6.32</v>
      </c>
      <c r="D18" s="9">
        <v>7.6</v>
      </c>
      <c r="E18" s="10">
        <v>1.28</v>
      </c>
      <c r="F18" s="13">
        <v>6.24</v>
      </c>
      <c r="G18" s="10">
        <v>-1.36</v>
      </c>
      <c r="H18" s="11">
        <v>0</v>
      </c>
      <c r="I18" s="21">
        <v>1.28</v>
      </c>
      <c r="J18" s="22">
        <v>3.079</v>
      </c>
      <c r="K18" s="21">
        <v>0.415719389412147</v>
      </c>
      <c r="L18" s="23">
        <v>0</v>
      </c>
    </row>
    <row r="19" spans="1:12">
      <c r="A19" s="7" t="s">
        <v>88</v>
      </c>
      <c r="B19" s="8" t="s">
        <v>210</v>
      </c>
      <c r="C19" s="9">
        <v>7.98</v>
      </c>
      <c r="D19" s="9">
        <v>9.62</v>
      </c>
      <c r="E19" s="10">
        <v>1.64</v>
      </c>
      <c r="F19" s="13">
        <v>7.91</v>
      </c>
      <c r="G19" s="10">
        <v>-1.71</v>
      </c>
      <c r="H19" s="11">
        <v>0</v>
      </c>
      <c r="I19" s="21">
        <v>1.64</v>
      </c>
      <c r="J19" s="22">
        <v>4.008</v>
      </c>
      <c r="K19" s="21">
        <v>0.409181636726547</v>
      </c>
      <c r="L19" s="23">
        <v>0</v>
      </c>
    </row>
    <row r="20" spans="1:12">
      <c r="A20" s="7" t="s">
        <v>88</v>
      </c>
      <c r="B20" s="8" t="s">
        <v>211</v>
      </c>
      <c r="C20" s="9">
        <v>14.28</v>
      </c>
      <c r="D20" s="9">
        <v>16.31</v>
      </c>
      <c r="E20" s="10">
        <v>2.03</v>
      </c>
      <c r="F20" s="13">
        <v>14.19</v>
      </c>
      <c r="G20" s="10">
        <v>-2.12</v>
      </c>
      <c r="H20" s="11">
        <v>0</v>
      </c>
      <c r="I20" s="21">
        <v>2.03</v>
      </c>
      <c r="J20" s="22">
        <v>5.16</v>
      </c>
      <c r="K20" s="21">
        <v>0.393410852713178</v>
      </c>
      <c r="L20" s="23">
        <v>0</v>
      </c>
    </row>
    <row r="21" spans="1:12">
      <c r="A21" s="7" t="s">
        <v>88</v>
      </c>
      <c r="B21" s="8" t="s">
        <v>212</v>
      </c>
      <c r="C21" s="9">
        <v>12.58</v>
      </c>
      <c r="D21" s="9">
        <v>15.08</v>
      </c>
      <c r="E21" s="10">
        <v>2.5</v>
      </c>
      <c r="F21" s="13">
        <v>12.55</v>
      </c>
      <c r="G21" s="10">
        <v>-2.53</v>
      </c>
      <c r="H21" s="11">
        <v>0</v>
      </c>
      <c r="I21" s="21">
        <v>2.5</v>
      </c>
      <c r="J21" s="22">
        <v>5.953</v>
      </c>
      <c r="K21" s="21">
        <v>0.419956324542248</v>
      </c>
      <c r="L21" s="23">
        <v>0</v>
      </c>
    </row>
    <row r="22" spans="1:12">
      <c r="A22" s="7" t="s">
        <v>88</v>
      </c>
      <c r="B22" s="8" t="s">
        <v>213</v>
      </c>
      <c r="C22" s="9">
        <v>6.85</v>
      </c>
      <c r="D22" s="9">
        <v>9.65</v>
      </c>
      <c r="E22" s="10">
        <v>2.8</v>
      </c>
      <c r="F22" s="13">
        <v>6.8</v>
      </c>
      <c r="G22" s="10">
        <v>-2.85</v>
      </c>
      <c r="H22" s="11">
        <v>0</v>
      </c>
      <c r="I22" s="21">
        <v>2.8</v>
      </c>
      <c r="J22" s="22">
        <v>6.742</v>
      </c>
      <c r="K22" s="21">
        <v>0.415307030554732</v>
      </c>
      <c r="L22" s="23">
        <v>0</v>
      </c>
    </row>
    <row r="23" spans="1:12">
      <c r="A23" s="7" t="s">
        <v>88</v>
      </c>
      <c r="B23" s="8" t="s">
        <v>214</v>
      </c>
      <c r="C23" s="9">
        <v>11.92</v>
      </c>
      <c r="D23" s="9">
        <v>15.21</v>
      </c>
      <c r="E23" s="10">
        <v>3.29</v>
      </c>
      <c r="F23" s="13">
        <v>11.93</v>
      </c>
      <c r="G23" s="10">
        <v>-3.28</v>
      </c>
      <c r="H23" s="11">
        <v>0.00999999999999979</v>
      </c>
      <c r="I23" s="21">
        <v>3.28</v>
      </c>
      <c r="J23" s="22">
        <v>7.048</v>
      </c>
      <c r="K23" s="21">
        <v>0.465380249716232</v>
      </c>
      <c r="L23" s="23">
        <v>0.00303951367781148</v>
      </c>
    </row>
    <row r="24" spans="1:12">
      <c r="A24" s="7" t="s">
        <v>88</v>
      </c>
      <c r="B24" s="8" t="s">
        <v>215</v>
      </c>
      <c r="C24" s="9">
        <v>16.9</v>
      </c>
      <c r="D24" s="9">
        <v>20</v>
      </c>
      <c r="E24" s="10">
        <v>3.1</v>
      </c>
      <c r="F24" s="13">
        <v>16.78</v>
      </c>
      <c r="G24" s="10">
        <v>-3.22</v>
      </c>
      <c r="H24" s="11">
        <v>0</v>
      </c>
      <c r="I24" s="21">
        <v>3.1</v>
      </c>
      <c r="J24" s="22">
        <v>7.268</v>
      </c>
      <c r="K24" s="21">
        <v>0.42652724270776</v>
      </c>
      <c r="L24" s="23">
        <v>0</v>
      </c>
    </row>
    <row r="25" spans="1:12">
      <c r="A25" s="7" t="s">
        <v>88</v>
      </c>
      <c r="B25" s="8" t="s">
        <v>216</v>
      </c>
      <c r="C25" s="9">
        <v>12.43</v>
      </c>
      <c r="D25" s="9">
        <v>15.34</v>
      </c>
      <c r="E25" s="10">
        <v>2.91</v>
      </c>
      <c r="F25" s="13">
        <v>12.57</v>
      </c>
      <c r="G25" s="10">
        <v>-2.77</v>
      </c>
      <c r="H25" s="11">
        <v>0.140000000000001</v>
      </c>
      <c r="I25" s="21">
        <v>2.77</v>
      </c>
      <c r="J25" s="22">
        <v>6.793</v>
      </c>
      <c r="K25" s="21">
        <v>0.407772707198587</v>
      </c>
      <c r="L25" s="23">
        <v>0.048109965635739</v>
      </c>
    </row>
    <row r="26" ht="14.25" spans="1:12">
      <c r="A26" s="7" t="s">
        <v>88</v>
      </c>
      <c r="B26" s="14" t="s">
        <v>217</v>
      </c>
      <c r="C26" s="15">
        <v>13.65</v>
      </c>
      <c r="D26" s="15">
        <v>16.52</v>
      </c>
      <c r="E26" s="10">
        <v>2.87</v>
      </c>
      <c r="F26" s="16">
        <v>13.72</v>
      </c>
      <c r="G26" s="10">
        <v>-2.8</v>
      </c>
      <c r="H26" s="11">
        <v>0.0700000000000003</v>
      </c>
      <c r="I26" s="21">
        <v>2.8</v>
      </c>
      <c r="J26" s="22">
        <v>6.702</v>
      </c>
      <c r="K26" s="21">
        <v>0.417785735601313</v>
      </c>
      <c r="L26" s="23">
        <v>0.0243902439024391</v>
      </c>
    </row>
    <row r="27" spans="1:12">
      <c r="A27" s="7"/>
      <c r="B27" s="8" t="s">
        <v>195</v>
      </c>
      <c r="C27" s="9">
        <v>8.74</v>
      </c>
      <c r="D27" s="17">
        <v>11.47</v>
      </c>
      <c r="E27" s="18">
        <v>2.73</v>
      </c>
      <c r="F27" s="17">
        <v>8.7</v>
      </c>
      <c r="G27" s="18">
        <v>-2.77</v>
      </c>
      <c r="H27" s="11">
        <v>0</v>
      </c>
      <c r="I27" s="24">
        <v>2.73</v>
      </c>
      <c r="J27" s="25">
        <v>6.632</v>
      </c>
      <c r="K27" s="24">
        <v>0.411640530759952</v>
      </c>
      <c r="L27" s="26">
        <v>0</v>
      </c>
    </row>
    <row r="28" spans="1:12">
      <c r="A28" s="7"/>
      <c r="B28" s="8" t="s">
        <v>196</v>
      </c>
      <c r="C28" s="9">
        <v>1.29</v>
      </c>
      <c r="D28" s="9">
        <v>4.19</v>
      </c>
      <c r="E28" s="10">
        <v>2.9</v>
      </c>
      <c r="F28" s="9">
        <v>1.23</v>
      </c>
      <c r="G28" s="10">
        <v>-2.96</v>
      </c>
      <c r="H28" s="11">
        <v>0</v>
      </c>
      <c r="I28" s="21">
        <v>2.9</v>
      </c>
      <c r="J28" s="22">
        <v>6.725</v>
      </c>
      <c r="K28" s="21">
        <v>0.431226765799257</v>
      </c>
      <c r="L28" s="23">
        <v>0</v>
      </c>
    </row>
    <row r="29" spans="1:12">
      <c r="A29" s="7"/>
      <c r="B29" s="8" t="s">
        <v>197</v>
      </c>
      <c r="C29" s="9">
        <v>8.04</v>
      </c>
      <c r="D29" s="9">
        <v>11.15</v>
      </c>
      <c r="E29" s="19">
        <v>3.11</v>
      </c>
      <c r="F29" s="9">
        <v>8</v>
      </c>
      <c r="G29" s="10">
        <v>-3.15</v>
      </c>
      <c r="H29" s="11">
        <v>0</v>
      </c>
      <c r="I29" s="27">
        <v>3.11</v>
      </c>
      <c r="J29" s="28">
        <v>7.195</v>
      </c>
      <c r="K29" s="27">
        <v>0.432244614315497</v>
      </c>
      <c r="L29" s="29">
        <v>0</v>
      </c>
    </row>
    <row r="30" spans="1:12">
      <c r="A30" s="7"/>
      <c r="B30" s="8" t="s">
        <v>201</v>
      </c>
      <c r="C30" s="12">
        <v>2.23</v>
      </c>
      <c r="D30" s="12">
        <v>5.35</v>
      </c>
      <c r="E30" s="10">
        <v>3.12</v>
      </c>
      <c r="F30" s="12">
        <v>2.25</v>
      </c>
      <c r="G30" s="20">
        <v>-3.1</v>
      </c>
      <c r="H30" s="11">
        <v>0.02</v>
      </c>
      <c r="I30" s="21">
        <v>3.1</v>
      </c>
      <c r="J30" s="22">
        <v>7</v>
      </c>
      <c r="K30" s="21">
        <v>0.442857142857143</v>
      </c>
      <c r="L30" s="23">
        <v>0.00641025641025642</v>
      </c>
    </row>
    <row r="31" spans="1:12">
      <c r="A31" s="7"/>
      <c r="B31" s="8" t="s">
        <v>202</v>
      </c>
      <c r="C31" s="9">
        <v>4.05</v>
      </c>
      <c r="D31" s="9">
        <v>6.97</v>
      </c>
      <c r="E31" s="10">
        <v>2.92</v>
      </c>
      <c r="F31" s="9">
        <v>3.96</v>
      </c>
      <c r="G31" s="10">
        <v>-3.01</v>
      </c>
      <c r="H31" s="11">
        <v>0</v>
      </c>
      <c r="I31" s="21">
        <v>2.92</v>
      </c>
      <c r="J31" s="22">
        <v>6.728</v>
      </c>
      <c r="K31" s="21">
        <v>0.434007134363853</v>
      </c>
      <c r="L31" s="23">
        <v>0</v>
      </c>
    </row>
    <row r="32" spans="1:12">
      <c r="A32" s="7"/>
      <c r="B32" s="8" t="s">
        <v>209</v>
      </c>
      <c r="C32" s="9">
        <v>6.32</v>
      </c>
      <c r="D32" s="9">
        <v>8.71</v>
      </c>
      <c r="E32" s="10">
        <v>2.39</v>
      </c>
      <c r="F32" s="13">
        <v>6.25</v>
      </c>
      <c r="G32" s="10">
        <v>-2.46</v>
      </c>
      <c r="H32" s="11">
        <v>0</v>
      </c>
      <c r="I32" s="21">
        <v>2.39</v>
      </c>
      <c r="J32" s="22">
        <v>5.975</v>
      </c>
      <c r="K32" s="21">
        <v>0.4</v>
      </c>
      <c r="L32" s="23">
        <v>0</v>
      </c>
    </row>
    <row r="33" spans="1:12">
      <c r="A33" s="7"/>
      <c r="B33" s="8" t="s">
        <v>210</v>
      </c>
      <c r="C33" s="9">
        <v>7.98</v>
      </c>
      <c r="D33" s="9">
        <v>10.17</v>
      </c>
      <c r="E33" s="20">
        <v>2.19</v>
      </c>
      <c r="F33" s="13">
        <v>7.92</v>
      </c>
      <c r="G33" s="10">
        <v>-2.25</v>
      </c>
      <c r="H33" s="11">
        <v>0</v>
      </c>
      <c r="I33" s="30">
        <v>2.19</v>
      </c>
      <c r="J33" s="31">
        <v>5.203</v>
      </c>
      <c r="K33" s="30">
        <v>0.420911012877186</v>
      </c>
      <c r="L33" s="32">
        <v>0</v>
      </c>
    </row>
    <row r="34" spans="1:12">
      <c r="A34" s="7"/>
      <c r="B34" s="8" t="s">
        <v>211</v>
      </c>
      <c r="C34" s="9">
        <v>14.28</v>
      </c>
      <c r="D34" s="9">
        <v>15.97</v>
      </c>
      <c r="E34" s="10">
        <v>1.69</v>
      </c>
      <c r="F34" s="13">
        <v>14.17</v>
      </c>
      <c r="G34" s="10">
        <v>-1.8</v>
      </c>
      <c r="H34" s="11">
        <v>0</v>
      </c>
      <c r="I34" s="21">
        <v>1.69</v>
      </c>
      <c r="J34" s="22">
        <v>4.043</v>
      </c>
      <c r="K34" s="21">
        <v>0.418006430868168</v>
      </c>
      <c r="L34" s="23">
        <v>0</v>
      </c>
    </row>
    <row r="35" spans="1:12">
      <c r="A35" s="7"/>
      <c r="B35" s="8" t="s">
        <v>212</v>
      </c>
      <c r="C35" s="9">
        <v>12.58</v>
      </c>
      <c r="D35" s="9">
        <v>13.91</v>
      </c>
      <c r="E35" s="19">
        <v>1.33</v>
      </c>
      <c r="F35" s="13">
        <v>12.53</v>
      </c>
      <c r="G35" s="10">
        <v>-1.38</v>
      </c>
      <c r="H35" s="11">
        <v>0</v>
      </c>
      <c r="I35" s="27">
        <v>1.33</v>
      </c>
      <c r="J35" s="28">
        <v>3.11</v>
      </c>
      <c r="K35" s="27">
        <v>0.427652733118971</v>
      </c>
      <c r="L35" s="29">
        <v>0</v>
      </c>
    </row>
    <row r="36" spans="1:12">
      <c r="A36" s="7"/>
      <c r="B36" s="8" t="s">
        <v>213</v>
      </c>
      <c r="C36" s="9">
        <v>6.85</v>
      </c>
      <c r="D36" s="9">
        <v>7.72</v>
      </c>
      <c r="E36" s="10">
        <v>0.87</v>
      </c>
      <c r="F36" s="13">
        <v>6.78</v>
      </c>
      <c r="G36" s="10">
        <v>-0.94</v>
      </c>
      <c r="H36" s="11">
        <v>0</v>
      </c>
      <c r="I36" s="21">
        <v>0.87</v>
      </c>
      <c r="J36" s="22">
        <v>2.369</v>
      </c>
      <c r="K36" s="21">
        <v>0.367243562684677</v>
      </c>
      <c r="L36" s="23">
        <v>0</v>
      </c>
    </row>
    <row r="37" spans="1:12">
      <c r="A37" s="7"/>
      <c r="B37" s="8" t="s">
        <v>214</v>
      </c>
      <c r="C37" s="9">
        <v>11.92</v>
      </c>
      <c r="D37" s="9">
        <v>12.73</v>
      </c>
      <c r="E37" s="10">
        <v>0.81</v>
      </c>
      <c r="F37" s="13">
        <v>11.9</v>
      </c>
      <c r="G37" s="10">
        <v>-0.83</v>
      </c>
      <c r="H37" s="11">
        <v>0</v>
      </c>
      <c r="I37" s="21">
        <v>0.81</v>
      </c>
      <c r="J37" s="22">
        <v>1.769</v>
      </c>
      <c r="K37" s="21">
        <v>0.457885811192765</v>
      </c>
      <c r="L37" s="23">
        <v>0</v>
      </c>
    </row>
    <row r="38" spans="1:12">
      <c r="A38" s="7"/>
      <c r="B38" s="8" t="s">
        <v>215</v>
      </c>
      <c r="C38" s="9">
        <v>16.9</v>
      </c>
      <c r="D38" s="9">
        <v>17.41</v>
      </c>
      <c r="E38" s="10">
        <v>0.510000000000002</v>
      </c>
      <c r="F38" s="13">
        <v>16.74</v>
      </c>
      <c r="G38" s="10">
        <v>-0.670000000000002</v>
      </c>
      <c r="H38" s="11">
        <v>0</v>
      </c>
      <c r="I38" s="21">
        <v>0.510000000000002</v>
      </c>
      <c r="J38" s="22">
        <v>1.271</v>
      </c>
      <c r="K38" s="21">
        <v>0.401258851298192</v>
      </c>
      <c r="L38" s="23">
        <v>0</v>
      </c>
    </row>
    <row r="39" spans="1:12">
      <c r="A39" s="7"/>
      <c r="B39" s="8" t="s">
        <v>216</v>
      </c>
      <c r="C39" s="9">
        <v>12.43</v>
      </c>
      <c r="D39" s="9">
        <v>12.84</v>
      </c>
      <c r="E39" s="20">
        <v>0.41</v>
      </c>
      <c r="F39" s="13">
        <v>12.5</v>
      </c>
      <c r="G39" s="10">
        <v>-0.34</v>
      </c>
      <c r="H39" s="11">
        <v>0.0700000000000003</v>
      </c>
      <c r="I39" s="30">
        <v>0.34</v>
      </c>
      <c r="J39" s="31">
        <v>0.852</v>
      </c>
      <c r="K39" s="30">
        <v>0.39906103286385</v>
      </c>
      <c r="L39" s="32">
        <v>0.170731707317074</v>
      </c>
    </row>
    <row r="40" ht="14.25" spans="1:12">
      <c r="A40" s="7"/>
      <c r="B40" s="14" t="s">
        <v>217</v>
      </c>
      <c r="C40" s="15">
        <v>13.65</v>
      </c>
      <c r="D40" s="9">
        <v>14.18</v>
      </c>
      <c r="E40" s="10">
        <v>0.529999999999999</v>
      </c>
      <c r="F40" s="13">
        <v>13.68</v>
      </c>
      <c r="G40" s="10">
        <v>-0.5</v>
      </c>
      <c r="H40" s="11">
        <v>0.0299999999999994</v>
      </c>
      <c r="I40" s="21">
        <v>0.5</v>
      </c>
      <c r="J40" s="22">
        <v>0.499</v>
      </c>
      <c r="K40" s="21">
        <v>1.00200400801603</v>
      </c>
      <c r="L40" s="23">
        <v>0.0566037735849045</v>
      </c>
    </row>
  </sheetData>
  <mergeCells count="9">
    <mergeCell ref="D11:E11"/>
    <mergeCell ref="F11:H11"/>
    <mergeCell ref="A11:A12"/>
    <mergeCell ref="B11:B12"/>
    <mergeCell ref="C11:C12"/>
    <mergeCell ref="I11:I12"/>
    <mergeCell ref="J11:J12"/>
    <mergeCell ref="K11:K12"/>
    <mergeCell ref="L11:L12"/>
  </mergeCells>
  <pageMargins left="0.75" right="0.75" top="1" bottom="1" header="0.511805555555556" footer="0.511805555555556"/>
  <pageSetup paperSize="9" orientation="portrait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首页</vt:lpstr>
      <vt:lpstr>仪器管理</vt:lpstr>
      <vt:lpstr>挠度</vt:lpstr>
      <vt:lpstr>应变</vt:lpstr>
      <vt:lpstr>栏杆推力</vt:lpstr>
      <vt:lpstr>生成Word报告</vt:lpstr>
      <vt:lpstr>原始记录</vt:lpstr>
      <vt:lpstr>水准测量转换</vt:lpstr>
      <vt:lpstr>草稿</vt:lpstr>
      <vt:lpstr>应变测试</vt:lpstr>
      <vt:lpstr>挠度测试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Administrator</cp:lastModifiedBy>
  <dcterms:created xsi:type="dcterms:W3CDTF">2015-06-05T18:19:00Z</dcterms:created>
  <dcterms:modified xsi:type="dcterms:W3CDTF">2019-03-24T08:41:49Z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2052-10.8.2.6837</vt:lpwstr>
  </property>
</Properties>
</file>