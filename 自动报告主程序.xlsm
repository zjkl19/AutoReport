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2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<sst xmlns="http://schemas.openxmlformats.org/spreadsheetml/2006/main" count="273">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</sst>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176" formatCode="0.00_ "/>
    <numFmt numFmtId="44" formatCode="_ &quot;￥&quot;* #,##0.00_ ;_ &quot;￥&quot;* \-#,##0.00_ ;_ &quot;￥&quot;* &quot;-&quot;??_ ;_ @_ "/>
    <numFmt numFmtId="177" formatCode="0_ "/>
    <numFmt numFmtId="43" formatCode="_ * #,##0.00_ ;_ * \-#,##0.00_ ;_ * &quot;-&quot;??_ ;_ @_ "/>
    <numFmt numFmtId="41" formatCode="_ * #,##0_ ;_ * \-#,##0_ ;_ * &quot;-&quot;_ ;_ @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6" fillId="19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23" borderId="19" applyNumberFormat="0" applyFont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7" fillId="0" borderId="21" applyNumberFormat="0" applyFill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30" fillId="14" borderId="22" applyNumberFormat="0" applyAlignment="0" applyProtection="0">
      <alignment vertical="center"/>
    </xf>
    <xf numFmtId="0" fontId="21" fillId="14" borderId="18" applyNumberFormat="0" applyAlignment="0" applyProtection="0">
      <alignment vertical="center"/>
    </xf>
    <xf numFmtId="0" fontId="19" fillId="10" borderId="16" applyNumberFormat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8" fillId="0" borderId="20" applyNumberFormat="0" applyFill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J21" sqref="J2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abSelected="1" workbookViewId="0">
      <selection activeCell="C13" sqref="C1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125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125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125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125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125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125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125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125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125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125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workbookViewId="0">
      <selection activeCell="C15" sqref="C15:J2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v>9.27258278000009</v>
      </c>
      <c r="Q15" s="42">
        <v>0.600000000000023</v>
      </c>
      <c r="R15" s="42">
        <v>-0.300000000000001</v>
      </c>
      <c r="S15" s="43">
        <v>1.72444218000008</v>
      </c>
      <c r="T15" s="11">
        <v>0.3</v>
      </c>
      <c r="U15" s="35">
        <f>T15*100/3.45</f>
        <v>8.69565217391304</v>
      </c>
      <c r="Y15" s="35" t="s">
        <v>154</v>
      </c>
      <c r="Z15" s="35" t="s">
        <v>200</v>
      </c>
      <c r="AA15" s="43">
        <v>9</v>
      </c>
      <c r="AB15" s="59">
        <v>7</v>
      </c>
      <c r="AC15" s="59">
        <v>2</v>
      </c>
      <c r="AD15" s="59">
        <v>0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0">E16-C16</f>
        <v>1.80000000000007</v>
      </c>
      <c r="O16" s="42">
        <f t="shared" si="0"/>
        <v>-0.199999999999999</v>
      </c>
      <c r="P16" s="43">
        <f t="shared" ref="P15:P42" si="1">3.7*1.020019*(N16)+1.8*(O16)</f>
        <v>6.43332654000027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0"/>
        <v>2.89999999999998</v>
      </c>
      <c r="O17" s="42">
        <f t="shared" si="0"/>
        <v>-0.199999999999999</v>
      </c>
      <c r="P17" s="43">
        <f t="shared" si="1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0"/>
        <v>0.800000000000011</v>
      </c>
      <c r="O18" s="42">
        <f t="shared" si="0"/>
        <v>-0.199999999999999</v>
      </c>
      <c r="P18" s="43">
        <f t="shared" si="1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0"/>
        <v>4.10000000000002</v>
      </c>
      <c r="O19" s="42">
        <f t="shared" si="0"/>
        <v>-0.199999999999999</v>
      </c>
      <c r="P19" s="43">
        <f t="shared" si="1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0"/>
        <v>4.5</v>
      </c>
      <c r="O20" s="42">
        <f t="shared" si="0"/>
        <v>-0.199999999999999</v>
      </c>
      <c r="P20" s="43">
        <f t="shared" si="1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0"/>
        <v>1.19999999999999</v>
      </c>
      <c r="O21" s="42">
        <f t="shared" si="0"/>
        <v>-0.199999999999999</v>
      </c>
      <c r="P21" s="43">
        <f t="shared" si="1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0"/>
        <v>6.39999999999998</v>
      </c>
      <c r="O22" s="42">
        <f t="shared" si="0"/>
        <v>-0.0999999999999979</v>
      </c>
      <c r="P22" s="43">
        <f t="shared" si="1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0"/>
        <v>7.79999999999995</v>
      </c>
      <c r="O23" s="42">
        <f t="shared" si="0"/>
        <v>-0.0999999999999979</v>
      </c>
      <c r="P23" s="43">
        <f t="shared" si="1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0"/>
        <v>2.69999999999993</v>
      </c>
      <c r="O24" s="42">
        <f t="shared" si="0"/>
        <v>-0.199999999999999</v>
      </c>
      <c r="P24" s="43">
        <f t="shared" si="1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0"/>
        <v>10.6</v>
      </c>
      <c r="O25" s="42">
        <f t="shared" si="0"/>
        <v>-0.0999999999999979</v>
      </c>
      <c r="P25" s="43">
        <f t="shared" si="1"/>
        <v>39.82514518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0"/>
        <v>11.5</v>
      </c>
      <c r="O26" s="42">
        <f t="shared" si="0"/>
        <v>-0.100000000000001</v>
      </c>
      <c r="P26" s="43">
        <f t="shared" si="1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0"/>
        <v>9.09999999999991</v>
      </c>
      <c r="O27" s="42">
        <f t="shared" si="0"/>
        <v>-0.199999999999999</v>
      </c>
      <c r="P27" s="43">
        <f t="shared" si="1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0"/>
        <v>10.8</v>
      </c>
      <c r="O28" s="44">
        <f t="shared" si="0"/>
        <v>-0.100000000000001</v>
      </c>
      <c r="P28" s="45">
        <f t="shared" si="1"/>
        <v>40.57995924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0"/>
        <v>12.1</v>
      </c>
      <c r="O29" s="46">
        <f t="shared" si="0"/>
        <v>-0.5</v>
      </c>
      <c r="P29" s="47">
        <f t="shared" si="1"/>
        <v>44.76625063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0"/>
        <v>9.80000000000007</v>
      </c>
      <c r="O30" s="42">
        <f t="shared" si="0"/>
        <v>-0.399999999999999</v>
      </c>
      <c r="P30" s="43">
        <f t="shared" si="1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0"/>
        <v>12.6</v>
      </c>
      <c r="O31" s="42">
        <f t="shared" si="0"/>
        <v>-0.400000000000002</v>
      </c>
      <c r="P31" s="43">
        <f t="shared" si="1"/>
        <v>46.83328578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1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1"/>
        <v>39.6625522099996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1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1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1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1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1"/>
        <v>2.29925623999983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1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1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1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1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V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3.29</v>
      </c>
    </row>
    <row r="6" spans="1:2">
      <c r="A6" t="s">
        <v>136</v>
      </c>
      <c r="B6">
        <v>0.05</v>
      </c>
    </row>
    <row r="7" spans="1:2">
      <c r="A7" s="1" t="s">
        <v>137</v>
      </c>
      <c r="B7" s="2">
        <v>0.44</v>
      </c>
    </row>
    <row r="8" spans="1:4">
      <c r="A8" t="s">
        <v>138</v>
      </c>
      <c r="B8" s="2">
        <v>0</v>
      </c>
      <c r="D8" s="2"/>
    </row>
    <row r="9" spans="2:2">
      <c r="B9" s="2">
        <v>0</v>
      </c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2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0.44</v>
      </c>
      <c r="Q13">
        <v>0.44</v>
      </c>
      <c r="R13">
        <v>0</v>
      </c>
      <c r="S13">
        <v>8.65</v>
      </c>
      <c r="T13">
        <v>0.0508670520231213</v>
      </c>
      <c r="U13">
        <v>0</v>
      </c>
      <c r="V13">
        <v>-8.74</v>
      </c>
    </row>
    <row r="14" spans="1:2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0.51</v>
      </c>
      <c r="Q14">
        <v>0.51</v>
      </c>
      <c r="R14">
        <v>0</v>
      </c>
      <c r="S14">
        <v>1.15</v>
      </c>
      <c r="T14">
        <v>0.443478260869565</v>
      </c>
      <c r="U14">
        <v>0</v>
      </c>
      <c r="V14">
        <v>-1.29</v>
      </c>
    </row>
    <row r="15" spans="1:2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0.700000000000001</v>
      </c>
      <c r="Q15">
        <v>0.700000000000001</v>
      </c>
      <c r="R15">
        <v>0</v>
      </c>
      <c r="S15">
        <v>7.95</v>
      </c>
      <c r="T15">
        <v>0.0880503144654089</v>
      </c>
      <c r="U15">
        <v>0</v>
      </c>
      <c r="V15">
        <v>-8.04</v>
      </c>
    </row>
    <row r="16" spans="1:2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  <c r="P16">
        <v>0.77</v>
      </c>
      <c r="Q16">
        <v>0.77</v>
      </c>
      <c r="R16">
        <v>0</v>
      </c>
      <c r="S16">
        <v>2.2</v>
      </c>
      <c r="T16">
        <v>0.35</v>
      </c>
      <c r="U16">
        <v>0</v>
      </c>
      <c r="V16">
        <v>-2.23</v>
      </c>
    </row>
    <row r="17" spans="1:2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P17">
        <v>0.97</v>
      </c>
      <c r="Q17">
        <v>0.97</v>
      </c>
      <c r="R17">
        <v>0</v>
      </c>
      <c r="S17">
        <v>3.93</v>
      </c>
      <c r="T17">
        <v>0.246819338422392</v>
      </c>
      <c r="U17">
        <v>0</v>
      </c>
      <c r="V17">
        <v>-4.05</v>
      </c>
    </row>
    <row r="18" spans="1:2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  <c r="P18">
        <v>1.28</v>
      </c>
      <c r="Q18">
        <v>1.28</v>
      </c>
      <c r="R18">
        <v>0</v>
      </c>
      <c r="S18">
        <v>6.24</v>
      </c>
      <c r="T18">
        <v>0.205128205128205</v>
      </c>
      <c r="U18">
        <v>0</v>
      </c>
      <c r="V18">
        <v>-6.32</v>
      </c>
    </row>
    <row r="19" spans="1:2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  <c r="P19">
        <v>1.64</v>
      </c>
      <c r="Q19">
        <v>1.64</v>
      </c>
      <c r="R19">
        <v>0</v>
      </c>
      <c r="S19">
        <v>7.91</v>
      </c>
      <c r="T19">
        <v>0.207332490518331</v>
      </c>
      <c r="U19">
        <v>0</v>
      </c>
      <c r="V19">
        <v>-7.98</v>
      </c>
    </row>
    <row r="20" spans="1:2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  <c r="P20">
        <v>2.03</v>
      </c>
      <c r="Q20">
        <v>2.03</v>
      </c>
      <c r="R20">
        <v>0</v>
      </c>
      <c r="S20">
        <v>14.19</v>
      </c>
      <c r="T20">
        <v>0.143058491895701</v>
      </c>
      <c r="U20">
        <v>0</v>
      </c>
      <c r="V20">
        <v>-14.28</v>
      </c>
    </row>
    <row r="21" spans="1:2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  <c r="P21">
        <v>2.5</v>
      </c>
      <c r="Q21">
        <v>2.5</v>
      </c>
      <c r="R21">
        <v>0</v>
      </c>
      <c r="S21">
        <v>12.55</v>
      </c>
      <c r="T21">
        <v>0.199203187250996</v>
      </c>
      <c r="U21">
        <v>0</v>
      </c>
      <c r="V21">
        <v>-12.58</v>
      </c>
    </row>
    <row r="22" spans="1:2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  <c r="P22">
        <v>2.8</v>
      </c>
      <c r="Q22">
        <v>2.8</v>
      </c>
      <c r="R22">
        <v>0</v>
      </c>
      <c r="S22">
        <v>6.8</v>
      </c>
      <c r="T22">
        <v>0.411764705882353</v>
      </c>
      <c r="U22">
        <v>0</v>
      </c>
      <c r="V22">
        <v>-6.85</v>
      </c>
    </row>
    <row r="23" spans="1:2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  <c r="P23">
        <v>3.29</v>
      </c>
      <c r="Q23">
        <v>3.29</v>
      </c>
      <c r="R23">
        <v>0</v>
      </c>
      <c r="S23">
        <v>11.93</v>
      </c>
      <c r="T23">
        <v>0.275775356244761</v>
      </c>
      <c r="U23">
        <v>0</v>
      </c>
      <c r="V23">
        <v>-11.92</v>
      </c>
    </row>
    <row r="24" spans="1:2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  <c r="P24">
        <v>3.1</v>
      </c>
      <c r="Q24">
        <v>3.1</v>
      </c>
      <c r="R24">
        <v>0</v>
      </c>
      <c r="S24">
        <v>16.78</v>
      </c>
      <c r="T24">
        <v>0.184743742550656</v>
      </c>
      <c r="U24">
        <v>0</v>
      </c>
      <c r="V24">
        <v>-16.9</v>
      </c>
    </row>
    <row r="25" spans="1:2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  <c r="P25">
        <v>2.91</v>
      </c>
      <c r="Q25">
        <v>2.91</v>
      </c>
      <c r="R25">
        <v>0</v>
      </c>
      <c r="S25">
        <v>12.57</v>
      </c>
      <c r="T25">
        <v>0.231503579952267</v>
      </c>
      <c r="U25">
        <v>0</v>
      </c>
      <c r="V25">
        <v>-12.43</v>
      </c>
    </row>
    <row r="26" ht="14.25" spans="1:2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  <c r="P26">
        <v>2.87</v>
      </c>
      <c r="Q26">
        <v>2.87</v>
      </c>
      <c r="R26">
        <v>0</v>
      </c>
      <c r="S26">
        <v>13.72</v>
      </c>
      <c r="T26">
        <v>0.209183673469388</v>
      </c>
      <c r="U26">
        <v>0</v>
      </c>
      <c r="V26">
        <v>-13.65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2019-05-08T02:22:51Z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