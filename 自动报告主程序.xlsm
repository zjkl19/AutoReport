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 activeTab="2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<sst xmlns="http://schemas.openxmlformats.org/spreadsheetml/2006/main" count="785" uniqueCount="273">
  <si>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</si>
  <si>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</si>
  <si>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</si>
  <si>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</si>
  <si>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</si>
  <si>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</si>
  <si>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</si>
  <si>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</si>
  <si>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</si>
  <si>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</si>
  <si>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</si>
  <si>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</si>
  <si>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出厂编号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</si>
  <si>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</si>
  <si>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</si>
  <si>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</si>
  <si>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</si>
  <si>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</si>
  <si>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</si>
  <si>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</si>
  <si>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</si>
  <si>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综合测试仪</t>
  </si>
  <si>
    <t>02FB050519007</t>
  </si>
  <si>
    <t>JMZX-3001L</t>
  </si>
  <si>
    <t>00180323</t>
  </si>
  <si>
    <t>水准仪</t>
  </si>
  <si>
    <t>DiNi03</t>
  </si>
  <si>
    <t>02FB050218035</t>
  </si>
  <si>
    <t>746300</t>
  </si>
  <si>
    <t>02FB050519008</t>
  </si>
  <si>
    <t>00180324</t>
  </si>
  <si>
    <t>DiNi 0.3mm per km</t>
  </si>
  <si>
    <t>02FB050217025</t>
  </si>
  <si>
    <t>744390</t>
  </si>
  <si>
    <t>钢卷尺</t>
  </si>
  <si>
    <t>(0～5)m</t>
  </si>
  <si>
    <t>智能综合测试仪</t>
  </si>
  <si>
    <t>02FB050519009</t>
  </si>
  <si>
    <t>JMZX-3006L</t>
  </si>
  <si>
    <t>00180344</t>
  </si>
  <si>
    <t>无线遥测振动(索力)测试分析系统</t>
  </si>
  <si>
    <t>TST5927</t>
  </si>
  <si>
    <t>02FB050112009</t>
  </si>
  <si>
    <t>(B)05-143</t>
  </si>
  <si>
    <t>1204074</t>
  </si>
  <si>
    <t>02FB050112008</t>
  </si>
  <si>
    <t>(B)05-142</t>
  </si>
  <si>
    <t>1204075</t>
  </si>
  <si>
    <t>尺寸和挠度</t>
  </si>
  <si>
    <t>(0～30)m</t>
  </si>
  <si>
    <t>02FB050112006</t>
  </si>
  <si>
    <t>(B)05-146</t>
  </si>
  <si>
    <t>1204077</t>
  </si>
  <si>
    <t>02FB050112010</t>
  </si>
  <si>
    <t>(B)05-145</t>
  </si>
  <si>
    <t>1204078</t>
  </si>
  <si>
    <t>02FB050112007</t>
  </si>
  <si>
    <t>(B)05-147</t>
  </si>
  <si>
    <t>1204076</t>
  </si>
  <si>
    <t>02FB050112018</t>
  </si>
  <si>
    <t>(B)05-141</t>
  </si>
  <si>
    <t>1204079</t>
  </si>
  <si>
    <t>百分表</t>
  </si>
  <si>
    <t>(0～10)mm</t>
  </si>
  <si>
    <t>02FB050112005</t>
  </si>
  <si>
    <t>(B)05-144</t>
  </si>
  <si>
    <t>1204073</t>
  </si>
  <si>
    <t>02FB050112004</t>
  </si>
  <si>
    <t>(B)05-148</t>
  </si>
  <si>
    <t>1204072</t>
  </si>
  <si>
    <t>(0～30)mm</t>
  </si>
  <si>
    <t>全站仪</t>
  </si>
  <si>
    <t>NTS-362RL</t>
  </si>
  <si>
    <t>02FB050211002</t>
  </si>
  <si>
    <t>(B)02-215</t>
  </si>
  <si>
    <t>S69890</t>
  </si>
  <si>
    <t>R1+</t>
  </si>
  <si>
    <t>02FB050218034</t>
  </si>
  <si>
    <t>1H30397</t>
  </si>
  <si>
    <t>应变</t>
  </si>
  <si>
    <t>振弦式读数仪</t>
  </si>
  <si>
    <t>TS60</t>
  </si>
  <si>
    <t>02FB050217003</t>
  </si>
  <si>
    <t>883847</t>
  </si>
  <si>
    <t>TS30</t>
  </si>
  <si>
    <t>02FB050214004</t>
  </si>
  <si>
    <t>(B)02-297</t>
  </si>
  <si>
    <t>363993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</si>
  <si>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</si>
  <si>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</si>
  <si>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</si>
  <si>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</si>
  <si>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</si>
  <si>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</si>
  <si>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</si>
  <si>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</si>
  <si>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</si>
  <si>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</si>
  <si>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</si>
  <si>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</si>
  <si>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</si>
  <si>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</si>
  <si>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</si>
  <si>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</si>
  <si>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</si>
  <si>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</si>
  <si>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</si>
  <si>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</si>
  <si>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</si>
  <si>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</si>
  <si>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</si>
  <si>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应变计</t>
  </si>
  <si>
    <t>表面式应变计</t>
  </si>
  <si>
    <t>自定义仪器</t>
  </si>
  <si>
    <t>埋入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</si>
  <si>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</si>
  <si>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</si>
  <si>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</si>
  <si>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</si>
  <si>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</si>
  <si>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</si>
  <si>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</si>
  <si>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</si>
  <si>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</si>
  <si>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</si>
  <si>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</si>
  <si>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</si>
  <si>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</si>
  <si>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理论挠度截图区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</si>
  <si>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</si>
  <si>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</si>
  <si>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</si>
  <si>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</si>
  <si>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</si>
  <si>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</si>
  <si>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</si>
  <si>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</si>
  <si>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</si>
  <si>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</si>
  <si>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</si>
  <si>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</si>
  <si>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</si>
  <si>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</si>
  <si>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</si>
  <si>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</si>
  <si>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</si>
  <si>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</si>
  <si>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</si>
  <si>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</si>
  <si>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</si>
  <si>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</si>
  <si>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</si>
  <si>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</si>
  <si>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</si>
  <si>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</si>
  <si>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</si>
  <si>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</si>
  <si>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</si>
  <si>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</si>
  <si>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</si>
  <si>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A-5</t>
  </si>
  <si>
    <t>A-6</t>
  </si>
  <si>
    <t>A-7</t>
  </si>
  <si>
    <t>A-8</t>
  </si>
  <si>
    <t>A-9</t>
  </si>
  <si>
    <t>应变组数</t>
  </si>
  <si>
    <t>理论应变截图区</t>
  </si>
  <si>
    <t>组名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</si>
  <si>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</si>
  <si>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</si>
  <si>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</si>
  <si>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</si>
  <si>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</si>
  <si>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</si>
  <si>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</si>
  <si>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</si>
  <si>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</si>
  <si>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</si>
  <si>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</si>
  <si>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</si>
  <si>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</si>
  <si>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</si>
  <si>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</si>
  <si>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</si>
  <si>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</si>
  <si>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</si>
  <si>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</si>
  <si>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</si>
  <si>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</si>
  <si>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</si>
  <si>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</si>
  <si>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</si>
  <si>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</si>
  <si>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</si>
  <si>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</si>
  <si>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A-10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</si>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</sst>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rgb="FFFF00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25" fillId="19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6" borderId="17" applyNumberFormat="0" applyFon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18" fillId="0" borderId="16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31" fillId="22" borderId="22" applyNumberFormat="0" applyAlignment="0" applyProtection="0">
      <alignment vertical="center"/>
    </xf>
    <xf numFmtId="0" fontId="26" fillId="22" borderId="19" applyNumberFormat="0" applyAlignment="0" applyProtection="0">
      <alignment vertical="center"/>
    </xf>
    <xf numFmtId="0" fontId="22" fillId="13" borderId="18" applyNumberFormat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7" fillId="0" borderId="20" applyNumberFormat="0" applyFill="0" applyAlignment="0" applyProtection="0">
      <alignment vertical="center"/>
    </xf>
    <xf numFmtId="0" fontId="33" fillId="0" borderId="23" applyNumberFormat="0" applyFill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</cellStyleXfs>
  <cellXfs count="15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7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7" fillId="5" borderId="0" xfId="0" applyNumberFormat="1" applyFont="1" applyFill="1"/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  <xf numFmtId="0" fontId="8" fillId="0" borderId="0" xfId="0" applyFont="1" applyAlignment="1">
      <alignment horizontal="justify" indent="2"/>
    </xf>
    <xf numFmtId="49" fontId="0" fillId="0" borderId="0" xfId="0" applyNumberFormat="1"/>
    <xf numFmtId="0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  <c:pt idx="3">
                  <c:v>0.219999999999999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0549"/>
        <c:axId val="176905820"/>
      </c:lineChart>
      <c:catAx>
        <c:axId val="1217054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6905820"/>
        <c:crosses val="autoZero"/>
        <c:auto val="1"/>
        <c:lblAlgn val="ctr"/>
        <c:lblOffset val="100"/>
        <c:noMultiLvlLbl val="0"/>
      </c:catAx>
      <c:valAx>
        <c:axId val="1769058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17054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_ ">
                  <c:v>A-4</c:v>
                </c:pt>
                <c:pt idx="1" c:formatCode="0.00_ ">
                  <c:v>A-5</c:v>
                </c:pt>
                <c:pt idx="2" c:formatCode="0.00_ ">
                  <c:v>A-6</c:v>
                </c:pt>
                <c:pt idx="3" c:formatCode="0.00_ ">
                  <c:v>A-7</c:v>
                </c:pt>
                <c:pt idx="4" c:formatCode="0.00_ ">
                  <c:v>A-8</c:v>
                </c:pt>
                <c:pt idx="5" c:formatCode="0.00_ ">
                  <c:v>A-9</c:v>
                </c:pt>
              </c:strCache>
            </c:strRef>
          </c:cat>
          <c:val>
            <c:numRef>
              <c:f>挠度!$F$17:$F$22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_ ">
                  <c:v>A-4</c:v>
                </c:pt>
                <c:pt idx="1" c:formatCode="0.00_ ">
                  <c:v>A-5</c:v>
                </c:pt>
                <c:pt idx="2" c:formatCode="0.00_ ">
                  <c:v>A-6</c:v>
                </c:pt>
                <c:pt idx="3" c:formatCode="0.00_ ">
                  <c:v>A-7</c:v>
                </c:pt>
                <c:pt idx="4" c:formatCode="0.00_ ">
                  <c:v>A-8</c:v>
                </c:pt>
                <c:pt idx="5" c:formatCode="0.00_ ">
                  <c:v>A-9</c:v>
                </c:pt>
              </c:strCache>
            </c:strRef>
          </c:cat>
          <c:val>
            <c:numRef>
              <c:f>挠度!$Q$17:$Q$22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891559"/>
        <c:axId val="771251373"/>
      </c:lineChart>
      <c:catAx>
        <c:axId val="743891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251373"/>
        <c:crosses val="autoZero"/>
        <c:auto val="1"/>
        <c:lblAlgn val="ctr"/>
        <c:lblOffset val="100"/>
        <c:noMultiLvlLbl val="0"/>
      </c:catAx>
      <c:valAx>
        <c:axId val="77125137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891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43</c:v>
                </c:pt>
                <c:pt idx="1">
                  <c:v>41</c:v>
                </c:pt>
                <c:pt idx="2">
                  <c:v>32</c:v>
                </c:pt>
                <c:pt idx="3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49551"/>
        <c:axId val="621923857"/>
      </c:lineChart>
      <c:catAx>
        <c:axId val="5178495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21923857"/>
        <c:crosses val="autoZero"/>
        <c:auto val="1"/>
        <c:lblAlgn val="ctr"/>
        <c:lblOffset val="100"/>
        <c:noMultiLvlLbl val="0"/>
      </c:catAx>
      <c:valAx>
        <c:axId val="62192385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7849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67</c:v>
                </c:pt>
                <c:pt idx="1">
                  <c:v>81</c:v>
                </c:pt>
                <c:pt idx="2">
                  <c:v>87</c:v>
                </c:pt>
                <c:pt idx="3">
                  <c:v>90</c:v>
                </c:pt>
                <c:pt idx="4">
                  <c:v>87</c:v>
                </c:pt>
                <c:pt idx="5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32</c:v>
                </c:pt>
                <c:pt idx="1">
                  <c:v>29</c:v>
                </c:pt>
                <c:pt idx="2">
                  <c:v>35</c:v>
                </c:pt>
                <c:pt idx="3">
                  <c:v>45</c:v>
                </c:pt>
                <c:pt idx="4">
                  <c:v>41</c:v>
                </c:pt>
                <c:pt idx="5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873537"/>
        <c:axId val="927479909"/>
      </c:lineChart>
      <c:catAx>
        <c:axId val="81187353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7479909"/>
        <c:crosses val="autoZero"/>
        <c:auto val="1"/>
        <c:lblAlgn val="ctr"/>
        <c:lblOffset val="100"/>
        <c:noMultiLvlLbl val="0"/>
      </c:catAx>
      <c:valAx>
        <c:axId val="92747990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187353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checked="Checked" val="0"/>
</file>

<file path=xl/ctrlProps/ctrlProp31.xml><?xml version="1.0" encoding="utf-8"?>
<formControlPr xmlns="http://schemas.microsoft.com/office/spreadsheetml/2009/9/main" objectType="CheckBox" checked="Checked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checked="Checked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CheckBox" val="0"/>
</file>

<file path=xl/ctrlProps/ctrlProp40.xml><?xml version="1.0" encoding="utf-8"?>
<formControlPr xmlns="http://schemas.microsoft.com/office/spreadsheetml/2009/9/main" objectType="CheckBox" val="0"/>
</file>

<file path=xl/ctrlProps/ctrlProp41.xml><?xml version="1.0" encoding="utf-8"?>
<formControlPr xmlns="http://schemas.microsoft.com/office/spreadsheetml/2009/9/main" objectType="CheckBox" val="0"/>
</file>

<file path=xl/ctrlProps/ctrlProp42.xml><?xml version="1.0" encoding="utf-8"?>
<formControlPr xmlns="http://schemas.microsoft.com/office/spreadsheetml/2009/9/main" objectType="CheckBox" val="0"/>
</file>

<file path=xl/ctrlProps/ctrlProp43.xml><?xml version="1.0" encoding="utf-8"?>
<formControlPr xmlns="http://schemas.microsoft.com/office/spreadsheetml/2009/9/main" objectType="CheckBox" val="0"/>
</file>

<file path=xl/ctrlProps/ctrlProp44.xml><?xml version="1.0" encoding="utf-8"?>
<formControlPr xmlns="http://schemas.microsoft.com/office/spreadsheetml/2009/9/main" objectType="CheckBox" val="0"/>
</file>

<file path=xl/ctrlProps/ctrlProp45.xml><?xml version="1.0" encoding="utf-8"?>
<formControlPr xmlns="http://schemas.microsoft.com/office/spreadsheetml/2009/9/main" objectType="CheckBox" val="0"/>
</file>

<file path=xl/ctrlProps/ctrlProp46.xml><?xml version="1.0" encoding="utf-8"?>
<formControlPr xmlns="http://schemas.microsoft.com/office/spreadsheetml/2009/9/main" objectType="CheckBox" val="0"/>
</file>

<file path=xl/ctrlProps/ctrlProp47.xml><?xml version="1.0" encoding="utf-8"?>
<formControlPr xmlns="http://schemas.microsoft.com/office/spreadsheetml/2009/9/main" objectType="CheckBox" val="0"/>
</file>

<file path=xl/ctrlProps/ctrlProp48.xml><?xml version="1.0" encoding="utf-8"?>
<formControlPr xmlns="http://schemas.microsoft.com/office/spreadsheetml/2009/9/main" objectType="CheckBox" val="0"/>
</file>

<file path=xl/ctrlProps/ctrlProp49.xml><?xml version="1.0" encoding="utf-8"?>
<formControlPr xmlns="http://schemas.microsoft.com/office/spreadsheetml/2009/9/main" objectType="CheckBox" val="0"/>
</file>

<file path=xl/ctrlProps/ctrlProp50.xml><?xml version="1.0" encoding="utf-8"?>
<formControlPr xmlns="http://schemas.microsoft.com/office/spreadsheetml/2009/9/main" objectType="CheckBox" checked="Checked" val="0"/>
</file>

<file path=xl/ctrlProps/ctrlProp51.xml><?xml version="1.0" encoding="utf-8"?>
<formControlPr xmlns="http://schemas.microsoft.com/office/spreadsheetml/2009/9/main" objectType="CheckBox" checked="Checked" val="0"/>
</file>

<file path=xl/ctrlProps/ctrlProp52.xml><?xml version="1.0" encoding="utf-8"?>
<formControlPr xmlns="http://schemas.microsoft.com/office/spreadsheetml/2009/9/main" objectType="CheckBox" checked="Checked" val="0"/>
</file>

<file path=xl/ctrlProps/ctrlProp53.xml><?xml version="1.0" encoding="utf-8"?>
<formControlPr xmlns="http://schemas.microsoft.com/office/spreadsheetml/2009/9/main" objectType="CheckBox" checked="Checked" val="0"/>
</file>

<file path=xl/ctrlProps/ctrlProp54.xml><?xml version="1.0" encoding="utf-8"?>
<formControlPr xmlns="http://schemas.microsoft.com/office/spreadsheetml/2009/9/main" objectType="CheckBox" checked="Checked" val="0"/>
</file>

<file path=xl/ctrlProps/ctrlProp55.xml><?xml version="1.0" encoding="utf-8"?>
<formControlPr xmlns="http://schemas.microsoft.com/office/spreadsheetml/2009/9/main" objectType="CheckBox" checked="Checked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CheckBox" checked="Checked" val="0"/>
</file>

<file path=xl/ctrlProps/ctrlProp58.xml><?xml version="1.0" encoding="utf-8"?>
<formControlPr xmlns="http://schemas.microsoft.com/office/spreadsheetml/2009/9/main" objectType="CheckBox" checked="Checked" val="0"/>
</file>

<file path=xl/ctrlProps/ctrlProp59.xml><?xml version="1.0" encoding="utf-8"?>
<formControlPr xmlns="http://schemas.microsoft.com/office/spreadsheetml/2009/9/main" objectType="CheckBox" checked="Checked" val="0"/>
</file>

<file path=xl/ctrlProps/ctrlProp60.xml><?xml version="1.0" encoding="utf-8"?>
<formControlPr xmlns="http://schemas.microsoft.com/office/spreadsheetml/2009/9/main" objectType="CheckBox" checked="Checked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CheckBox" checked="Checked" val="0"/>
</file>

<file path=xl/ctrlProps/ctrlProp63.xml><?xml version="1.0" encoding="utf-8"?>
<formControlPr xmlns="http://schemas.microsoft.com/office/spreadsheetml/2009/9/main" objectType="CheckBox" checked="Checked" val="0"/>
</file>

<file path=xl/ctrlProps/ctrlProp64.xml><?xml version="1.0" encoding="utf-8"?>
<formControlPr xmlns="http://schemas.microsoft.com/office/spreadsheetml/2009/9/main" objectType="CheckBox" val="0"/>
</file>

<file path=xl/ctrlProps/ctrlProp65.xml><?xml version="1.0" encoding="utf-8"?>
<formControlPr xmlns="http://schemas.microsoft.com/office/spreadsheetml/2009/9/main" objectType="CheckBox" val="0"/>
</file>

<file path=xl/ctrlProps/ctrlProp66.xml><?xml version="1.0" encoding="utf-8"?>
<formControlPr xmlns="http://schemas.microsoft.com/office/spreadsheetml/2009/9/main" objectType="CheckBox" val="0"/>
</file>

<file path=xl/ctrlProps/ctrlProp67.xml><?xml version="1.0" encoding="utf-8"?>
<formControlPr xmlns="http://schemas.microsoft.com/office/spreadsheetml/2009/9/main" objectType="CheckBox" val="0"/>
</file>

<file path=xl/ctrlProps/ctrlProp68.xml><?xml version="1.0" encoding="utf-8"?>
<formControlPr xmlns="http://schemas.microsoft.com/office/spreadsheetml/2009/9/main" objectType="CheckBox" val="0"/>
</file>

<file path=xl/ctrlProps/ctrlProp69.xml><?xml version="1.0" encoding="utf-8"?>
<formControlPr xmlns="http://schemas.microsoft.com/office/spreadsheetml/2009/9/main" objectType="CheckBox" val="0"/>
</file>

<file path=xl/ctrlProps/ctrlProp70.xml><?xml version="1.0" encoding="utf-8"?>
<formControlPr xmlns="http://schemas.microsoft.com/office/spreadsheetml/2009/9/main" objectType="CheckBox" val="0"/>
</file>

<file path=xl/ctrlProps/ctrlProp71.xml><?xml version="1.0" encoding="utf-8"?>
<formControlPr xmlns="http://schemas.microsoft.com/office/spreadsheetml/2009/9/main" objectType="CheckBox" val="0"/>
</file>

<file path=xl/ctrlProps/ctrlProp72.xml><?xml version="1.0" encoding="utf-8"?>
<formControlPr xmlns="http://schemas.microsoft.com/office/spreadsheetml/2009/9/main" objectType="CheckBox" val="0"/>
</file>

<file path=xl/ctrlProps/ctrlProp73.xml><?xml version="1.0" encoding="utf-8"?>
<formControlPr xmlns="http://schemas.microsoft.com/office/spreadsheetml/2009/9/main" objectType="CheckBox" val="0"/>
</file>

<file path=xl/ctrlProps/ctrlProp74.xml><?xml version="1.0" encoding="utf-8"?>
<formControlPr xmlns="http://schemas.microsoft.com/office/spreadsheetml/2009/9/main" objectType="CheckBox" val="0"/>
</file>

<file path=xl/ctrlProps/ctrlProp75.xml><?xml version="1.0" encoding="utf-8"?>
<formControlPr xmlns="http://schemas.microsoft.com/office/spreadsheetml/2009/9/main" objectType="CheckBox" val="0"/>
</file>

<file path=xl/ctrlProps/ctrlProp76.xml><?xml version="1.0" encoding="utf-8"?>
<formControlPr xmlns="http://schemas.microsoft.com/office/spreadsheetml/2009/9/main" objectType="CheckBox" val="0"/>
</file>

<file path=xl/ctrlProps/ctrlProp77.xml><?xml version="1.0" encoding="utf-8"?>
<formControlPr xmlns="http://schemas.microsoft.com/office/spreadsheetml/2009/9/main" objectType="CheckBox" val="0"/>
</file>

<file path=xl/ctrlProps/ctrlProp78.xml><?xml version="1.0" encoding="utf-8"?>
<formControlPr xmlns="http://schemas.microsoft.com/office/spreadsheetml/2009/9/main" objectType="CheckBox" val="0"/>
</file>

<file path=xl/ctrlProps/ctrlProp79.xml><?xml version="1.0" encoding="utf-8"?>
<formControlPr xmlns="http://schemas.microsoft.com/office/spreadsheetml/2009/9/main" objectType="CheckBox" val="0"/>
</file>

<file path=xl/ctrlProps/ctrlProp80.xml><?xml version="1.0" encoding="utf-8"?>
<formControlPr xmlns="http://schemas.microsoft.com/office/spreadsheetml/2009/9/main" objectType="CheckBox" val="0"/>
</file>

<file path=xl/ctrlProps/ctrlProp81.xml><?xml version="1.0" encoding="utf-8"?>
<formControlPr xmlns="http://schemas.microsoft.com/office/spreadsheetml/2009/9/main" objectType="Button" val="0"/>
</file>

<file path=xl/ctrlProps/ctrlProp82.xml><?xml version="1.0" encoding="utf-8"?>
<formControlPr xmlns="http://schemas.microsoft.com/office/spreadsheetml/2009/9/main" objectType="Button" val="0"/>
</file>

<file path=xl/ctrlProps/ctrlProp83.xml><?xml version="1.0" encoding="utf-8"?>
<formControlPr xmlns="http://schemas.microsoft.com/office/spreadsheetml/2009/9/main" objectType="Button" val="0"/>
</file>

<file path=xl/ctrlProps/ctrlProp84.xml><?xml version="1.0" encoding="utf-8"?>
<formControlPr xmlns="http://schemas.microsoft.com/office/spreadsheetml/2009/9/main" objectType="Button" val="0"/>
</file>

<file path=xl/ctrlProps/ctrlProp85.xml><?xml version="1.0" encoding="utf-8"?>
<formControlPr xmlns="http://schemas.microsoft.com/office/spreadsheetml/2009/9/main" objectType="Button" val="0"/>
</file>

<file path=xl/ctrlProps/ctrlProp86.xml><?xml version="1.0" encoding="utf-8"?>
<formControlPr xmlns="http://schemas.microsoft.com/office/spreadsheetml/2009/9/main" objectType="GBox" noThreeD="1" val="0"/>
</file>

<file path=xl/ctrlProps/ctrlProp87.xml><?xml version="1.0" encoding="utf-8"?>
<formControlPr xmlns="http://schemas.microsoft.com/office/spreadsheetml/2009/9/main" objectType="Button" val="0"/>
</file>

<file path=xl/ctrlProps/ctrlProp88.xml><?xml version="1.0" encoding="utf-8"?>
<formControlPr xmlns="http://schemas.microsoft.com/office/spreadsheetml/2009/9/main" objectType="Button" val="0"/>
</file>

<file path=xl/ctrlProps/ctrlProp89.xml><?xml version="1.0" encoding="utf-8"?>
<formControlPr xmlns="http://schemas.microsoft.com/office/spreadsheetml/2009/9/main" objectType="Button" val="0"/>
</file>

<file path=xl/ctrlProps/ctrlProp90.xml><?xml version="1.0" encoding="utf-8"?>
<formControlPr xmlns="http://schemas.microsoft.com/office/spreadsheetml/2009/9/main" objectType="Button" val="0"/>
</file>

<file path=xl/ctrlProps/ctrlProp91.xml><?xml version="1.0" encoding="utf-8"?>
<formControlPr xmlns="http://schemas.microsoft.com/office/spreadsheetml/2009/9/main" objectType="Button" val="0"/>
</file>

<file path=xl/ctrlProps/ctrlProp92.xml><?xml version="1.0" encoding="utf-8"?>
<formControlPr xmlns="http://schemas.microsoft.com/office/spreadsheetml/2009/9/main" objectType="GBox" noThreeD="1" val="0"/>
</file>

<file path=xl/ctrlProps/ctrlProp93.xml><?xml version="1.0" encoding="utf-8"?>
<formControlPr xmlns="http://schemas.microsoft.com/office/spreadsheetml/2009/9/main" objectType="Button" val="0"/>
</file>

<file path=xl/ctrlProps/ctrlProp94.xml><?xml version="1.0" encoding="utf-8"?>
<formControlPr xmlns="http://schemas.microsoft.com/office/spreadsheetml/2009/9/main" objectType="Button" val="0"/>
</file>

<file path=xl/ctrlProps/ctrlProp95.xml><?xml version="1.0" encoding="utf-8"?>
<formControlPr xmlns="http://schemas.microsoft.com/office/spreadsheetml/2009/9/main" objectType="Button" val="0"/>
</file>

<file path=xl/ctrlProps/ctrlProp96.xml><?xml version="1.0" encoding="utf-8"?>
<formControlPr xmlns="http://schemas.microsoft.com/office/spreadsheetml/2009/9/main" objectType="Button" val="0"/>
</file>

<file path=xl/ctrlProps/ctrlProp97.xml><?xml version="1.0" encoding="utf-8"?>
<formControlPr xmlns="http://schemas.microsoft.com/office/spreadsheetml/2009/9/main" objectType="Button" val="0"/>
</file>

<file path=xl/ctrlProps/ctrlProp98.xml><?xml version="1.0" encoding="utf-8"?>
<formControlPr xmlns="http://schemas.microsoft.com/office/spreadsheetml/2009/9/main" objectType="Button" val="0"/>
</file>

<file path=xl/ctrlProps/ctrlProp99.xml><?xml version="1.0" encoding="utf-8"?>
<formControlPr xmlns="http://schemas.microsoft.com/office/spreadsheetml/2009/9/main" objectType="CheckBox" checked="Checked" val="0"/>
</file>

<file path=xl/ctrlProps/ctrlProp100.xml><?xml version="1.0" encoding="utf-8"?>
<formControlPr xmlns="http://schemas.microsoft.com/office/spreadsheetml/2009/9/main" objectType="GBox" val="0"/>
</file>

<file path=xl/ctrlProps/ctrlProp101.xml><?xml version="1.0" encoding="utf-8"?>
<formControlPr xmlns="http://schemas.microsoft.com/office/spreadsheetml/2009/9/main" objectType="GBox" val="0"/>
</file>

<file path=xl/ctrlProps/ctrlProp102.xml><?xml version="1.0" encoding="utf-8"?>
<formControlPr xmlns="http://schemas.microsoft.com/office/spreadsheetml/2009/9/main" objectType="Button" val="0"/>
</file>

<file path=xl/ctrlProps/ctrlProp103.xml><?xml version="1.0" encoding="utf-8"?>
<formControlPr xmlns="http://schemas.microsoft.com/office/spreadsheetml/2009/9/main" objectType="Button" val="0"/>
</file>

<file path=xl/ctrlProps/ctrlProp104.xml><?xml version="1.0" encoding="utf-8"?>
<formControlPr xmlns="http://schemas.microsoft.com/office/spreadsheetml/2009/9/main" objectType="CheckBox" checked="Checked" val="0"/>
</file>

<file path=xl/ctrlProps/ctrlProp105.xml><?xml version="1.0" encoding="utf-8"?>
<formControlPr xmlns="http://schemas.microsoft.com/office/spreadsheetml/2009/9/main" objectType="Button" val="0"/>
</file>

<file path=xl/ctrlProps/ctrlProp106.xml><?xml version="1.0" encoding="utf-8"?>
<formControlPr xmlns="http://schemas.microsoft.com/office/spreadsheetml/2009/9/main" objectType="Button" val="0"/>
</file>

<file path=xl/ctrlProps/ctrlProp107.xml><?xml version="1.0" encoding="utf-8"?>
<formControlPr xmlns="http://schemas.microsoft.com/office/spreadsheetml/2009/9/main" objectType="Button" val="0"/>
</file>

<file path=xl/ctrlProps/ctrlProp108.xml><?xml version="1.0" encoding="utf-8"?>
<formControlPr xmlns="http://schemas.microsoft.com/office/spreadsheetml/2009/9/main" objectType="Button" val="0"/>
</file>

<file path=xl/ctrlProps/ctrlProp109.xml><?xml version="1.0" encoding="utf-8"?>
<formControlPr xmlns="http://schemas.microsoft.com/office/spreadsheetml/2009/9/main" objectType="Button" val="0"/>
</file>

<file path=xl/ctrlProps/ctrlProp110.xml><?xml version="1.0" encoding="utf-8"?>
<formControlPr xmlns="http://schemas.microsoft.com/office/spreadsheetml/2009/9/main" objectType="Button" val="0"/>
</file>

<file path=xl/ctrlProps/ctrlProp111.xml><?xml version="1.0" encoding="utf-8"?>
<formControlPr xmlns="http://schemas.microsoft.com/office/spreadsheetml/2009/9/main" objectType="Button" val="0"/>
</file>

<file path=xl/ctrlProps/ctrlProp112.xml><?xml version="1.0" encoding="utf-8"?>
<formControlPr xmlns="http://schemas.microsoft.com/office/spreadsheetml/2009/9/main" objectType="Button" val="0"/>
</file>

<file path=xl/ctrlProps/ctrlProp113.xml><?xml version="1.0" encoding="utf-8"?>
<formControlPr xmlns="http://schemas.microsoft.com/office/spreadsheetml/2009/9/main" objectType="Button" val="0"/>
</file>

<file path=xl/ctrlProps/ctrlProp114.xml><?xml version="1.0" encoding="utf-8"?>
<formControlPr xmlns="http://schemas.microsoft.com/office/spreadsheetml/2009/9/main" objectType="Button" val="0"/>
</file>

<file path=xl/ctrlProps/ctrlProp115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v4.0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67350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33</xdr:row>
          <xdr:rowOff>114300</xdr:rowOff>
        </xdr:from>
        <xdr:to>
          <xdr:col>6</xdr:col>
          <xdr:colOff>323850</xdr:colOff>
          <xdr:row>35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400425" y="5800725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257810</xdr:colOff>
          <xdr:row>36</xdr:row>
          <xdr:rowOff>9525</xdr:rowOff>
        </xdr:from>
        <xdr:to>
          <xdr:col>6</xdr:col>
          <xdr:colOff>286385</xdr:colOff>
          <xdr:row>37</xdr:row>
          <xdr:rowOff>104775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401060" y="6210300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204692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79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649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1220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791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416550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425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99635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65405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204787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961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517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946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375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804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38</xdr:row>
          <xdr:rowOff>57150</xdr:rowOff>
        </xdr:from>
        <xdr:to>
          <xdr:col>6</xdr:col>
          <xdr:colOff>294640</xdr:colOff>
          <xdr:row>40</xdr:row>
          <xdr:rowOff>18415</xdr:rowOff>
        </xdr:to>
        <xdr:sp macro="[0]!OpenUpgradeInstrumentDbHelp">
          <xdr:nvSpPr>
            <xdr:cNvPr id="24433" name="Button 881" hidden="1">
              <a:extLst>
                <a:ext uri="{63B3BB69-23CF-44E3-9099-C40C66FF867C}">
                  <a14:compatExt spid="_x0000_s24433"/>
                </a:ext>
              </a:extLst>
            </xdr:cNvPr>
            <xdr:cNvSpPr/>
          </xdr:nvSpPr>
          <xdr:spPr>
            <a:xfrm>
              <a:off x="3409950" y="6600825"/>
              <a:ext cx="1399540" cy="30416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如何更新数据库？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25" name="Check Box 973" hidden="1">
              <a:extLst>
                <a:ext uri="{63B3BB69-23CF-44E3-9099-C40C66FF867C}">
                  <a14:compatExt spid="_x0000_s2452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26" name="Check Box 974" hidden="1">
              <a:extLst>
                <a:ext uri="{63B3BB69-23CF-44E3-9099-C40C66FF867C}">
                  <a14:compatExt spid="_x0000_s2452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27" name="Check Box 975" hidden="1">
              <a:extLst>
                <a:ext uri="{63B3BB69-23CF-44E3-9099-C40C66FF867C}">
                  <a14:compatExt spid="_x0000_s2452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28" name="Check Box 976" hidden="1">
              <a:extLst>
                <a:ext uri="{63B3BB69-23CF-44E3-9099-C40C66FF867C}">
                  <a14:compatExt spid="_x0000_s2452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29" name="Check Box 977" hidden="1">
              <a:extLst>
                <a:ext uri="{63B3BB69-23CF-44E3-9099-C40C66FF867C}">
                  <a14:compatExt spid="_x0000_s2452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30" name="Check Box 978" hidden="1">
              <a:extLst>
                <a:ext uri="{63B3BB69-23CF-44E3-9099-C40C66FF867C}">
                  <a14:compatExt spid="_x0000_s2453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31" name="Check Box 979" hidden="1">
              <a:extLst>
                <a:ext uri="{63B3BB69-23CF-44E3-9099-C40C66FF867C}">
                  <a14:compatExt spid="_x0000_s2453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32" name="Check Box 980" hidden="1">
              <a:extLst>
                <a:ext uri="{63B3BB69-23CF-44E3-9099-C40C66FF867C}">
                  <a14:compatExt spid="_x0000_s2453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3" name="Check Box 981" hidden="1">
              <a:extLst>
                <a:ext uri="{63B3BB69-23CF-44E3-9099-C40C66FF867C}">
                  <a14:compatExt spid="_x0000_s24533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4" name="Check Box 982" hidden="1">
              <a:extLst>
                <a:ext uri="{63B3BB69-23CF-44E3-9099-C40C66FF867C}">
                  <a14:compatExt spid="_x0000_s2453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5" name="Check Box 983" hidden="1">
              <a:extLst>
                <a:ext uri="{63B3BB69-23CF-44E3-9099-C40C66FF867C}">
                  <a14:compatExt spid="_x0000_s2453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36" name="Check Box 984" hidden="1">
              <a:extLst>
                <a:ext uri="{63B3BB69-23CF-44E3-9099-C40C66FF867C}">
                  <a14:compatExt spid="_x0000_s2453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37" name="Check Box 985" hidden="1">
              <a:extLst>
                <a:ext uri="{63B3BB69-23CF-44E3-9099-C40C66FF867C}">
                  <a14:compatExt spid="_x0000_s2453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38" name="Check Box 986" hidden="1">
              <a:extLst>
                <a:ext uri="{63B3BB69-23CF-44E3-9099-C40C66FF867C}">
                  <a14:compatExt spid="_x0000_s2453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39" name="Check Box 987" hidden="1">
              <a:extLst>
                <a:ext uri="{63B3BB69-23CF-44E3-9099-C40C66FF867C}">
                  <a14:compatExt spid="_x0000_s2453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40" name="Check Box 988" hidden="1">
              <a:extLst>
                <a:ext uri="{63B3BB69-23CF-44E3-9099-C40C66FF867C}">
                  <a14:compatExt spid="_x0000_s2454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41" name="Check Box 989" hidden="1">
              <a:extLst>
                <a:ext uri="{63B3BB69-23CF-44E3-9099-C40C66FF867C}">
                  <a14:compatExt spid="_x0000_s2454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42" name="Check Box 990" hidden="1">
              <a:extLst>
                <a:ext uri="{63B3BB69-23CF-44E3-9099-C40C66FF867C}">
                  <a14:compatExt spid="_x0000_s2454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43" name="Check Box 991" hidden="1">
              <a:extLst>
                <a:ext uri="{63B3BB69-23CF-44E3-9099-C40C66FF867C}">
                  <a14:compatExt spid="_x0000_s24543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0</xdr:rowOff>
        </xdr:from>
        <xdr:to>
          <xdr:col>20</xdr:col>
          <xdr:colOff>0</xdr:colOff>
          <xdr:row>11</xdr:row>
          <xdr:rowOff>0</xdr:rowOff>
        </xdr:to>
        <xdr:sp>
          <xdr:nvSpPr>
            <xdr:cNvPr id="24544" name="Check Box 992" hidden="1">
              <a:extLst>
                <a:ext uri="{63B3BB69-23CF-44E3-9099-C40C66FF867C}">
                  <a14:compatExt spid="_x0000_s24544"/>
                </a:ext>
              </a:extLst>
            </xdr:cNvPr>
            <xdr:cNvSpPr/>
          </xdr:nvSpPr>
          <xdr:spPr>
            <a:xfrm>
              <a:off x="19678650" y="17145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20</xdr:col>
          <xdr:colOff>0</xdr:colOff>
          <xdr:row>12</xdr:row>
          <xdr:rowOff>0</xdr:rowOff>
        </xdr:to>
        <xdr:sp>
          <xdr:nvSpPr>
            <xdr:cNvPr id="24545" name="Check Box 993" hidden="1">
              <a:extLst>
                <a:ext uri="{63B3BB69-23CF-44E3-9099-C40C66FF867C}">
                  <a14:compatExt spid="_x0000_s24545"/>
                </a:ext>
              </a:extLst>
            </xdr:cNvPr>
            <xdr:cNvSpPr/>
          </xdr:nvSpPr>
          <xdr:spPr>
            <a:xfrm>
              <a:off x="19678650" y="18859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>
          <xdr:nvSpPr>
            <xdr:cNvPr id="24546" name="Check Box 994" hidden="1">
              <a:extLst>
                <a:ext uri="{63B3BB69-23CF-44E3-9099-C40C66FF867C}">
                  <a14:compatExt spid="_x0000_s24546"/>
                </a:ext>
              </a:extLst>
            </xdr:cNvPr>
            <xdr:cNvSpPr/>
          </xdr:nvSpPr>
          <xdr:spPr>
            <a:xfrm>
              <a:off x="19678650" y="20574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0</xdr:rowOff>
        </xdr:from>
        <xdr:to>
          <xdr:col>20</xdr:col>
          <xdr:colOff>0</xdr:colOff>
          <xdr:row>14</xdr:row>
          <xdr:rowOff>0</xdr:rowOff>
        </xdr:to>
        <xdr:sp>
          <xdr:nvSpPr>
            <xdr:cNvPr id="24547" name="Check Box 995" hidden="1">
              <a:extLst>
                <a:ext uri="{63B3BB69-23CF-44E3-9099-C40C66FF867C}">
                  <a14:compatExt spid="_x0000_s24547"/>
                </a:ext>
              </a:extLst>
            </xdr:cNvPr>
            <xdr:cNvSpPr/>
          </xdr:nvSpPr>
          <xdr:spPr>
            <a:xfrm>
              <a:off x="19678650" y="22288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20</xdr:col>
          <xdr:colOff>0</xdr:colOff>
          <xdr:row>15</xdr:row>
          <xdr:rowOff>0</xdr:rowOff>
        </xdr:to>
        <xdr:sp>
          <xdr:nvSpPr>
            <xdr:cNvPr id="24548" name="Check Box 996" hidden="1">
              <a:extLst>
                <a:ext uri="{63B3BB69-23CF-44E3-9099-C40C66FF867C}">
                  <a14:compatExt spid="_x0000_s24548"/>
                </a:ext>
              </a:extLst>
            </xdr:cNvPr>
            <xdr:cNvSpPr/>
          </xdr:nvSpPr>
          <xdr:spPr>
            <a:xfrm>
              <a:off x="19678650" y="24003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0</xdr:rowOff>
        </xdr:from>
        <xdr:to>
          <xdr:col>20</xdr:col>
          <xdr:colOff>0</xdr:colOff>
          <xdr:row>16</xdr:row>
          <xdr:rowOff>0</xdr:rowOff>
        </xdr:to>
        <xdr:sp>
          <xdr:nvSpPr>
            <xdr:cNvPr id="24549" name="Check Box 997" hidden="1">
              <a:extLst>
                <a:ext uri="{63B3BB69-23CF-44E3-9099-C40C66FF867C}">
                  <a14:compatExt spid="_x0000_s24549"/>
                </a:ext>
              </a:extLst>
            </xdr:cNvPr>
            <xdr:cNvSpPr/>
          </xdr:nvSpPr>
          <xdr:spPr>
            <a:xfrm>
              <a:off x="19678650" y="25717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16</xdr:row>
          <xdr:rowOff>0</xdr:rowOff>
        </xdr:from>
        <xdr:to>
          <xdr:col>20</xdr:col>
          <xdr:colOff>0</xdr:colOff>
          <xdr:row>17</xdr:row>
          <xdr:rowOff>0</xdr:rowOff>
        </xdr:to>
        <xdr:sp>
          <xdr:nvSpPr>
            <xdr:cNvPr id="24550" name="Check Box 998" hidden="1">
              <a:extLst>
                <a:ext uri="{63B3BB69-23CF-44E3-9099-C40C66FF867C}">
                  <a14:compatExt spid="_x0000_s24550"/>
                </a:ext>
              </a:extLst>
            </xdr:cNvPr>
            <xdr:cNvSpPr/>
          </xdr:nvSpPr>
          <xdr:spPr>
            <a:xfrm>
              <a:off x="19678650" y="27432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51" name="Check Box 999" hidden="1">
              <a:extLst>
                <a:ext uri="{63B3BB69-23CF-44E3-9099-C40C66FF867C}">
                  <a14:compatExt spid="_x0000_s24551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52" name="Check Box 1000" hidden="1">
              <a:extLst>
                <a:ext uri="{63B3BB69-23CF-44E3-9099-C40C66FF867C}">
                  <a14:compatExt spid="_x0000_s24552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53" name="Check Box 1001" hidden="1">
              <a:extLst>
                <a:ext uri="{63B3BB69-23CF-44E3-9099-C40C66FF867C}">
                  <a14:compatExt spid="_x0000_s24553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54" name="Check Box 1002" hidden="1">
              <a:extLst>
                <a:ext uri="{63B3BB69-23CF-44E3-9099-C40C66FF867C}">
                  <a14:compatExt spid="_x0000_s24554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55" name="Check Box 1003" hidden="1">
              <a:extLst>
                <a:ext uri="{63B3BB69-23CF-44E3-9099-C40C66FF867C}">
                  <a14:compatExt spid="_x0000_s24555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56" name="Check Box 1004" hidden="1">
              <a:extLst>
                <a:ext uri="{63B3BB69-23CF-44E3-9099-C40C66FF867C}">
                  <a14:compatExt spid="_x0000_s24556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57" name="Check Box 1005" hidden="1">
              <a:extLst>
                <a:ext uri="{63B3BB69-23CF-44E3-9099-C40C66FF867C}">
                  <a14:compatExt spid="_x0000_s24557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58" name="Check Box 1006" hidden="1">
              <a:extLst>
                <a:ext uri="{63B3BB69-23CF-44E3-9099-C40C66FF867C}">
                  <a14:compatExt spid="_x0000_s24558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59" name="Check Box 1007" hidden="1">
              <a:extLst>
                <a:ext uri="{63B3BB69-23CF-44E3-9099-C40C66FF867C}">
                  <a14:compatExt spid="_x0000_s24559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0" name="Check Box 1008" hidden="1">
              <a:extLst>
                <a:ext uri="{63B3BB69-23CF-44E3-9099-C40C66FF867C}">
                  <a14:compatExt spid="_x0000_s24560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1" name="Check Box 1009" hidden="1">
              <a:extLst>
                <a:ext uri="{63B3BB69-23CF-44E3-9099-C40C66FF867C}">
                  <a14:compatExt spid="_x0000_s24561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2" name="Check Box 1010" hidden="1">
              <a:extLst>
                <a:ext uri="{63B3BB69-23CF-44E3-9099-C40C66FF867C}">
                  <a14:compatExt spid="_x0000_s24562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63" name="Check Box 1011" hidden="1">
              <a:extLst>
                <a:ext uri="{63B3BB69-23CF-44E3-9099-C40C66FF867C}">
                  <a14:compatExt spid="_x0000_s24563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4" name="Check Box 1012" hidden="1">
              <a:extLst>
                <a:ext uri="{63B3BB69-23CF-44E3-9099-C40C66FF867C}">
                  <a14:compatExt spid="_x0000_s2456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5" name="Check Box 1013" hidden="1">
              <a:extLst>
                <a:ext uri="{63B3BB69-23CF-44E3-9099-C40C66FF867C}">
                  <a14:compatExt spid="_x0000_s24565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6" name="Check Box 1014" hidden="1">
              <a:extLst>
                <a:ext uri="{63B3BB69-23CF-44E3-9099-C40C66FF867C}">
                  <a14:compatExt spid="_x0000_s24566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73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3412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4" name="图表 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5" name="图表 4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" name="图表 1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5" name="图表 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”，“桥梁静动载试验报告模板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”，“桥梁静动载试验计算书模板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>
              <a:effectLst/>
              <a:sym typeface="+mn-ea"/>
            </a:rPr>
            <a:t>6</a:t>
          </a:r>
          <a:r>
            <a:rPr lang="zh-CN" altLang="en-US">
              <a:effectLst/>
              <a:sym typeface="+mn-ea"/>
            </a:rPr>
            <a:t>、若对自动生成的排版不满意，可将需要部分拷贝到自己的模板中</a:t>
          </a:r>
          <a:r>
            <a:rPr lang="zh-CN" altLang="zh-CN">
              <a:effectLst/>
              <a:sym typeface="+mn-ea"/>
            </a:rPr>
            <a:t>。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4" Type="http://schemas.openxmlformats.org/officeDocument/2006/relationships/ctrlProp" Target="../ctrlProps/ctrlProp80.xml"/><Relationship Id="rId73" Type="http://schemas.openxmlformats.org/officeDocument/2006/relationships/ctrlProp" Target="../ctrlProps/ctrlProp79.xml"/><Relationship Id="rId72" Type="http://schemas.openxmlformats.org/officeDocument/2006/relationships/ctrlProp" Target="../ctrlProps/ctrlProp78.xml"/><Relationship Id="rId71" Type="http://schemas.openxmlformats.org/officeDocument/2006/relationships/ctrlProp" Target="../ctrlProps/ctrlProp77.xml"/><Relationship Id="rId70" Type="http://schemas.openxmlformats.org/officeDocument/2006/relationships/ctrlProp" Target="../ctrlProps/ctrlProp76.xml"/><Relationship Id="rId7" Type="http://schemas.openxmlformats.org/officeDocument/2006/relationships/ctrlProp" Target="../ctrlProps/ctrlProp13.xml"/><Relationship Id="rId69" Type="http://schemas.openxmlformats.org/officeDocument/2006/relationships/ctrlProp" Target="../ctrlProps/ctrlProp75.xml"/><Relationship Id="rId68" Type="http://schemas.openxmlformats.org/officeDocument/2006/relationships/ctrlProp" Target="../ctrlProps/ctrlProp74.xml"/><Relationship Id="rId67" Type="http://schemas.openxmlformats.org/officeDocument/2006/relationships/ctrlProp" Target="../ctrlProps/ctrlProp73.xml"/><Relationship Id="rId66" Type="http://schemas.openxmlformats.org/officeDocument/2006/relationships/ctrlProp" Target="../ctrlProps/ctrlProp72.xml"/><Relationship Id="rId65" Type="http://schemas.openxmlformats.org/officeDocument/2006/relationships/ctrlProp" Target="../ctrlProps/ctrlProp71.xml"/><Relationship Id="rId64" Type="http://schemas.openxmlformats.org/officeDocument/2006/relationships/ctrlProp" Target="../ctrlProps/ctrlProp70.xml"/><Relationship Id="rId63" Type="http://schemas.openxmlformats.org/officeDocument/2006/relationships/ctrlProp" Target="../ctrlProps/ctrlProp69.xml"/><Relationship Id="rId62" Type="http://schemas.openxmlformats.org/officeDocument/2006/relationships/ctrlProp" Target="../ctrlProps/ctrlProp68.xml"/><Relationship Id="rId61" Type="http://schemas.openxmlformats.org/officeDocument/2006/relationships/ctrlProp" Target="../ctrlProps/ctrlProp67.xml"/><Relationship Id="rId60" Type="http://schemas.openxmlformats.org/officeDocument/2006/relationships/ctrlProp" Target="../ctrlProps/ctrlProp66.xml"/><Relationship Id="rId6" Type="http://schemas.openxmlformats.org/officeDocument/2006/relationships/ctrlProp" Target="../ctrlProps/ctrlProp12.xml"/><Relationship Id="rId59" Type="http://schemas.openxmlformats.org/officeDocument/2006/relationships/ctrlProp" Target="../ctrlProps/ctrlProp65.xml"/><Relationship Id="rId58" Type="http://schemas.openxmlformats.org/officeDocument/2006/relationships/ctrlProp" Target="../ctrlProps/ctrlProp64.xml"/><Relationship Id="rId57" Type="http://schemas.openxmlformats.org/officeDocument/2006/relationships/ctrlProp" Target="../ctrlProps/ctrlProp63.xml"/><Relationship Id="rId56" Type="http://schemas.openxmlformats.org/officeDocument/2006/relationships/ctrlProp" Target="../ctrlProps/ctrlProp62.xml"/><Relationship Id="rId55" Type="http://schemas.openxmlformats.org/officeDocument/2006/relationships/ctrlProp" Target="../ctrlProps/ctrlProp61.xml"/><Relationship Id="rId54" Type="http://schemas.openxmlformats.org/officeDocument/2006/relationships/ctrlProp" Target="../ctrlProps/ctrlProp60.xml"/><Relationship Id="rId53" Type="http://schemas.openxmlformats.org/officeDocument/2006/relationships/ctrlProp" Target="../ctrlProps/ctrlProp59.xml"/><Relationship Id="rId52" Type="http://schemas.openxmlformats.org/officeDocument/2006/relationships/ctrlProp" Target="../ctrlProps/ctrlProp58.xml"/><Relationship Id="rId51" Type="http://schemas.openxmlformats.org/officeDocument/2006/relationships/ctrlProp" Target="../ctrlProps/ctrlProp57.xml"/><Relationship Id="rId50" Type="http://schemas.openxmlformats.org/officeDocument/2006/relationships/ctrlProp" Target="../ctrlProps/ctrlProp56.xml"/><Relationship Id="rId5" Type="http://schemas.openxmlformats.org/officeDocument/2006/relationships/ctrlProp" Target="../ctrlProps/ctrlProp11.xml"/><Relationship Id="rId49" Type="http://schemas.openxmlformats.org/officeDocument/2006/relationships/ctrlProp" Target="../ctrlProps/ctrlProp55.xml"/><Relationship Id="rId48" Type="http://schemas.openxmlformats.org/officeDocument/2006/relationships/ctrlProp" Target="../ctrlProps/ctrlProp54.xml"/><Relationship Id="rId47" Type="http://schemas.openxmlformats.org/officeDocument/2006/relationships/ctrlProp" Target="../ctrlProps/ctrlProp53.xml"/><Relationship Id="rId46" Type="http://schemas.openxmlformats.org/officeDocument/2006/relationships/ctrlProp" Target="../ctrlProps/ctrlProp52.xml"/><Relationship Id="rId45" Type="http://schemas.openxmlformats.org/officeDocument/2006/relationships/ctrlProp" Target="../ctrlProps/ctrlProp51.xml"/><Relationship Id="rId44" Type="http://schemas.openxmlformats.org/officeDocument/2006/relationships/ctrlProp" Target="../ctrlProps/ctrlProp50.xml"/><Relationship Id="rId43" Type="http://schemas.openxmlformats.org/officeDocument/2006/relationships/ctrlProp" Target="../ctrlProps/ctrlProp49.xml"/><Relationship Id="rId42" Type="http://schemas.openxmlformats.org/officeDocument/2006/relationships/ctrlProp" Target="../ctrlProps/ctrlProp48.xml"/><Relationship Id="rId41" Type="http://schemas.openxmlformats.org/officeDocument/2006/relationships/ctrlProp" Target="../ctrlProps/ctrlProp47.xml"/><Relationship Id="rId40" Type="http://schemas.openxmlformats.org/officeDocument/2006/relationships/ctrlProp" Target="../ctrlProps/ctrlProp46.xml"/><Relationship Id="rId4" Type="http://schemas.openxmlformats.org/officeDocument/2006/relationships/ctrlProp" Target="../ctrlProps/ctrlProp10.xml"/><Relationship Id="rId39" Type="http://schemas.openxmlformats.org/officeDocument/2006/relationships/ctrlProp" Target="../ctrlProps/ctrlProp45.xml"/><Relationship Id="rId38" Type="http://schemas.openxmlformats.org/officeDocument/2006/relationships/ctrlProp" Target="../ctrlProps/ctrlProp44.xml"/><Relationship Id="rId37" Type="http://schemas.openxmlformats.org/officeDocument/2006/relationships/ctrlProp" Target="../ctrlProps/ctrlProp43.xml"/><Relationship Id="rId36" Type="http://schemas.openxmlformats.org/officeDocument/2006/relationships/ctrlProp" Target="../ctrlProps/ctrlProp42.xml"/><Relationship Id="rId35" Type="http://schemas.openxmlformats.org/officeDocument/2006/relationships/ctrlProp" Target="../ctrlProps/ctrlProp41.xml"/><Relationship Id="rId34" Type="http://schemas.openxmlformats.org/officeDocument/2006/relationships/ctrlProp" Target="../ctrlProps/ctrlProp40.xml"/><Relationship Id="rId33" Type="http://schemas.openxmlformats.org/officeDocument/2006/relationships/ctrlProp" Target="../ctrlProps/ctrlProp39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7" Type="http://schemas.openxmlformats.org/officeDocument/2006/relationships/ctrlProp" Target="../ctrlProps/ctrlProp85.xml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92.xml"/><Relationship Id="rId8" Type="http://schemas.openxmlformats.org/officeDocument/2006/relationships/ctrlProp" Target="../ctrlProps/ctrlProp91.xml"/><Relationship Id="rId7" Type="http://schemas.openxmlformats.org/officeDocument/2006/relationships/ctrlProp" Target="../ctrlProps/ctrlProp90.xml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02.xml"/><Relationship Id="rId8" Type="http://schemas.openxmlformats.org/officeDocument/2006/relationships/ctrlProp" Target="../ctrlProps/ctrlProp101.xml"/><Relationship Id="rId7" Type="http://schemas.openxmlformats.org/officeDocument/2006/relationships/ctrlProp" Target="../ctrlProps/ctrlProp100.xml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Relationship Id="rId3" Type="http://schemas.openxmlformats.org/officeDocument/2006/relationships/ctrlProp" Target="../ctrlProps/ctrlProp96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104.xml"/><Relationship Id="rId10" Type="http://schemas.openxmlformats.org/officeDocument/2006/relationships/ctrlProp" Target="../ctrlProps/ctrlProp10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11.xml"/><Relationship Id="rId8" Type="http://schemas.openxmlformats.org/officeDocument/2006/relationships/ctrlProp" Target="../ctrlProps/ctrlProp110.xml"/><Relationship Id="rId7" Type="http://schemas.openxmlformats.org/officeDocument/2006/relationships/ctrlProp" Target="../ctrlProps/ctrlProp109.xml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Relationship Id="rId3" Type="http://schemas.openxmlformats.org/officeDocument/2006/relationships/ctrlProp" Target="../ctrlProps/ctrlProp10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3.xml"/><Relationship Id="rId3" Type="http://schemas.openxmlformats.org/officeDocument/2006/relationships/ctrlProp" Target="../ctrlProps/ctrlProp1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5.xml"/><Relationship Id="rId3" Type="http://schemas.openxmlformats.org/officeDocument/2006/relationships/ctrlProp" Target="../ctrlProps/ctrlProp1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opLeftCell="B1" workbookViewId="0">
      <selection activeCell="J21" sqref="J2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C175"/>
  <sheetViews>
    <sheetView workbookViewId="0">
      <selection activeCell="W2" sqref="W2:AC16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31.875" customWidth="1"/>
    <col min="14" max="14" width="29.625" customWidth="1"/>
    <col min="15" max="15" width="17.875" customWidth="1"/>
    <col min="16" max="16" width="10.375"/>
    <col min="17" max="17" width="17.875" customWidth="1"/>
    <col min="18" max="18" width="12.125" customWidth="1"/>
    <col min="19" max="19" width="11.5"/>
    <col min="23" max="23" width="15" customWidth="1"/>
    <col min="24" max="24" width="31.875" customWidth="1"/>
    <col min="25" max="26" width="14.875" customWidth="1"/>
    <col min="27" max="27" width="12.125" customWidth="1"/>
    <col min="28" max="28" width="17.875" customWidth="1"/>
  </cols>
  <sheetData>
    <row r="1" spans="1:29">
      <c r="A1" t="s">
        <v>0</v>
      </c>
      <c r="B1" s="149">
        <v>43466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4" t="s">
        <v>12</v>
      </c>
      <c r="T1" s="153" t="s">
        <v>13</v>
      </c>
      <c r="U1" s="153" t="s">
        <v>14</v>
      </c>
      <c r="W1" s="153" t="s">
        <v>5</v>
      </c>
      <c r="X1" s="154" t="s">
        <v>15</v>
      </c>
      <c r="Y1" s="153" t="s">
        <v>16</v>
      </c>
      <c r="Z1" s="153" t="s">
        <v>17</v>
      </c>
      <c r="AA1" s="154" t="s">
        <v>11</v>
      </c>
      <c r="AB1" s="154" t="s">
        <v>10</v>
      </c>
      <c r="AC1" s="154" t="s">
        <v>12</v>
      </c>
    </row>
    <row r="2" spans="1:29">
      <c r="A2" t="s">
        <v>18</v>
      </c>
      <c r="B2" t="s">
        <v>19</v>
      </c>
      <c r="G2">
        <v>1</v>
      </c>
      <c r="H2" t="s">
        <v>20</v>
      </c>
      <c r="J2" t="s">
        <v>20</v>
      </c>
      <c r="L2">
        <v>1</v>
      </c>
      <c r="M2" t="s">
        <v>21</v>
      </c>
      <c r="N2" s="149" t="s">
        <v>21</v>
      </c>
      <c r="O2" s="149" t="s">
        <v>22</v>
      </c>
      <c r="P2" s="149" t="s">
        <v>23</v>
      </c>
      <c r="R2" s="149">
        <v>43845</v>
      </c>
      <c r="S2" s="157" t="s">
        <v>24</v>
      </c>
      <c r="W2">
        <v>1</v>
      </c>
      <c r="X2" t="s">
        <v>25</v>
      </c>
      <c r="Y2" t="s">
        <v>26</v>
      </c>
      <c r="Z2" t="s">
        <v>27</v>
      </c>
      <c r="AA2" s="149">
        <v>43795</v>
      </c>
      <c r="AC2" t="s">
        <v>28</v>
      </c>
    </row>
    <row r="3" spans="12:29">
      <c r="L3">
        <v>2</v>
      </c>
      <c r="M3" t="s">
        <v>21</v>
      </c>
      <c r="N3" s="149" t="s">
        <v>21</v>
      </c>
      <c r="O3" s="149" t="s">
        <v>29</v>
      </c>
      <c r="P3" s="149" t="s">
        <v>23</v>
      </c>
      <c r="R3" s="149">
        <v>43845</v>
      </c>
      <c r="S3" s="157" t="s">
        <v>30</v>
      </c>
      <c r="W3">
        <v>2</v>
      </c>
      <c r="X3" t="s">
        <v>25</v>
      </c>
      <c r="Y3" t="s">
        <v>31</v>
      </c>
      <c r="Z3" t="s">
        <v>32</v>
      </c>
      <c r="AA3" s="149">
        <v>43579</v>
      </c>
      <c r="AC3" t="s">
        <v>33</v>
      </c>
    </row>
    <row r="4" spans="7:29">
      <c r="G4">
        <v>2</v>
      </c>
      <c r="H4" t="s">
        <v>34</v>
      </c>
      <c r="I4" t="s">
        <v>35</v>
      </c>
      <c r="J4" t="s">
        <v>34</v>
      </c>
      <c r="L4">
        <v>3</v>
      </c>
      <c r="M4" t="s">
        <v>21</v>
      </c>
      <c r="N4" s="149" t="s">
        <v>36</v>
      </c>
      <c r="O4" s="149" t="s">
        <v>37</v>
      </c>
      <c r="P4" s="149" t="s">
        <v>38</v>
      </c>
      <c r="R4" s="149">
        <v>43845</v>
      </c>
      <c r="S4" s="157" t="s">
        <v>39</v>
      </c>
      <c r="W4">
        <v>3</v>
      </c>
      <c r="X4" t="s">
        <v>40</v>
      </c>
      <c r="Y4" t="s">
        <v>41</v>
      </c>
      <c r="Z4" t="s">
        <v>42</v>
      </c>
      <c r="AA4" s="149">
        <v>43725</v>
      </c>
      <c r="AB4" t="s">
        <v>43</v>
      </c>
      <c r="AC4" t="s">
        <v>44</v>
      </c>
    </row>
    <row r="5" spans="14:29">
      <c r="N5" s="149"/>
      <c r="O5" s="149"/>
      <c r="P5" s="149"/>
      <c r="R5" s="149"/>
      <c r="S5" s="157"/>
      <c r="W5">
        <v>4</v>
      </c>
      <c r="X5" t="s">
        <v>40</v>
      </c>
      <c r="Y5" t="s">
        <v>41</v>
      </c>
      <c r="Z5" t="s">
        <v>45</v>
      </c>
      <c r="AA5" s="149">
        <v>43725</v>
      </c>
      <c r="AB5" t="s">
        <v>46</v>
      </c>
      <c r="AC5" t="s">
        <v>47</v>
      </c>
    </row>
    <row r="6" spans="2:29">
      <c r="B6" t="s">
        <v>48</v>
      </c>
      <c r="G6">
        <v>3</v>
      </c>
      <c r="H6" t="s">
        <v>34</v>
      </c>
      <c r="I6" t="s">
        <v>49</v>
      </c>
      <c r="J6" t="s">
        <v>34</v>
      </c>
      <c r="N6" s="149"/>
      <c r="O6" s="149"/>
      <c r="P6" s="149"/>
      <c r="R6" s="149"/>
      <c r="S6" s="157"/>
      <c r="W6">
        <v>5</v>
      </c>
      <c r="X6" t="s">
        <v>40</v>
      </c>
      <c r="Y6" t="s">
        <v>41</v>
      </c>
      <c r="Z6" t="s">
        <v>50</v>
      </c>
      <c r="AA6" s="149">
        <v>43725</v>
      </c>
      <c r="AB6" t="s">
        <v>51</v>
      </c>
      <c r="AC6" t="s">
        <v>52</v>
      </c>
    </row>
    <row r="7" spans="14:29">
      <c r="N7" s="149"/>
      <c r="O7" s="149"/>
      <c r="P7" s="149"/>
      <c r="R7" s="149"/>
      <c r="S7" s="157"/>
      <c r="W7">
        <v>6</v>
      </c>
      <c r="X7" t="s">
        <v>40</v>
      </c>
      <c r="Y7" t="s">
        <v>41</v>
      </c>
      <c r="Z7" t="s">
        <v>53</v>
      </c>
      <c r="AA7" s="149">
        <v>43725</v>
      </c>
      <c r="AB7" t="s">
        <v>54</v>
      </c>
      <c r="AC7" t="s">
        <v>55</v>
      </c>
    </row>
    <row r="8" spans="7:29">
      <c r="G8">
        <v>4</v>
      </c>
      <c r="H8" t="s">
        <v>25</v>
      </c>
      <c r="J8" t="s">
        <v>25</v>
      </c>
      <c r="N8" s="149"/>
      <c r="O8" s="149"/>
      <c r="P8" s="149"/>
      <c r="R8" s="149"/>
      <c r="S8" s="157"/>
      <c r="W8">
        <v>7</v>
      </c>
      <c r="X8" t="s">
        <v>40</v>
      </c>
      <c r="Y8" t="s">
        <v>41</v>
      </c>
      <c r="Z8" t="s">
        <v>56</v>
      </c>
      <c r="AA8" s="149">
        <v>43725</v>
      </c>
      <c r="AB8" t="s">
        <v>57</v>
      </c>
      <c r="AC8" t="s">
        <v>58</v>
      </c>
    </row>
    <row r="9" spans="14:29">
      <c r="N9" s="149"/>
      <c r="O9" s="149"/>
      <c r="P9" s="149"/>
      <c r="R9" s="149"/>
      <c r="S9" s="157"/>
      <c r="W9">
        <v>8</v>
      </c>
      <c r="X9" t="s">
        <v>40</v>
      </c>
      <c r="Y9" t="s">
        <v>41</v>
      </c>
      <c r="Z9" t="s">
        <v>59</v>
      </c>
      <c r="AA9" s="149">
        <v>43725</v>
      </c>
      <c r="AB9" t="s">
        <v>60</v>
      </c>
      <c r="AC9" t="s">
        <v>61</v>
      </c>
    </row>
    <row r="10" spans="7:29">
      <c r="G10">
        <v>5</v>
      </c>
      <c r="H10" t="s">
        <v>62</v>
      </c>
      <c r="I10" t="s">
        <v>63</v>
      </c>
      <c r="J10" t="s">
        <v>62</v>
      </c>
      <c r="N10" s="149"/>
      <c r="O10" s="149"/>
      <c r="P10" s="149"/>
      <c r="R10" s="149"/>
      <c r="S10" s="157"/>
      <c r="W10">
        <v>9</v>
      </c>
      <c r="X10" t="s">
        <v>40</v>
      </c>
      <c r="Y10" t="s">
        <v>41</v>
      </c>
      <c r="Z10" t="s">
        <v>64</v>
      </c>
      <c r="AA10" s="149">
        <v>43725</v>
      </c>
      <c r="AB10" t="s">
        <v>65</v>
      </c>
      <c r="AC10" t="s">
        <v>66</v>
      </c>
    </row>
    <row r="11" spans="14:29">
      <c r="N11" s="149"/>
      <c r="O11" s="149"/>
      <c r="P11" s="149"/>
      <c r="R11" s="149"/>
      <c r="S11" s="157"/>
      <c r="W11">
        <v>10</v>
      </c>
      <c r="X11" t="s">
        <v>40</v>
      </c>
      <c r="Y11" t="s">
        <v>41</v>
      </c>
      <c r="Z11" t="s">
        <v>67</v>
      </c>
      <c r="AA11" s="149">
        <v>43725</v>
      </c>
      <c r="AB11" t="s">
        <v>68</v>
      </c>
      <c r="AC11" t="s">
        <v>69</v>
      </c>
    </row>
    <row r="12" spans="7:29">
      <c r="G12">
        <v>6</v>
      </c>
      <c r="H12" t="s">
        <v>62</v>
      </c>
      <c r="I12" t="s">
        <v>70</v>
      </c>
      <c r="J12" t="s">
        <v>62</v>
      </c>
      <c r="N12" s="149"/>
      <c r="R12" s="149"/>
      <c r="S12" s="157"/>
      <c r="W12">
        <v>11</v>
      </c>
      <c r="X12" t="s">
        <v>71</v>
      </c>
      <c r="Y12" t="s">
        <v>72</v>
      </c>
      <c r="Z12" t="s">
        <v>73</v>
      </c>
      <c r="AA12" s="149">
        <v>43657</v>
      </c>
      <c r="AB12" t="s">
        <v>74</v>
      </c>
      <c r="AC12" t="s">
        <v>75</v>
      </c>
    </row>
    <row r="13" spans="14:29">
      <c r="N13" s="149"/>
      <c r="O13" s="149"/>
      <c r="P13" s="149"/>
      <c r="R13" s="149"/>
      <c r="S13" s="157"/>
      <c r="W13">
        <v>12</v>
      </c>
      <c r="X13" t="s">
        <v>71</v>
      </c>
      <c r="Y13" t="s">
        <v>76</v>
      </c>
      <c r="Z13" t="s">
        <v>77</v>
      </c>
      <c r="AA13" s="149">
        <v>43796</v>
      </c>
      <c r="AC13" t="s">
        <v>78</v>
      </c>
    </row>
    <row r="14" spans="2:29">
      <c r="B14" t="s">
        <v>79</v>
      </c>
      <c r="G14">
        <v>7</v>
      </c>
      <c r="H14" t="s">
        <v>80</v>
      </c>
      <c r="J14" t="s">
        <v>80</v>
      </c>
      <c r="N14" s="149"/>
      <c r="O14" s="149"/>
      <c r="P14" s="149"/>
      <c r="R14" s="149"/>
      <c r="S14" s="157"/>
      <c r="W14">
        <v>13</v>
      </c>
      <c r="X14" t="s">
        <v>71</v>
      </c>
      <c r="Y14" t="s">
        <v>81</v>
      </c>
      <c r="Z14" t="s">
        <v>82</v>
      </c>
      <c r="AA14" s="149">
        <v>43607</v>
      </c>
      <c r="AC14" t="s">
        <v>83</v>
      </c>
    </row>
    <row r="15" spans="14:29">
      <c r="N15" s="149"/>
      <c r="O15" s="149"/>
      <c r="P15" s="149"/>
      <c r="R15" s="149"/>
      <c r="S15" s="157"/>
      <c r="W15">
        <v>14</v>
      </c>
      <c r="X15" t="s">
        <v>71</v>
      </c>
      <c r="Y15" t="s">
        <v>84</v>
      </c>
      <c r="Z15" t="s">
        <v>85</v>
      </c>
      <c r="AA15" s="149">
        <v>43719</v>
      </c>
      <c r="AB15" t="s">
        <v>86</v>
      </c>
      <c r="AC15" t="s">
        <v>87</v>
      </c>
    </row>
    <row r="16" spans="7:19">
      <c r="G16">
        <v>8</v>
      </c>
      <c r="H16" t="s">
        <v>88</v>
      </c>
      <c r="I16" s="155" t="s">
        <v>89</v>
      </c>
      <c r="J16" t="s">
        <v>88</v>
      </c>
      <c r="N16" s="149"/>
      <c r="O16" s="149"/>
      <c r="P16" s="149"/>
      <c r="R16" s="149"/>
      <c r="S16" s="157"/>
    </row>
    <row r="17" spans="14:19">
      <c r="N17" s="149"/>
      <c r="O17" s="149"/>
      <c r="P17" s="149"/>
      <c r="R17" s="149"/>
      <c r="S17" s="157"/>
    </row>
    <row r="18" spans="2:19">
      <c r="B18" t="s">
        <v>90</v>
      </c>
      <c r="G18">
        <v>9</v>
      </c>
      <c r="H18" t="s">
        <v>91</v>
      </c>
      <c r="I18" s="155" t="s">
        <v>92</v>
      </c>
      <c r="J18" t="s">
        <v>91</v>
      </c>
      <c r="N18" s="149"/>
      <c r="O18" s="149"/>
      <c r="P18" s="149"/>
      <c r="R18" s="149"/>
      <c r="S18" s="157"/>
    </row>
    <row r="19" spans="14:19">
      <c r="N19" s="149"/>
      <c r="O19" s="149"/>
      <c r="P19" s="149"/>
      <c r="R19" s="149"/>
      <c r="S19" s="157"/>
    </row>
    <row r="20" spans="7:19">
      <c r="G20">
        <v>10</v>
      </c>
      <c r="H20" t="s">
        <v>40</v>
      </c>
      <c r="I20" s="155" t="s">
        <v>41</v>
      </c>
      <c r="J20" t="s">
        <v>40</v>
      </c>
      <c r="N20" s="149"/>
      <c r="O20" s="149"/>
      <c r="P20" s="149"/>
      <c r="R20" s="149"/>
      <c r="S20" s="157"/>
    </row>
    <row r="21" spans="14:19">
      <c r="N21" s="149"/>
      <c r="O21" s="149"/>
      <c r="P21" s="149"/>
      <c r="R21" s="149"/>
      <c r="S21" s="157"/>
    </row>
    <row r="22" spans="7:19">
      <c r="G22">
        <v>11</v>
      </c>
      <c r="H22" t="s">
        <v>93</v>
      </c>
      <c r="I22" s="155" t="s">
        <v>94</v>
      </c>
      <c r="J22" t="s">
        <v>93</v>
      </c>
      <c r="N22" s="149"/>
      <c r="O22" s="149"/>
      <c r="P22" s="149"/>
      <c r="R22" s="149"/>
      <c r="S22" s="157"/>
    </row>
    <row r="23" spans="14:19">
      <c r="N23" s="149"/>
      <c r="O23" s="149"/>
      <c r="P23" s="149"/>
      <c r="R23" s="149"/>
      <c r="S23" s="158"/>
    </row>
    <row r="24" spans="7:19">
      <c r="G24">
        <v>12</v>
      </c>
      <c r="H24" t="s">
        <v>95</v>
      </c>
      <c r="J24" t="s">
        <v>96</v>
      </c>
      <c r="N24" s="149"/>
      <c r="O24" s="149"/>
      <c r="P24" s="149"/>
      <c r="R24" s="149"/>
      <c r="S24" s="158"/>
    </row>
    <row r="25" spans="14:19">
      <c r="N25" s="149"/>
      <c r="O25" s="149"/>
      <c r="P25" s="149"/>
      <c r="R25" s="149"/>
      <c r="S25" s="158"/>
    </row>
    <row r="26" ht="15.75" spans="7:19">
      <c r="G26">
        <v>13</v>
      </c>
      <c r="H26" t="s">
        <v>97</v>
      </c>
      <c r="I26" t="s">
        <v>98</v>
      </c>
      <c r="J26" t="s">
        <v>97</v>
      </c>
      <c r="M26" s="156"/>
      <c r="N26" s="149"/>
      <c r="R26" s="149"/>
      <c r="S26" s="157"/>
    </row>
    <row r="27" spans="14:19">
      <c r="N27" s="149"/>
      <c r="O27" s="149"/>
      <c r="P27" s="149"/>
      <c r="R27" s="149"/>
      <c r="S27" s="157"/>
    </row>
    <row r="28" spans="2:19">
      <c r="B28" t="s">
        <v>99</v>
      </c>
      <c r="G28">
        <v>14</v>
      </c>
      <c r="H28" t="s">
        <v>100</v>
      </c>
      <c r="J28" t="s">
        <v>100</v>
      </c>
      <c r="N28" s="149"/>
      <c r="O28" s="149"/>
      <c r="P28" s="149"/>
      <c r="R28" s="149"/>
      <c r="S28" s="157"/>
    </row>
    <row r="29" spans="14:19">
      <c r="N29" s="149"/>
      <c r="O29" s="149"/>
      <c r="P29" s="149"/>
      <c r="R29" s="149"/>
      <c r="S29" s="157"/>
    </row>
    <row r="30" spans="7:19">
      <c r="G30">
        <v>15</v>
      </c>
      <c r="H30" t="s">
        <v>101</v>
      </c>
      <c r="I30" s="155"/>
      <c r="J30" t="s">
        <v>102</v>
      </c>
      <c r="N30" s="149"/>
      <c r="O30" s="149"/>
      <c r="P30" s="149"/>
      <c r="R30" s="149"/>
      <c r="S30" s="157"/>
    </row>
    <row r="31" spans="14:19">
      <c r="N31" s="149"/>
      <c r="R31" s="149"/>
      <c r="S31" s="158"/>
    </row>
    <row r="32" spans="7:19">
      <c r="G32">
        <v>16</v>
      </c>
      <c r="H32" t="s">
        <v>103</v>
      </c>
      <c r="J32" t="s">
        <v>104</v>
      </c>
      <c r="N32" s="149"/>
      <c r="O32" s="149"/>
      <c r="P32" s="149"/>
      <c r="R32" s="149"/>
      <c r="S32" s="158"/>
    </row>
    <row r="33" spans="14:19">
      <c r="N33" s="149"/>
      <c r="O33" s="149"/>
      <c r="P33" s="149"/>
      <c r="R33" s="149"/>
      <c r="S33" s="158"/>
    </row>
    <row r="34" spans="7:19">
      <c r="G34">
        <v>17</v>
      </c>
      <c r="H34" t="s">
        <v>105</v>
      </c>
      <c r="J34" t="s">
        <v>105</v>
      </c>
      <c r="N34" s="149"/>
      <c r="O34" s="149"/>
      <c r="P34" s="149"/>
      <c r="R34" s="149"/>
      <c r="S34" s="157"/>
    </row>
    <row r="35" spans="2:19">
      <c r="B35" t="s">
        <v>106</v>
      </c>
      <c r="N35" s="149"/>
      <c r="O35" s="149"/>
      <c r="P35" s="149"/>
      <c r="R35" s="149"/>
      <c r="S35" s="157"/>
    </row>
    <row r="36" spans="7:19">
      <c r="G36">
        <v>18</v>
      </c>
      <c r="H36" t="s">
        <v>107</v>
      </c>
      <c r="J36" t="s">
        <v>108</v>
      </c>
      <c r="N36" s="149"/>
      <c r="O36" s="149"/>
      <c r="P36" s="149"/>
      <c r="R36" s="149"/>
      <c r="S36" s="157"/>
    </row>
    <row r="37" spans="14:19">
      <c r="N37" s="149"/>
      <c r="O37" s="149"/>
      <c r="P37" s="149"/>
      <c r="R37" s="149"/>
      <c r="S37" s="157"/>
    </row>
    <row r="38" spans="7:19">
      <c r="G38">
        <v>19</v>
      </c>
      <c r="H38" s="152" t="s">
        <v>109</v>
      </c>
      <c r="J38" t="s">
        <v>109</v>
      </c>
      <c r="N38" s="149"/>
      <c r="O38" s="149"/>
      <c r="P38" s="149"/>
      <c r="R38" s="149"/>
      <c r="S38" s="157"/>
    </row>
    <row r="39" spans="14:19">
      <c r="N39" s="149"/>
      <c r="O39" s="149"/>
      <c r="P39" s="149"/>
      <c r="R39" s="149"/>
      <c r="S39" s="157"/>
    </row>
    <row r="40" spans="2:19">
      <c r="B40" t="s">
        <v>110</v>
      </c>
      <c r="G40">
        <v>20</v>
      </c>
      <c r="H40" t="s">
        <v>71</v>
      </c>
      <c r="J40" t="s">
        <v>71</v>
      </c>
      <c r="N40" s="149"/>
      <c r="O40" s="149"/>
      <c r="P40" s="149"/>
      <c r="R40" s="149"/>
      <c r="S40" s="157"/>
    </row>
    <row r="41" spans="14:19">
      <c r="N41" s="149"/>
      <c r="O41" s="149"/>
      <c r="P41" s="149"/>
      <c r="R41" s="149"/>
      <c r="S41" s="157"/>
    </row>
    <row r="42" spans="7:19">
      <c r="G42">
        <v>21</v>
      </c>
      <c r="H42" t="s">
        <v>79</v>
      </c>
      <c r="J42" t="s">
        <v>111</v>
      </c>
      <c r="N42" s="149"/>
      <c r="O42" s="149"/>
      <c r="P42" s="149"/>
      <c r="R42" s="149"/>
      <c r="S42" s="157"/>
    </row>
    <row r="43" spans="14:19">
      <c r="N43" s="149"/>
      <c r="O43" s="149"/>
      <c r="P43" s="149"/>
      <c r="R43" s="149"/>
      <c r="S43" s="157"/>
    </row>
    <row r="44" spans="7:19">
      <c r="G44">
        <v>22</v>
      </c>
      <c r="H44" t="s">
        <v>112</v>
      </c>
      <c r="J44" t="s">
        <v>112</v>
      </c>
      <c r="N44" s="149"/>
      <c r="O44" s="149"/>
      <c r="P44" s="149"/>
      <c r="R44" s="149"/>
      <c r="S44" s="157"/>
    </row>
    <row r="45" spans="14:19">
      <c r="N45" s="149"/>
      <c r="O45" s="149"/>
      <c r="P45" s="149"/>
      <c r="R45" s="149"/>
      <c r="S45" s="157"/>
    </row>
    <row r="46" spans="2:19">
      <c r="B46" t="s">
        <v>113</v>
      </c>
      <c r="G46">
        <v>23</v>
      </c>
      <c r="H46" t="s">
        <v>21</v>
      </c>
      <c r="J46" t="s">
        <v>21</v>
      </c>
      <c r="N46" s="149"/>
      <c r="R46" s="149"/>
      <c r="S46" s="157"/>
    </row>
    <row r="47" spans="14:19">
      <c r="N47" s="149"/>
      <c r="O47" s="149"/>
      <c r="P47" s="149"/>
      <c r="R47" s="149"/>
      <c r="S47" s="157"/>
    </row>
    <row r="48" spans="7:19">
      <c r="G48">
        <v>24</v>
      </c>
      <c r="H48" t="s">
        <v>114</v>
      </c>
      <c r="J48" t="s">
        <v>115</v>
      </c>
      <c r="N48" s="149"/>
      <c r="O48" s="149"/>
      <c r="P48" s="149"/>
      <c r="R48" s="149"/>
      <c r="S48" s="157"/>
    </row>
    <row r="49" spans="14:19">
      <c r="N49" s="149"/>
      <c r="O49" s="149"/>
      <c r="P49" s="149"/>
      <c r="R49" s="149"/>
      <c r="S49" s="157"/>
    </row>
    <row r="50" spans="7:19">
      <c r="G50">
        <v>25</v>
      </c>
      <c r="H50" t="s">
        <v>116</v>
      </c>
      <c r="J50" t="s">
        <v>116</v>
      </c>
      <c r="N50" s="149"/>
      <c r="O50" s="149"/>
      <c r="P50" s="149"/>
      <c r="R50" s="149"/>
      <c r="S50" s="157"/>
    </row>
    <row r="51" spans="14:19">
      <c r="N51" s="149"/>
      <c r="R51" s="149"/>
      <c r="S51" s="157"/>
    </row>
    <row r="52" spans="14:19">
      <c r="N52" s="149"/>
      <c r="O52" s="149"/>
      <c r="P52" s="149"/>
      <c r="R52" s="149"/>
      <c r="S52" s="157"/>
    </row>
    <row r="53" spans="14:19">
      <c r="N53" s="149"/>
      <c r="O53" s="149"/>
      <c r="P53" s="149"/>
      <c r="R53" s="149"/>
      <c r="S53" s="157"/>
    </row>
    <row r="54" spans="14:19">
      <c r="N54" s="149"/>
      <c r="R54" s="149"/>
      <c r="S54" s="157"/>
    </row>
    <row r="55" spans="14:19">
      <c r="N55" s="149"/>
      <c r="O55" s="149"/>
      <c r="P55" s="149"/>
      <c r="R55" s="149"/>
      <c r="S55" s="157"/>
    </row>
    <row r="56" spans="14:19">
      <c r="N56" s="149"/>
      <c r="R56" s="149"/>
      <c r="S56" s="157"/>
    </row>
    <row r="57" spans="14:19">
      <c r="N57" s="149"/>
      <c r="R57" s="149"/>
      <c r="S57" s="157"/>
    </row>
    <row r="58" spans="14:19">
      <c r="N58" s="149"/>
      <c r="R58" s="149"/>
      <c r="S58" s="157"/>
    </row>
    <row r="59" spans="14:19">
      <c r="N59" s="149"/>
      <c r="R59" s="149"/>
      <c r="S59" s="157"/>
    </row>
    <row r="60" spans="14:19">
      <c r="N60" s="149"/>
      <c r="R60" s="149"/>
      <c r="S60" s="157"/>
    </row>
    <row r="61" spans="14:19">
      <c r="N61" s="149"/>
      <c r="R61" s="149"/>
      <c r="S61" s="157"/>
    </row>
    <row r="62" spans="14:19">
      <c r="N62" s="149"/>
      <c r="R62" s="149"/>
      <c r="S62" s="157"/>
    </row>
    <row r="63" spans="14:19">
      <c r="N63" s="149"/>
      <c r="R63" s="149"/>
      <c r="S63" s="157"/>
    </row>
    <row r="64" spans="14:19">
      <c r="N64" s="149"/>
      <c r="R64" s="149"/>
      <c r="S64" s="157"/>
    </row>
    <row r="65" spans="14:19">
      <c r="N65" s="149"/>
      <c r="R65" s="149"/>
      <c r="S65" s="157"/>
    </row>
    <row r="66" spans="14:19">
      <c r="N66" s="149"/>
      <c r="R66" s="149"/>
      <c r="S66" s="157"/>
    </row>
    <row r="67" spans="14:19">
      <c r="N67" s="149"/>
      <c r="R67" s="149"/>
      <c r="S67" s="157"/>
    </row>
    <row r="68" spans="18:19">
      <c r="R68" s="149"/>
      <c r="S68" s="157"/>
    </row>
    <row r="69" spans="18:19">
      <c r="R69" s="149"/>
      <c r="S69" s="157"/>
    </row>
    <row r="70" spans="18:19">
      <c r="R70" s="149"/>
      <c r="S70" s="157"/>
    </row>
    <row r="71" spans="18:19">
      <c r="R71" s="149"/>
      <c r="S71" s="157"/>
    </row>
    <row r="72" spans="18:19">
      <c r="R72" s="149"/>
      <c r="S72" s="157"/>
    </row>
    <row r="73" spans="18:19">
      <c r="R73" s="149"/>
      <c r="S73" s="157"/>
    </row>
    <row r="74" spans="18:19">
      <c r="R74" s="149"/>
      <c r="S74" s="157"/>
    </row>
    <row r="75" spans="18:19">
      <c r="R75" s="149"/>
      <c r="S75" s="157"/>
    </row>
    <row r="76" spans="18:19">
      <c r="R76" s="149"/>
      <c r="S76" s="157"/>
    </row>
    <row r="77" spans="18:19">
      <c r="R77" s="149"/>
      <c r="S77" s="157"/>
    </row>
    <row r="78" spans="18:19">
      <c r="R78" s="149"/>
      <c r="S78" s="157"/>
    </row>
    <row r="79" spans="18:19">
      <c r="R79" s="149"/>
      <c r="S79" s="157"/>
    </row>
    <row r="80" spans="18:19">
      <c r="R80" s="149"/>
      <c r="S80" s="157"/>
    </row>
    <row r="81" spans="18:19">
      <c r="R81" s="149"/>
      <c r="S81" s="157"/>
    </row>
    <row r="82" spans="18:19">
      <c r="R82" s="149"/>
      <c r="S82" s="157"/>
    </row>
    <row r="83" spans="18:19">
      <c r="R83" s="149"/>
      <c r="S83" s="157"/>
    </row>
    <row r="84" spans="18:19">
      <c r="R84" s="149"/>
      <c r="S84" s="157"/>
    </row>
    <row r="85" spans="18:19">
      <c r="R85" s="149"/>
      <c r="S85" s="157"/>
    </row>
    <row r="86" spans="18:19">
      <c r="R86" s="149"/>
      <c r="S86" s="157"/>
    </row>
    <row r="87" spans="18:19">
      <c r="R87" s="149"/>
      <c r="S87" s="157"/>
    </row>
    <row r="88" spans="18:19">
      <c r="R88" s="149"/>
      <c r="S88" s="157"/>
    </row>
    <row r="89" spans="18:19">
      <c r="R89" s="149"/>
      <c r="S89" s="157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26:R30">
    <sortCondition ref="Q26:Q30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257175</xdr:colOff>
                    <xdr:row>33</xdr:row>
                    <xdr:rowOff>114300</xdr:rowOff>
                  </from>
                  <to>
                    <xdr:col>6</xdr:col>
                    <xdr:colOff>323850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257810</xdr:colOff>
                    <xdr:row>36</xdr:row>
                    <xdr:rowOff>9525</xdr:rowOff>
                  </from>
                  <to>
                    <xdr:col>6</xdr:col>
                    <xdr:colOff>286385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65405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3" name="Button 881" r:id="rId32">
              <controlPr print="0" defaultSize="0">
                <anchor moveWithCells="1">
                  <from>
                    <xdr:col>4</xdr:col>
                    <xdr:colOff>266700</xdr:colOff>
                    <xdr:row>38</xdr:row>
                    <xdr:rowOff>57150</xdr:rowOff>
                  </from>
                  <to>
                    <xdr:col>6</xdr:col>
                    <xdr:colOff>294640</xdr:colOff>
                    <xdr:row>40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5" name="Check Box 973" r:id="rId3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6" name="Check Box 974" r:id="rId3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7" name="Check Box 975" r:id="rId3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8" name="Check Box 976" r:id="rId3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9" name="Check Box 977" r:id="rId3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0" name="Check Box 978" r:id="rId3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1" name="Check Box 979" r:id="rId3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2" name="Check Box 980" r:id="rId4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3" name="Check Box 981" r:id="rId41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4" name="Check Box 982" r:id="rId4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5" name="Check Box 983" r:id="rId4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6" name="Check Box 984" r:id="rId4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7" name="Check Box 985" r:id="rId4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8" name="Check Box 986" r:id="rId4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9" name="Check Box 987" r:id="rId4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0" name="Check Box 988" r:id="rId4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1" name="Check Box 989" r:id="rId4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2" name="Check Box 990" r:id="rId5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3" name="Check Box 991" r:id="rId51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4" name="Check Box 992" r:id="rId52">
              <controlPr defaultSize="0">
                <anchor moveWithCells="1" sizeWithCells="1">
                  <from>
                    <xdr:col>19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" name="Check Box 993" r:id="rId53">
              <controlPr defaultSize="0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6" name="Check Box 994" r:id="rId54">
              <controlPr defaultSize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7" name="Check Box 995" r:id="rId55">
              <controlPr defaultSize="0">
                <anchor moveWithCells="1" siz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8" name="Check Box 996" r:id="rId56">
              <controlPr defaultSize="0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9" name="Check Box 997" r:id="rId57">
              <controlPr defaultSize="0">
                <anchor moveWithCells="1" sizeWithCells="1">
                  <from>
                    <xdr:col>19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0" name="Check Box 998" r:id="rId58">
              <controlPr defaultSize="0">
                <anchor moveWithCells="1" sizeWithCells="1">
                  <from>
                    <xdr:col>19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1" name="Check Box 999" r:id="rId59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2" name="Check Box 1000" r:id="rId60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3" name="Check Box 1001" r:id="rId61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4" name="Check Box 1002" r:id="rId62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5" name="Check Box 1003" r:id="rId63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6" name="Check Box 1004" r:id="rId64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7" name="Check Box 1005" r:id="rId65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8" name="Check Box 1006" r:id="rId66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9" name="Check Box 1007" r:id="rId67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0" name="Check Box 1008" r:id="rId68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1" name="Check Box 1009" r:id="rId69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2" name="Check Box 1010" r:id="rId70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3" name="Check Box 1011" r:id="rId71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4" name="Check Box 1012" r:id="rId7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5" name="Check Box 1013" r:id="rId73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6" name="Check Box 1014" r:id="rId74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tabSelected="1" workbookViewId="0">
      <selection activeCell="B5" sqref="B5:B9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117</v>
      </c>
      <c r="B1">
        <v>2</v>
      </c>
    </row>
    <row r="2" spans="1:28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  <c r="X2" s="77"/>
      <c r="Y2" s="77"/>
      <c r="Z2" s="77" t="s">
        <v>128</v>
      </c>
      <c r="AA2" s="77"/>
      <c r="AB2" s="77"/>
    </row>
    <row r="3" spans="1:2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X3" s="77" t="s">
        <v>130</v>
      </c>
      <c r="Y3" s="77"/>
      <c r="Z3" s="77"/>
      <c r="AA3" s="77"/>
      <c r="AB3" s="77"/>
    </row>
    <row r="4" spans="1:28">
      <c r="A4" s="1" t="s">
        <v>131</v>
      </c>
      <c r="B4" s="1" t="s">
        <v>132</v>
      </c>
      <c r="D4" s="86" t="s">
        <v>133</v>
      </c>
      <c r="AB4" s="124"/>
    </row>
    <row r="5" spans="1:4">
      <c r="A5" s="1" t="s">
        <v>134</v>
      </c>
      <c r="B5">
        <v>0.8</v>
      </c>
      <c r="D5">
        <v>2.39</v>
      </c>
    </row>
    <row r="6" spans="1:4">
      <c r="A6" t="s">
        <v>135</v>
      </c>
      <c r="B6">
        <v>0.39</v>
      </c>
      <c r="D6">
        <v>0.53</v>
      </c>
    </row>
    <row r="7" spans="1:4">
      <c r="A7" t="s">
        <v>136</v>
      </c>
      <c r="B7">
        <v>0.54</v>
      </c>
      <c r="D7">
        <v>0.58</v>
      </c>
    </row>
    <row r="8" spans="1:6">
      <c r="A8" s="1" t="s">
        <v>137</v>
      </c>
      <c r="B8" s="2">
        <v>0</v>
      </c>
      <c r="D8" s="2">
        <v>0</v>
      </c>
      <c r="F8" s="2"/>
    </row>
    <row r="9" spans="1:6">
      <c r="A9" t="s">
        <v>138</v>
      </c>
      <c r="B9" s="2">
        <v>0</v>
      </c>
      <c r="D9" s="2">
        <v>0.0441</v>
      </c>
      <c r="F9" s="2"/>
    </row>
    <row r="10" spans="14:21">
      <c r="N10" s="132" t="s">
        <v>139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140</v>
      </c>
      <c r="B11" s="3" t="s">
        <v>141</v>
      </c>
      <c r="C11" s="4" t="s">
        <v>142</v>
      </c>
      <c r="D11" s="6" t="s">
        <v>143</v>
      </c>
      <c r="E11" s="6" t="s">
        <v>144</v>
      </c>
      <c r="F11" s="4" t="s">
        <v>145</v>
      </c>
      <c r="G11" s="110"/>
      <c r="H11" s="110"/>
      <c r="I11" s="133"/>
      <c r="J11" s="110"/>
      <c r="K11" s="110"/>
      <c r="L11" s="133"/>
      <c r="M11" s="4"/>
      <c r="N11" s="134" t="s">
        <v>140</v>
      </c>
      <c r="O11" s="135" t="s">
        <v>141</v>
      </c>
      <c r="P11" s="58" t="s">
        <v>146</v>
      </c>
      <c r="Q11" s="58"/>
      <c r="R11" s="58"/>
      <c r="S11" s="58" t="s">
        <v>147</v>
      </c>
      <c r="T11" s="58" t="s">
        <v>148</v>
      </c>
      <c r="U11" s="135" t="s">
        <v>149</v>
      </c>
      <c r="V11" s="134" t="s">
        <v>150</v>
      </c>
    </row>
    <row r="12" ht="14.25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151</v>
      </c>
      <c r="Q12" s="4" t="s">
        <v>152</v>
      </c>
      <c r="R12" s="4" t="s">
        <v>153</v>
      </c>
      <c r="S12" s="4"/>
      <c r="T12" s="4"/>
      <c r="U12" s="58"/>
      <c r="V12" s="3"/>
    </row>
    <row r="13" ht="15.75" spans="1:22">
      <c r="A13" s="77" t="s">
        <v>154</v>
      </c>
      <c r="B13" s="125" t="s">
        <v>155</v>
      </c>
      <c r="C13" s="125">
        <v>95.64</v>
      </c>
      <c r="D13" s="125">
        <v>96.44</v>
      </c>
      <c r="E13" s="125">
        <v>95.62</v>
      </c>
      <c r="F13" s="125">
        <v>2.07</v>
      </c>
      <c r="G13" s="110"/>
      <c r="H13" s="110"/>
      <c r="I13" s="133"/>
      <c r="J13" s="110"/>
      <c r="K13" s="110"/>
      <c r="L13" s="133"/>
      <c r="M13" s="1"/>
      <c r="N13" s="97"/>
      <c r="O13" s="97"/>
      <c r="P13" s="99">
        <v>0.799999999999997</v>
      </c>
      <c r="Q13" s="99">
        <v>0.799999999999997</v>
      </c>
      <c r="R13" s="99">
        <v>0</v>
      </c>
      <c r="S13" s="99">
        <v>2.07</v>
      </c>
      <c r="T13" s="99">
        <v>0.386473429951689</v>
      </c>
      <c r="U13" s="117">
        <v>0</v>
      </c>
      <c r="V13" s="110">
        <v>-0.819999999999993</v>
      </c>
    </row>
    <row r="14" ht="15.75" spans="1:22">
      <c r="A14" s="22" t="s">
        <v>154</v>
      </c>
      <c r="B14" s="125" t="s">
        <v>156</v>
      </c>
      <c r="C14" s="125">
        <v>86.44</v>
      </c>
      <c r="D14" s="125">
        <v>87.22</v>
      </c>
      <c r="E14" s="125">
        <v>86.39</v>
      </c>
      <c r="F14" s="125">
        <v>1.91</v>
      </c>
      <c r="G14" s="110"/>
      <c r="H14" s="110"/>
      <c r="I14" s="133"/>
      <c r="J14" s="110"/>
      <c r="K14" s="110"/>
      <c r="L14" s="133"/>
      <c r="M14" s="1"/>
      <c r="N14" s="97"/>
      <c r="O14" s="97"/>
      <c r="P14" s="99">
        <v>0.780000000000001</v>
      </c>
      <c r="Q14" s="99">
        <v>0.780000000000001</v>
      </c>
      <c r="R14" s="99">
        <v>0</v>
      </c>
      <c r="S14" s="99">
        <v>1.91</v>
      </c>
      <c r="T14" s="99">
        <v>0.408376963350786</v>
      </c>
      <c r="U14" s="117">
        <v>0</v>
      </c>
      <c r="V14" s="110">
        <v>-0.829999999999998</v>
      </c>
    </row>
    <row r="15" ht="15.75" spans="1:22">
      <c r="A15" s="22" t="s">
        <v>154</v>
      </c>
      <c r="B15" s="125" t="s">
        <v>157</v>
      </c>
      <c r="C15" s="125">
        <v>63.98</v>
      </c>
      <c r="D15" s="125">
        <v>64.76</v>
      </c>
      <c r="E15" s="125">
        <v>63.98</v>
      </c>
      <c r="F15" s="125">
        <v>1.7</v>
      </c>
      <c r="G15" s="110"/>
      <c r="H15" s="110"/>
      <c r="I15" s="133"/>
      <c r="J15" s="110"/>
      <c r="K15" s="110"/>
      <c r="L15" s="133"/>
      <c r="M15" s="1"/>
      <c r="N15" s="100"/>
      <c r="O15" s="100"/>
      <c r="P15" s="99">
        <v>0.780000000000008</v>
      </c>
      <c r="Q15" s="99">
        <v>0.780000000000008</v>
      </c>
      <c r="R15" s="99">
        <v>0</v>
      </c>
      <c r="S15" s="99">
        <v>1.7</v>
      </c>
      <c r="T15" s="99">
        <v>0.45882352941177</v>
      </c>
      <c r="U15" s="117">
        <v>0</v>
      </c>
      <c r="V15" s="147">
        <v>-0.780000000000008</v>
      </c>
    </row>
    <row r="16" ht="15.75" spans="1:22">
      <c r="A16" s="22" t="s">
        <v>154</v>
      </c>
      <c r="B16" s="125" t="s">
        <v>158</v>
      </c>
      <c r="C16" s="125">
        <v>-52.41</v>
      </c>
      <c r="D16" s="125">
        <v>-52.19</v>
      </c>
      <c r="E16" s="125">
        <v>-52.53</v>
      </c>
      <c r="F16" s="125">
        <v>0.41</v>
      </c>
      <c r="G16" s="110"/>
      <c r="H16" s="110"/>
      <c r="I16" s="133"/>
      <c r="J16" s="110"/>
      <c r="K16" s="110"/>
      <c r="L16" s="133"/>
      <c r="M16" s="1"/>
      <c r="N16" s="97"/>
      <c r="O16" s="97"/>
      <c r="P16" s="99">
        <v>0.219999999999999</v>
      </c>
      <c r="Q16" s="99">
        <v>0.219999999999999</v>
      </c>
      <c r="R16" s="99">
        <v>0</v>
      </c>
      <c r="S16" s="99">
        <v>0.41</v>
      </c>
      <c r="T16" s="99">
        <v>0.536585365853656</v>
      </c>
      <c r="U16" s="117">
        <v>0</v>
      </c>
      <c r="V16" s="110">
        <v>-0.340000000000003</v>
      </c>
    </row>
    <row r="17" ht="15.75" spans="1:22">
      <c r="A17" s="22" t="s">
        <v>159</v>
      </c>
      <c r="B17" s="125" t="s">
        <v>158</v>
      </c>
      <c r="C17" s="125">
        <v>-53.59</v>
      </c>
      <c r="D17" s="125">
        <v>-51.99</v>
      </c>
      <c r="E17" s="125">
        <v>-53.53</v>
      </c>
      <c r="F17" s="125">
        <v>2.88</v>
      </c>
      <c r="G17" s="110"/>
      <c r="H17" s="110"/>
      <c r="I17" s="133"/>
      <c r="J17" s="110"/>
      <c r="K17" s="110"/>
      <c r="L17" s="133"/>
      <c r="M17" s="1"/>
      <c r="N17" s="97"/>
      <c r="O17" s="97"/>
      <c r="P17" s="99">
        <v>1.6</v>
      </c>
      <c r="Q17" s="99">
        <v>1.54</v>
      </c>
      <c r="R17" s="99">
        <v>0.0600000000000023</v>
      </c>
      <c r="S17" s="99">
        <v>2.88</v>
      </c>
      <c r="T17" s="99">
        <v>0.534722222222222</v>
      </c>
      <c r="U17" s="117">
        <v>0.0375000000000014</v>
      </c>
      <c r="V17" s="110">
        <v>-1.54</v>
      </c>
    </row>
    <row r="18" ht="15.75" spans="1:22">
      <c r="A18" s="22" t="s">
        <v>159</v>
      </c>
      <c r="B18" s="125" t="s">
        <v>160</v>
      </c>
      <c r="C18" s="125">
        <v>-70.53</v>
      </c>
      <c r="D18" s="125">
        <v>-68.49</v>
      </c>
      <c r="E18" s="125">
        <v>-70.44</v>
      </c>
      <c r="F18" s="125">
        <v>3.51</v>
      </c>
      <c r="G18" s="110"/>
      <c r="H18" s="110"/>
      <c r="I18" s="133"/>
      <c r="J18" s="110"/>
      <c r="K18" s="110"/>
      <c r="L18" s="133"/>
      <c r="M18" s="1"/>
      <c r="N18" s="100"/>
      <c r="O18" s="100"/>
      <c r="P18" s="99">
        <v>2.04000000000001</v>
      </c>
      <c r="Q18" s="99">
        <v>1.95</v>
      </c>
      <c r="R18" s="99">
        <v>0.0900000000000034</v>
      </c>
      <c r="S18" s="99">
        <v>3.51</v>
      </c>
      <c r="T18" s="99">
        <v>0.555555555555556</v>
      </c>
      <c r="U18" s="117">
        <v>0.0441176470588251</v>
      </c>
      <c r="V18" s="147">
        <v>-1.95</v>
      </c>
    </row>
    <row r="19" ht="15.75" spans="1:22">
      <c r="A19" s="22" t="s">
        <v>159</v>
      </c>
      <c r="B19" s="125" t="s">
        <v>161</v>
      </c>
      <c r="C19" s="125">
        <v>-88.98</v>
      </c>
      <c r="D19" s="125">
        <v>-86.69</v>
      </c>
      <c r="E19" s="125">
        <v>-88.94</v>
      </c>
      <c r="F19" s="125">
        <v>3.95</v>
      </c>
      <c r="G19" s="110"/>
      <c r="H19" s="110"/>
      <c r="I19" s="133"/>
      <c r="J19" s="110"/>
      <c r="K19" s="110"/>
      <c r="L19" s="133"/>
      <c r="M19" s="1"/>
      <c r="N19" s="97"/>
      <c r="O19" s="97"/>
      <c r="P19" s="99">
        <v>2.29000000000001</v>
      </c>
      <c r="Q19" s="99">
        <v>2.25</v>
      </c>
      <c r="R19" s="99">
        <v>0.0400000000000063</v>
      </c>
      <c r="S19" s="99">
        <v>3.95</v>
      </c>
      <c r="T19" s="99">
        <v>0.569620253164557</v>
      </c>
      <c r="U19" s="117">
        <v>0.0174672489082996</v>
      </c>
      <c r="V19" s="110">
        <v>-2.25</v>
      </c>
    </row>
    <row r="20" ht="15.75" spans="1:22">
      <c r="A20" s="22" t="s">
        <v>159</v>
      </c>
      <c r="B20" s="125" t="s">
        <v>162</v>
      </c>
      <c r="C20" s="125">
        <v>-110.77</v>
      </c>
      <c r="D20" s="125">
        <v>-108.34</v>
      </c>
      <c r="E20" s="125">
        <v>-110.73</v>
      </c>
      <c r="F20" s="125">
        <v>4.1</v>
      </c>
      <c r="G20" s="110"/>
      <c r="H20" s="110"/>
      <c r="I20" s="133"/>
      <c r="J20" s="110"/>
      <c r="K20" s="110"/>
      <c r="L20" s="133"/>
      <c r="M20" s="1"/>
      <c r="N20" s="97"/>
      <c r="O20" s="97"/>
      <c r="P20" s="99">
        <v>2.42999999999999</v>
      </c>
      <c r="Q20" s="99">
        <v>2.39</v>
      </c>
      <c r="R20" s="99">
        <v>0.039999999999992</v>
      </c>
      <c r="S20" s="99">
        <v>4.1</v>
      </c>
      <c r="T20" s="99">
        <v>0.582926829268293</v>
      </c>
      <c r="U20" s="117">
        <v>0.016460905349791</v>
      </c>
      <c r="V20" s="110">
        <v>-2.39</v>
      </c>
    </row>
    <row r="21" ht="15.75" spans="1:22">
      <c r="A21" s="22" t="s">
        <v>159</v>
      </c>
      <c r="B21" s="125" t="s">
        <v>163</v>
      </c>
      <c r="C21" s="125">
        <v>-133.36</v>
      </c>
      <c r="D21" s="125">
        <v>-131.09</v>
      </c>
      <c r="E21" s="125">
        <v>-133.33</v>
      </c>
      <c r="F21" s="125">
        <v>3.84</v>
      </c>
      <c r="G21" s="110"/>
      <c r="H21" s="110"/>
      <c r="I21" s="133"/>
      <c r="J21" s="110"/>
      <c r="K21" s="110"/>
      <c r="L21" s="133"/>
      <c r="N21" s="97"/>
      <c r="O21" s="97"/>
      <c r="P21" s="99">
        <v>2.27000000000001</v>
      </c>
      <c r="Q21" s="99">
        <v>2.24000000000001</v>
      </c>
      <c r="R21" s="99">
        <v>0.0300000000000011</v>
      </c>
      <c r="S21" s="99">
        <v>3.84</v>
      </c>
      <c r="T21" s="99">
        <v>0.583333333333336</v>
      </c>
      <c r="U21" s="117">
        <v>0.0132158590308374</v>
      </c>
      <c r="V21" s="110">
        <v>-2.24000000000001</v>
      </c>
    </row>
    <row r="22" ht="15.75" spans="1:22">
      <c r="A22" s="22" t="s">
        <v>159</v>
      </c>
      <c r="B22" s="125" t="s">
        <v>164</v>
      </c>
      <c r="C22" s="125">
        <v>-160.54</v>
      </c>
      <c r="D22" s="125">
        <v>-158.63</v>
      </c>
      <c r="E22" s="125">
        <v>-160.54</v>
      </c>
      <c r="F22" s="125">
        <v>3.58</v>
      </c>
      <c r="G22" s="110"/>
      <c r="H22" s="110"/>
      <c r="I22" s="133"/>
      <c r="J22" s="110"/>
      <c r="K22" s="110"/>
      <c r="L22" s="133"/>
      <c r="N22" s="101"/>
      <c r="O22" s="101"/>
      <c r="P22" s="99">
        <v>1.91</v>
      </c>
      <c r="Q22" s="99">
        <v>1.91</v>
      </c>
      <c r="R22" s="99">
        <v>0</v>
      </c>
      <c r="S22" s="99">
        <v>3.58</v>
      </c>
      <c r="T22" s="99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9"/>
      <c r="Q23" s="99"/>
      <c r="R23" s="99"/>
      <c r="S23" s="99"/>
      <c r="T23" s="99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9"/>
      <c r="Q24" s="99"/>
      <c r="R24" s="99"/>
      <c r="S24" s="99"/>
      <c r="T24" s="99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6"/>
  <sheetViews>
    <sheetView workbookViewId="0">
      <selection activeCell="C15" sqref="C15:J24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165</v>
      </c>
      <c r="B1">
        <v>2</v>
      </c>
    </row>
    <row r="2" spans="1:19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</row>
    <row r="3" spans="1:3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AH3" s="77"/>
      <c r="AI3" s="77"/>
      <c r="AJ3" s="77" t="s">
        <v>166</v>
      </c>
      <c r="AK3" s="77"/>
      <c r="AL3" s="77"/>
    </row>
    <row r="4" spans="1:38">
      <c r="A4" s="1" t="s">
        <v>167</v>
      </c>
      <c r="B4" s="86" t="s">
        <v>133</v>
      </c>
      <c r="D4" s="1" t="s">
        <v>133</v>
      </c>
      <c r="F4" s="1"/>
      <c r="AH4" s="77" t="s">
        <v>168</v>
      </c>
      <c r="AI4" s="77"/>
      <c r="AJ4" s="77"/>
      <c r="AK4" s="77"/>
      <c r="AL4" s="77"/>
    </row>
    <row r="5" spans="1:38">
      <c r="A5" s="1" t="s">
        <v>169</v>
      </c>
      <c r="B5">
        <v>15</v>
      </c>
      <c r="D5">
        <v>45</v>
      </c>
      <c r="H5" s="1"/>
      <c r="AH5" t="s">
        <v>170</v>
      </c>
      <c r="AL5" s="124"/>
    </row>
    <row r="6" spans="1:23">
      <c r="A6" t="s">
        <v>135</v>
      </c>
      <c r="B6">
        <v>0.24</v>
      </c>
      <c r="D6">
        <v>0.36</v>
      </c>
      <c r="J6" s="39"/>
      <c r="S6" s="39"/>
      <c r="W6" s="39"/>
    </row>
    <row r="7" spans="1:23">
      <c r="A7" t="s">
        <v>136</v>
      </c>
      <c r="B7" s="2">
        <v>0.47</v>
      </c>
      <c r="D7" s="2">
        <v>0.5</v>
      </c>
      <c r="J7" s="39"/>
      <c r="S7" s="39"/>
      <c r="W7" s="39"/>
    </row>
    <row r="8" spans="1:6">
      <c r="A8" s="1" t="s">
        <v>171</v>
      </c>
      <c r="B8" s="2">
        <v>0</v>
      </c>
      <c r="D8" s="2">
        <v>0</v>
      </c>
      <c r="F8" s="2"/>
    </row>
    <row r="9" spans="1:17">
      <c r="A9" s="1" t="s">
        <v>172</v>
      </c>
      <c r="B9" s="2">
        <v>0</v>
      </c>
      <c r="D9" s="2">
        <v>0.0333</v>
      </c>
      <c r="F9" s="2"/>
      <c r="Q9" s="39" t="s">
        <v>173</v>
      </c>
    </row>
    <row r="10" spans="2:17">
      <c r="B10" s="2"/>
      <c r="D10" s="2"/>
      <c r="Q10" s="39" t="s">
        <v>174</v>
      </c>
    </row>
    <row r="11" spans="1:32">
      <c r="A11" s="33" t="s">
        <v>175</v>
      </c>
      <c r="B11" s="33"/>
      <c r="C11" s="33"/>
      <c r="D11" s="33"/>
      <c r="E11" s="33"/>
      <c r="F11" s="33"/>
      <c r="G11" s="33"/>
      <c r="H11" s="33"/>
      <c r="I11" s="93" t="s">
        <v>176</v>
      </c>
      <c r="J11" s="77"/>
      <c r="K11" s="77"/>
      <c r="L11" s="94"/>
      <c r="M11" s="94"/>
      <c r="N11" s="40" t="s">
        <v>177</v>
      </c>
      <c r="O11" s="94"/>
      <c r="P11" s="94"/>
      <c r="Q11" s="94"/>
      <c r="R11" s="94"/>
      <c r="S11" s="94"/>
      <c r="T11" s="108"/>
      <c r="U11" s="108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140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I13" s="4" t="s">
        <v>181</v>
      </c>
      <c r="J13" s="4" t="s">
        <v>182</v>
      </c>
      <c r="K13" s="4" t="s">
        <v>183</v>
      </c>
      <c r="L13" s="4"/>
      <c r="M13" s="4"/>
      <c r="N13" s="41" t="s">
        <v>179</v>
      </c>
      <c r="O13" s="41"/>
      <c r="P13" s="41"/>
      <c r="Q13" s="48" t="s">
        <v>180</v>
      </c>
      <c r="R13" s="49"/>
      <c r="S13" s="50"/>
      <c r="T13" s="41"/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14.2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I14" s="4"/>
      <c r="J14" s="4"/>
      <c r="K14" s="4"/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/>
      <c r="U14" s="4"/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ht="15.75" spans="1:32">
      <c r="A15" s="77" t="s">
        <v>154</v>
      </c>
      <c r="B15" s="87" t="s">
        <v>155</v>
      </c>
      <c r="C15" s="88">
        <v>669.1</v>
      </c>
      <c r="D15" s="88">
        <v>13.9</v>
      </c>
      <c r="E15" s="88">
        <v>673.1</v>
      </c>
      <c r="F15" s="88">
        <v>13.9</v>
      </c>
      <c r="G15" s="88">
        <v>669.2</v>
      </c>
      <c r="H15" s="88">
        <v>13.9</v>
      </c>
      <c r="I15" s="88">
        <v>1.5</v>
      </c>
      <c r="J15" s="96">
        <v>43</v>
      </c>
      <c r="K15" s="88"/>
      <c r="L15" s="97"/>
      <c r="M15" s="97"/>
      <c r="N15" s="98">
        <v>4</v>
      </c>
      <c r="O15" s="98">
        <v>0</v>
      </c>
      <c r="P15" s="99">
        <v>15.0962812</v>
      </c>
      <c r="Q15" s="98">
        <v>0.100000000000023</v>
      </c>
      <c r="R15" s="98">
        <v>0</v>
      </c>
      <c r="S15" s="99">
        <v>0.377407030000086</v>
      </c>
      <c r="T15" s="110"/>
      <c r="U15" s="97"/>
      <c r="Y15" s="97" t="s">
        <v>154</v>
      </c>
      <c r="Z15" s="97" t="s">
        <v>155</v>
      </c>
      <c r="AA15" s="116">
        <v>15</v>
      </c>
      <c r="AB15" s="116">
        <v>15</v>
      </c>
      <c r="AC15" s="116">
        <v>0</v>
      </c>
      <c r="AD15" s="116">
        <v>43</v>
      </c>
      <c r="AE15" s="99">
        <v>0.348837209302326</v>
      </c>
      <c r="AF15" s="117">
        <v>0</v>
      </c>
    </row>
    <row r="16" ht="15.75" spans="1:32">
      <c r="A16" s="77" t="s">
        <v>154</v>
      </c>
      <c r="B16" s="87" t="s">
        <v>156</v>
      </c>
      <c r="C16" s="88">
        <v>678.8</v>
      </c>
      <c r="D16" s="88">
        <v>14</v>
      </c>
      <c r="E16" s="88">
        <v>682.8</v>
      </c>
      <c r="F16" s="88">
        <v>14.05</v>
      </c>
      <c r="G16" s="88">
        <v>678.85</v>
      </c>
      <c r="H16" s="88">
        <v>13.7</v>
      </c>
      <c r="I16" s="88">
        <v>1.4</v>
      </c>
      <c r="J16" s="96">
        <v>41</v>
      </c>
      <c r="K16" s="88"/>
      <c r="L16" s="97"/>
      <c r="M16" s="97"/>
      <c r="N16" s="98">
        <v>4</v>
      </c>
      <c r="O16" s="98">
        <v>0.0500000000000007</v>
      </c>
      <c r="P16" s="99">
        <v>15.1862812</v>
      </c>
      <c r="Q16" s="98">
        <v>0.0500000000000682</v>
      </c>
      <c r="R16" s="98">
        <v>-0.300000000000001</v>
      </c>
      <c r="S16" s="99">
        <v>0</v>
      </c>
      <c r="T16" s="111"/>
      <c r="U16" s="97"/>
      <c r="Y16" s="97" t="s">
        <v>154</v>
      </c>
      <c r="Z16" s="97" t="s">
        <v>156</v>
      </c>
      <c r="AA16" s="116">
        <v>15</v>
      </c>
      <c r="AB16" s="116">
        <v>15</v>
      </c>
      <c r="AC16" s="116">
        <v>0</v>
      </c>
      <c r="AD16" s="116">
        <v>41</v>
      </c>
      <c r="AE16" s="99">
        <v>0.365853658536585</v>
      </c>
      <c r="AF16" s="117">
        <v>0</v>
      </c>
    </row>
    <row r="17" ht="15.75" spans="1:32">
      <c r="A17" s="77" t="s">
        <v>154</v>
      </c>
      <c r="B17" s="87" t="s">
        <v>157</v>
      </c>
      <c r="C17" s="88">
        <v>688.5</v>
      </c>
      <c r="D17" s="88">
        <v>14.1</v>
      </c>
      <c r="E17" s="88">
        <v>692.5</v>
      </c>
      <c r="F17" s="88">
        <v>14.2</v>
      </c>
      <c r="G17" s="88">
        <v>688.5</v>
      </c>
      <c r="H17" s="88">
        <v>14</v>
      </c>
      <c r="I17" s="88">
        <v>1.1</v>
      </c>
      <c r="J17" s="96">
        <v>32</v>
      </c>
      <c r="K17" s="88"/>
      <c r="L17" s="100"/>
      <c r="M17" s="100"/>
      <c r="N17" s="98">
        <v>4</v>
      </c>
      <c r="O17" s="98">
        <v>0.0999999999999996</v>
      </c>
      <c r="P17" s="99">
        <v>15.2762812</v>
      </c>
      <c r="Q17" s="98">
        <v>0</v>
      </c>
      <c r="R17" s="98">
        <v>-0.0999999999999996</v>
      </c>
      <c r="S17" s="99">
        <v>0</v>
      </c>
      <c r="T17" s="112"/>
      <c r="U17" s="100"/>
      <c r="Y17" s="100" t="s">
        <v>154</v>
      </c>
      <c r="Z17" s="100" t="s">
        <v>157</v>
      </c>
      <c r="AA17" s="116">
        <v>15</v>
      </c>
      <c r="AB17" s="116">
        <v>15</v>
      </c>
      <c r="AC17" s="116">
        <v>0</v>
      </c>
      <c r="AD17" s="116">
        <v>32</v>
      </c>
      <c r="AE17" s="99">
        <v>0.46875</v>
      </c>
      <c r="AF17" s="117">
        <v>0</v>
      </c>
    </row>
    <row r="18" ht="15.75" spans="1:32">
      <c r="A18" s="77" t="s">
        <v>154</v>
      </c>
      <c r="B18" s="87" t="s">
        <v>158</v>
      </c>
      <c r="C18" s="88">
        <v>603</v>
      </c>
      <c r="D18" s="88">
        <v>13.9</v>
      </c>
      <c r="E18" s="88">
        <v>604.8</v>
      </c>
      <c r="F18" s="88">
        <v>13.9</v>
      </c>
      <c r="G18" s="88">
        <v>603</v>
      </c>
      <c r="H18" s="88">
        <v>13.9</v>
      </c>
      <c r="I18" s="88">
        <v>1</v>
      </c>
      <c r="J18" s="96">
        <v>29</v>
      </c>
      <c r="K18" s="88"/>
      <c r="L18" s="97"/>
      <c r="M18" s="97"/>
      <c r="N18" s="98">
        <v>1.79999999999995</v>
      </c>
      <c r="O18" s="98">
        <v>0</v>
      </c>
      <c r="P18" s="99">
        <v>6.79332653999983</v>
      </c>
      <c r="Q18" s="98">
        <v>0</v>
      </c>
      <c r="R18" s="98">
        <v>0</v>
      </c>
      <c r="S18" s="99">
        <v>0</v>
      </c>
      <c r="T18" s="111"/>
      <c r="U18" s="97"/>
      <c r="Y18" s="97" t="s">
        <v>154</v>
      </c>
      <c r="Z18" s="97" t="s">
        <v>158</v>
      </c>
      <c r="AA18" s="116">
        <v>7</v>
      </c>
      <c r="AB18" s="116">
        <v>7</v>
      </c>
      <c r="AC18" s="116">
        <v>0</v>
      </c>
      <c r="AD18" s="116">
        <v>29</v>
      </c>
      <c r="AE18" s="99">
        <v>0.241379310344828</v>
      </c>
      <c r="AF18" s="117">
        <v>0</v>
      </c>
    </row>
    <row r="19" ht="15.75" spans="1:32">
      <c r="A19" s="77" t="s">
        <v>159</v>
      </c>
      <c r="B19" s="87" t="s">
        <v>160</v>
      </c>
      <c r="C19" s="88">
        <v>619.7</v>
      </c>
      <c r="D19" s="88">
        <v>14</v>
      </c>
      <c r="E19" s="88">
        <v>628.4</v>
      </c>
      <c r="F19" s="88">
        <v>14</v>
      </c>
      <c r="G19" s="88">
        <v>619.9</v>
      </c>
      <c r="H19" s="88">
        <v>14</v>
      </c>
      <c r="I19" s="88">
        <v>2.3</v>
      </c>
      <c r="J19" s="96">
        <v>67</v>
      </c>
      <c r="K19" s="88"/>
      <c r="L19" s="97"/>
      <c r="M19" s="97"/>
      <c r="N19" s="98">
        <v>8.69999999999993</v>
      </c>
      <c r="O19" s="98">
        <v>0</v>
      </c>
      <c r="P19" s="99">
        <v>32.8344116099997</v>
      </c>
      <c r="Q19" s="98">
        <v>0.199999999999932</v>
      </c>
      <c r="R19" s="98">
        <v>0</v>
      </c>
      <c r="S19" s="99">
        <v>0.754814059999743</v>
      </c>
      <c r="T19" s="111"/>
      <c r="U19" s="97"/>
      <c r="Y19" s="97" t="s">
        <v>159</v>
      </c>
      <c r="Z19" s="97" t="s">
        <v>160</v>
      </c>
      <c r="AA19" s="116">
        <v>33</v>
      </c>
      <c r="AB19" s="116">
        <v>32</v>
      </c>
      <c r="AC19" s="116">
        <v>1</v>
      </c>
      <c r="AD19" s="116">
        <v>67</v>
      </c>
      <c r="AE19" s="99">
        <v>0.477611940298507</v>
      </c>
      <c r="AF19" s="117">
        <v>0.0303030303030303</v>
      </c>
    </row>
    <row r="20" ht="15.75" spans="1:32">
      <c r="A20" s="77" t="s">
        <v>159</v>
      </c>
      <c r="B20" s="87" t="s">
        <v>161</v>
      </c>
      <c r="C20" s="88">
        <v>607.6</v>
      </c>
      <c r="D20" s="88">
        <v>14.3</v>
      </c>
      <c r="E20" s="88">
        <v>615.5</v>
      </c>
      <c r="F20" s="88">
        <v>14.2</v>
      </c>
      <c r="G20" s="88">
        <v>607.9</v>
      </c>
      <c r="H20" s="88">
        <v>14.3</v>
      </c>
      <c r="I20" s="88">
        <v>2.8</v>
      </c>
      <c r="J20" s="96">
        <v>81</v>
      </c>
      <c r="K20" s="88"/>
      <c r="L20" s="100"/>
      <c r="M20" s="100"/>
      <c r="N20" s="98">
        <v>7.89999999999998</v>
      </c>
      <c r="O20" s="98">
        <v>-0.100000000000001</v>
      </c>
      <c r="P20" s="99">
        <v>29.6351553699999</v>
      </c>
      <c r="Q20" s="98">
        <v>0.299999999999955</v>
      </c>
      <c r="R20" s="98">
        <v>0</v>
      </c>
      <c r="S20" s="99">
        <v>1.13222108999983</v>
      </c>
      <c r="T20" s="111"/>
      <c r="U20" s="97"/>
      <c r="Y20" s="100" t="s">
        <v>159</v>
      </c>
      <c r="Z20" s="100" t="s">
        <v>161</v>
      </c>
      <c r="AA20" s="116">
        <v>30</v>
      </c>
      <c r="AB20" s="116">
        <v>29</v>
      </c>
      <c r="AC20" s="116">
        <v>1</v>
      </c>
      <c r="AD20" s="116">
        <v>81</v>
      </c>
      <c r="AE20" s="99">
        <v>0.358024691358025</v>
      </c>
      <c r="AF20" s="117">
        <v>0.0333333333333333</v>
      </c>
    </row>
    <row r="21" ht="15.75" spans="1:32">
      <c r="A21" s="77" t="s">
        <v>159</v>
      </c>
      <c r="B21" s="87" t="s">
        <v>162</v>
      </c>
      <c r="C21" s="88">
        <v>645.1</v>
      </c>
      <c r="D21" s="88">
        <v>14.3</v>
      </c>
      <c r="E21" s="88">
        <v>654.4</v>
      </c>
      <c r="F21" s="88">
        <v>14.2</v>
      </c>
      <c r="G21" s="88">
        <v>645.1</v>
      </c>
      <c r="H21" s="88">
        <v>14.3</v>
      </c>
      <c r="I21" s="88">
        <v>3</v>
      </c>
      <c r="J21" s="96">
        <v>87</v>
      </c>
      <c r="K21" s="88"/>
      <c r="L21" s="97"/>
      <c r="M21" s="97"/>
      <c r="N21" s="98">
        <v>9.29999999999995</v>
      </c>
      <c r="O21" s="98">
        <v>-0.100000000000001</v>
      </c>
      <c r="P21" s="99">
        <v>34.9188537899998</v>
      </c>
      <c r="Q21" s="98">
        <v>0</v>
      </c>
      <c r="R21" s="98">
        <v>0</v>
      </c>
      <c r="S21" s="99">
        <v>0</v>
      </c>
      <c r="T21" s="113"/>
      <c r="U21" s="101"/>
      <c r="Y21" s="97" t="s">
        <v>159</v>
      </c>
      <c r="Z21" s="97" t="s">
        <v>162</v>
      </c>
      <c r="AA21" s="116">
        <v>35</v>
      </c>
      <c r="AB21" s="116">
        <v>35</v>
      </c>
      <c r="AC21" s="116">
        <v>0</v>
      </c>
      <c r="AD21" s="116">
        <v>87</v>
      </c>
      <c r="AE21" s="99">
        <v>0.402298850574713</v>
      </c>
      <c r="AF21" s="117">
        <v>0</v>
      </c>
    </row>
    <row r="22" ht="15.75" spans="1:32">
      <c r="A22" s="77" t="s">
        <v>159</v>
      </c>
      <c r="B22" s="87" t="s">
        <v>163</v>
      </c>
      <c r="C22" s="88">
        <v>565.1</v>
      </c>
      <c r="D22" s="88">
        <v>14.3</v>
      </c>
      <c r="E22" s="88">
        <v>577</v>
      </c>
      <c r="F22" s="88">
        <v>14.2</v>
      </c>
      <c r="G22" s="88">
        <v>565.1</v>
      </c>
      <c r="H22" s="88">
        <v>14.3</v>
      </c>
      <c r="I22" s="88">
        <v>3.1</v>
      </c>
      <c r="J22" s="96">
        <v>90</v>
      </c>
      <c r="K22" s="88"/>
      <c r="L22" s="97"/>
      <c r="M22" s="97"/>
      <c r="N22" s="98">
        <v>11.9</v>
      </c>
      <c r="O22" s="98">
        <v>-0.100000000000001</v>
      </c>
      <c r="P22" s="99">
        <v>44.7314365699999</v>
      </c>
      <c r="Q22" s="98">
        <v>0</v>
      </c>
      <c r="R22" s="98">
        <v>0</v>
      </c>
      <c r="S22" s="99">
        <v>0</v>
      </c>
      <c r="T22" s="111"/>
      <c r="U22" s="97"/>
      <c r="Y22" s="97" t="s">
        <v>159</v>
      </c>
      <c r="Z22" s="97" t="s">
        <v>163</v>
      </c>
      <c r="AA22" s="116">
        <v>45</v>
      </c>
      <c r="AB22" s="116">
        <v>45</v>
      </c>
      <c r="AC22" s="116">
        <v>0</v>
      </c>
      <c r="AD22" s="116">
        <v>90</v>
      </c>
      <c r="AE22" s="99">
        <v>0.5</v>
      </c>
      <c r="AF22" s="117">
        <v>0</v>
      </c>
    </row>
    <row r="23" ht="15.75" spans="1:32">
      <c r="A23" s="77" t="s">
        <v>159</v>
      </c>
      <c r="B23" s="87" t="s">
        <v>164</v>
      </c>
      <c r="C23" s="88">
        <v>720.5</v>
      </c>
      <c r="D23" s="88">
        <v>14.3</v>
      </c>
      <c r="E23" s="88">
        <v>731.3</v>
      </c>
      <c r="F23" s="88">
        <v>14.2</v>
      </c>
      <c r="G23" s="88">
        <v>720.5</v>
      </c>
      <c r="H23" s="88">
        <v>14.3</v>
      </c>
      <c r="I23" s="88">
        <v>3</v>
      </c>
      <c r="J23" s="96">
        <v>87</v>
      </c>
      <c r="K23" s="88"/>
      <c r="L23" s="97"/>
      <c r="M23" s="97"/>
      <c r="N23" s="98">
        <v>10.8</v>
      </c>
      <c r="O23" s="98">
        <v>-0.100000000000001</v>
      </c>
      <c r="P23" s="99">
        <v>40.5799592399998</v>
      </c>
      <c r="Q23" s="98">
        <v>0</v>
      </c>
      <c r="R23" s="98">
        <v>0</v>
      </c>
      <c r="S23" s="99">
        <v>0</v>
      </c>
      <c r="T23" s="111"/>
      <c r="U23" s="97"/>
      <c r="Y23" s="97" t="s">
        <v>159</v>
      </c>
      <c r="Z23" s="97" t="s">
        <v>164</v>
      </c>
      <c r="AA23" s="116">
        <v>41</v>
      </c>
      <c r="AB23" s="116">
        <v>41</v>
      </c>
      <c r="AC23" s="116">
        <v>0</v>
      </c>
      <c r="AD23" s="116">
        <v>87</v>
      </c>
      <c r="AE23" s="99">
        <v>0.471264367816092</v>
      </c>
      <c r="AF23" s="117">
        <v>0</v>
      </c>
    </row>
    <row r="24" ht="15.75" spans="1:32">
      <c r="A24" s="77" t="s">
        <v>159</v>
      </c>
      <c r="B24" s="87" t="s">
        <v>195</v>
      </c>
      <c r="C24" s="88">
        <v>804.7</v>
      </c>
      <c r="D24" s="88">
        <v>14.3</v>
      </c>
      <c r="E24" s="88">
        <v>813.9</v>
      </c>
      <c r="F24" s="88">
        <v>14.2</v>
      </c>
      <c r="G24" s="88">
        <v>804.6</v>
      </c>
      <c r="H24" s="88">
        <v>14.3</v>
      </c>
      <c r="I24" s="88">
        <v>2.6</v>
      </c>
      <c r="J24" s="96">
        <v>75</v>
      </c>
      <c r="K24" s="88"/>
      <c r="L24" s="101"/>
      <c r="M24" s="101"/>
      <c r="N24" s="98">
        <v>9.19999999999993</v>
      </c>
      <c r="O24" s="98">
        <v>-0.100000000000001</v>
      </c>
      <c r="P24" s="99">
        <v>34.5414467599997</v>
      </c>
      <c r="Q24" s="98">
        <v>-0.100000000000023</v>
      </c>
      <c r="R24" s="98">
        <v>0</v>
      </c>
      <c r="S24" s="99">
        <v>0</v>
      </c>
      <c r="T24" s="113"/>
      <c r="U24" s="101"/>
      <c r="Y24" s="101" t="s">
        <v>159</v>
      </c>
      <c r="Z24" s="101" t="s">
        <v>195</v>
      </c>
      <c r="AA24" s="116">
        <v>35</v>
      </c>
      <c r="AB24" s="116">
        <v>35</v>
      </c>
      <c r="AC24" s="116">
        <v>0</v>
      </c>
      <c r="AD24" s="116">
        <v>75</v>
      </c>
      <c r="AE24" s="99">
        <v>0.466666666666667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2"/>
      <c r="K25" s="91"/>
      <c r="L25" s="97"/>
      <c r="M25" s="97"/>
      <c r="N25" s="98"/>
      <c r="O25" s="98"/>
      <c r="P25" s="99"/>
      <c r="Q25" s="98"/>
      <c r="R25" s="98"/>
      <c r="S25" s="99"/>
      <c r="T25" s="111"/>
      <c r="U25" s="97"/>
      <c r="Y25" s="97"/>
      <c r="Z25" s="97"/>
      <c r="AA25" s="116"/>
      <c r="AB25" s="116"/>
      <c r="AC25" s="116"/>
      <c r="AD25" s="116"/>
      <c r="AE25" s="99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2"/>
      <c r="K26" s="91"/>
      <c r="L26" s="97"/>
      <c r="M26" s="97"/>
      <c r="N26" s="98"/>
      <c r="O26" s="98"/>
      <c r="P26" s="99"/>
      <c r="Q26" s="98"/>
      <c r="R26" s="98"/>
      <c r="S26" s="99"/>
      <c r="T26" s="111"/>
      <c r="U26" s="97"/>
      <c r="Y26" s="97"/>
      <c r="Z26" s="97"/>
      <c r="AA26" s="116"/>
      <c r="AB26" s="116"/>
      <c r="AC26" s="116"/>
      <c r="AD26" s="116"/>
      <c r="AE26" s="99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2"/>
      <c r="K27" s="91"/>
      <c r="L27" s="101"/>
      <c r="M27" s="101"/>
      <c r="N27" s="98"/>
      <c r="O27" s="98"/>
      <c r="P27" s="99"/>
      <c r="Q27" s="98"/>
      <c r="R27" s="98"/>
      <c r="S27" s="99"/>
      <c r="T27" s="113"/>
      <c r="U27" s="101"/>
      <c r="Y27" s="101"/>
      <c r="Z27" s="101"/>
      <c r="AA27" s="116"/>
      <c r="AB27" s="116"/>
      <c r="AC27" s="116"/>
      <c r="AD27" s="116"/>
      <c r="AE27" s="99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2"/>
      <c r="K28" s="91"/>
      <c r="L28" s="100"/>
      <c r="M28" s="100"/>
      <c r="N28" s="103"/>
      <c r="O28" s="103"/>
      <c r="P28" s="104"/>
      <c r="Q28" s="103"/>
      <c r="R28" s="103"/>
      <c r="S28" s="99"/>
      <c r="T28" s="112"/>
      <c r="U28" s="100"/>
      <c r="Y28" s="100"/>
      <c r="Z28" s="100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2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2"/>
      <c r="K30" s="91"/>
      <c r="L30" s="97"/>
      <c r="M30" s="97"/>
      <c r="N30" s="98"/>
      <c r="O30" s="98"/>
      <c r="P30" s="99"/>
      <c r="Q30" s="98"/>
      <c r="R30" s="98"/>
      <c r="S30" s="99"/>
      <c r="T30" s="113"/>
      <c r="U30" s="101"/>
      <c r="Y30" s="97"/>
      <c r="Z30" s="97"/>
      <c r="AA30" s="116"/>
      <c r="AB30" s="116"/>
      <c r="AC30" s="116"/>
      <c r="AD30" s="116"/>
      <c r="AE30" s="99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2"/>
      <c r="K31" s="91"/>
      <c r="L31" s="100"/>
      <c r="M31" s="100"/>
      <c r="N31" s="98"/>
      <c r="O31" s="98"/>
      <c r="P31" s="99"/>
      <c r="Q31" s="98"/>
      <c r="R31" s="98"/>
      <c r="S31" s="99"/>
      <c r="T31" s="111"/>
      <c r="U31" s="97"/>
      <c r="Y31" s="100"/>
      <c r="Z31" s="100"/>
      <c r="AA31" s="116"/>
      <c r="AB31" s="116"/>
      <c r="AC31" s="116"/>
      <c r="AD31" s="116"/>
      <c r="AE31" s="99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2"/>
      <c r="K32" s="91"/>
      <c r="L32" s="97"/>
      <c r="M32" s="97"/>
      <c r="N32" s="98"/>
      <c r="O32" s="98"/>
      <c r="P32" s="99"/>
      <c r="Q32" s="98"/>
      <c r="R32" s="98"/>
      <c r="S32" s="99"/>
      <c r="T32" s="111"/>
      <c r="U32" s="97"/>
      <c r="Y32" s="97"/>
      <c r="Z32" s="97"/>
      <c r="AA32" s="116"/>
      <c r="AB32" s="116"/>
      <c r="AC32" s="116"/>
      <c r="AD32" s="116"/>
      <c r="AE32" s="99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2"/>
      <c r="K33" s="91"/>
      <c r="L33" s="97"/>
      <c r="M33" s="97"/>
      <c r="N33" s="98"/>
      <c r="O33" s="98"/>
      <c r="P33" s="99"/>
      <c r="Q33" s="98"/>
      <c r="R33" s="98"/>
      <c r="S33" s="99"/>
      <c r="T33" s="113"/>
      <c r="U33" s="101"/>
      <c r="Y33" s="97"/>
      <c r="Z33" s="97"/>
      <c r="AA33" s="116"/>
      <c r="AB33" s="116"/>
      <c r="AC33" s="116"/>
      <c r="AD33" s="116"/>
      <c r="AE33" s="99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2"/>
      <c r="K34" s="91"/>
      <c r="L34" s="100"/>
      <c r="M34" s="100"/>
      <c r="N34" s="98"/>
      <c r="O34" s="98"/>
      <c r="P34" s="99"/>
      <c r="Q34" s="98"/>
      <c r="R34" s="98"/>
      <c r="S34" s="99"/>
      <c r="T34" s="111"/>
      <c r="U34" s="97"/>
      <c r="Y34" s="100"/>
      <c r="Z34" s="100"/>
      <c r="AA34" s="116"/>
      <c r="AB34" s="116"/>
      <c r="AC34" s="116"/>
      <c r="AD34" s="116"/>
      <c r="AE34" s="99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2"/>
      <c r="K35" s="91"/>
      <c r="L35" s="97"/>
      <c r="M35" s="97"/>
      <c r="N35" s="98"/>
      <c r="O35" s="98"/>
      <c r="P35" s="99"/>
      <c r="Q35" s="98"/>
      <c r="R35" s="98"/>
      <c r="S35" s="99"/>
      <c r="T35" s="111"/>
      <c r="U35" s="97"/>
      <c r="Y35" s="97"/>
      <c r="Z35" s="97"/>
      <c r="AA35" s="116"/>
      <c r="AB35" s="116"/>
      <c r="AC35" s="116"/>
      <c r="AD35" s="116"/>
      <c r="AE35" s="99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2"/>
      <c r="K36" s="91"/>
      <c r="L36" s="97"/>
      <c r="M36" s="97"/>
      <c r="N36" s="98"/>
      <c r="O36" s="98"/>
      <c r="P36" s="99"/>
      <c r="Q36" s="98"/>
      <c r="R36" s="98"/>
      <c r="S36" s="99"/>
      <c r="T36" s="113"/>
      <c r="U36" s="101"/>
      <c r="Y36" s="97"/>
      <c r="Z36" s="97"/>
      <c r="AA36" s="116"/>
      <c r="AB36" s="116"/>
      <c r="AC36" s="116"/>
      <c r="AD36" s="116"/>
      <c r="AE36" s="99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2"/>
      <c r="K37" s="91"/>
      <c r="L37" s="97"/>
      <c r="M37" s="97"/>
      <c r="N37" s="98"/>
      <c r="O37" s="98"/>
      <c r="P37" s="99"/>
      <c r="Q37" s="98"/>
      <c r="R37" s="98"/>
      <c r="S37" s="99"/>
      <c r="T37" s="111"/>
      <c r="U37" s="97"/>
      <c r="Y37" s="97"/>
      <c r="Z37" s="97"/>
      <c r="AA37" s="116"/>
      <c r="AB37" s="116"/>
      <c r="AC37" s="116"/>
      <c r="AD37" s="116"/>
      <c r="AE37" s="99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2"/>
      <c r="K38" s="102"/>
      <c r="L38" s="101"/>
      <c r="M38" s="101"/>
      <c r="N38" s="98"/>
      <c r="O38" s="98"/>
      <c r="P38" s="99"/>
      <c r="Q38" s="98"/>
      <c r="R38" s="98"/>
      <c r="S38" s="99"/>
      <c r="T38" s="111"/>
      <c r="U38" s="97"/>
      <c r="Y38" s="101"/>
      <c r="Z38" s="101"/>
      <c r="AA38" s="116"/>
      <c r="AB38" s="116"/>
      <c r="AC38" s="116"/>
      <c r="AD38" s="116"/>
      <c r="AE38" s="99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2"/>
      <c r="K39" s="91"/>
      <c r="L39" s="97"/>
      <c r="M39" s="97"/>
      <c r="N39" s="98"/>
      <c r="O39" s="98"/>
      <c r="P39" s="99"/>
      <c r="Q39" s="98"/>
      <c r="R39" s="98"/>
      <c r="S39" s="99"/>
      <c r="T39" s="113"/>
      <c r="U39" s="101"/>
      <c r="Y39" s="97"/>
      <c r="Z39" s="97"/>
      <c r="AA39" s="116"/>
      <c r="AB39" s="116"/>
      <c r="AC39" s="116"/>
      <c r="AD39" s="116"/>
      <c r="AE39" s="99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2"/>
      <c r="K40" s="91"/>
      <c r="L40" s="97"/>
      <c r="M40" s="97"/>
      <c r="N40" s="98"/>
      <c r="O40" s="98"/>
      <c r="P40" s="99"/>
      <c r="Q40" s="98"/>
      <c r="R40" s="98"/>
      <c r="S40" s="99"/>
      <c r="T40" s="111"/>
      <c r="U40" s="97"/>
      <c r="Y40" s="97"/>
      <c r="Z40" s="97"/>
      <c r="AA40" s="116"/>
      <c r="AB40" s="116"/>
      <c r="AC40" s="116"/>
      <c r="AD40" s="116"/>
      <c r="AE40" s="99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1"/>
      <c r="M41" s="101"/>
      <c r="N41" s="98"/>
      <c r="O41" s="98"/>
      <c r="P41" s="99"/>
      <c r="Q41" s="98"/>
      <c r="R41" s="98"/>
      <c r="S41" s="99"/>
      <c r="T41" s="111"/>
      <c r="U41" s="97"/>
      <c r="Y41" s="101"/>
      <c r="Z41" s="101"/>
      <c r="AA41" s="116"/>
      <c r="AB41" s="116"/>
      <c r="AC41" s="116"/>
      <c r="AD41" s="116"/>
      <c r="AE41" s="99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100"/>
      <c r="M42" s="100"/>
      <c r="N42" s="98"/>
      <c r="O42" s="98"/>
      <c r="P42" s="99"/>
      <c r="Q42" s="98"/>
      <c r="R42" s="98"/>
      <c r="S42" s="99"/>
      <c r="T42" s="113"/>
      <c r="U42" s="101"/>
      <c r="Y42" s="100"/>
      <c r="Z42" s="100"/>
      <c r="AA42" s="116"/>
      <c r="AB42" s="116"/>
      <c r="AC42" s="116"/>
      <c r="AD42" s="116"/>
      <c r="AE42" s="99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A13" sqref="A13:F30"/>
    </sheetView>
  </sheetViews>
  <sheetFormatPr defaultColWidth="9" defaultRowHeight="13.5" outlineLevelCol="6"/>
  <sheetData>
    <row r="1" spans="1:2">
      <c r="A1" s="1" t="s">
        <v>196</v>
      </c>
      <c r="B1">
        <v>3</v>
      </c>
    </row>
    <row r="2" spans="1:2">
      <c r="A2" s="1" t="s">
        <v>197</v>
      </c>
      <c r="B2" s="1">
        <v>5</v>
      </c>
    </row>
    <row r="7" spans="7:7">
      <c r="G7" s="1"/>
    </row>
    <row r="11" ht="14.25" spans="1:6">
      <c r="A11" s="4" t="s">
        <v>141</v>
      </c>
      <c r="B11" s="4" t="s">
        <v>198</v>
      </c>
      <c r="C11" s="72" t="s">
        <v>146</v>
      </c>
      <c r="D11" s="73"/>
      <c r="E11" s="74" t="s">
        <v>199</v>
      </c>
      <c r="F11" s="74" t="s">
        <v>149</v>
      </c>
    </row>
    <row r="12" ht="15" spans="1:6">
      <c r="A12" s="4"/>
      <c r="B12" s="4"/>
      <c r="C12" s="75" t="s">
        <v>151</v>
      </c>
      <c r="D12" s="75" t="s">
        <v>152</v>
      </c>
      <c r="E12" s="76"/>
      <c r="F12" s="76"/>
    </row>
    <row r="13" ht="15.75" spans="1:6">
      <c r="A13" s="77" t="s">
        <v>200</v>
      </c>
      <c r="B13" s="77" t="s">
        <v>201</v>
      </c>
      <c r="C13" s="78">
        <v>0.18</v>
      </c>
      <c r="D13" s="79" t="s">
        <v>202</v>
      </c>
      <c r="E13" s="80">
        <v>0.01</v>
      </c>
      <c r="F13" s="81">
        <v>0.0127</v>
      </c>
    </row>
    <row r="14" ht="15" spans="1:6">
      <c r="A14" s="77" t="s">
        <v>200</v>
      </c>
      <c r="B14" s="77" t="s">
        <v>203</v>
      </c>
      <c r="C14" s="82">
        <v>0.3</v>
      </c>
      <c r="D14" s="79" t="s">
        <v>202</v>
      </c>
      <c r="E14" s="83"/>
      <c r="F14" s="84"/>
    </row>
    <row r="15" ht="15" spans="1:6">
      <c r="A15" s="77" t="s">
        <v>200</v>
      </c>
      <c r="B15" s="77" t="s">
        <v>204</v>
      </c>
      <c r="C15" s="82">
        <v>0.45</v>
      </c>
      <c r="D15" s="79" t="s">
        <v>202</v>
      </c>
      <c r="E15" s="83"/>
      <c r="F15" s="84"/>
    </row>
    <row r="16" ht="15" spans="1:6">
      <c r="A16" s="77" t="s">
        <v>200</v>
      </c>
      <c r="B16" s="77" t="s">
        <v>205</v>
      </c>
      <c r="C16" s="82">
        <v>0.62</v>
      </c>
      <c r="D16" s="79" t="s">
        <v>202</v>
      </c>
      <c r="E16" s="83"/>
      <c r="F16" s="84"/>
    </row>
    <row r="17" ht="15" spans="1:6">
      <c r="A17" s="77" t="s">
        <v>200</v>
      </c>
      <c r="B17" s="77" t="s">
        <v>206</v>
      </c>
      <c r="C17" s="82">
        <v>0.79</v>
      </c>
      <c r="D17" s="79">
        <v>0.78</v>
      </c>
      <c r="E17" s="83"/>
      <c r="F17" s="84"/>
    </row>
    <row r="18" ht="15" spans="1:6">
      <c r="A18" s="77" t="s">
        <v>200</v>
      </c>
      <c r="B18" s="77" t="s">
        <v>207</v>
      </c>
      <c r="C18" s="85">
        <v>0.01</v>
      </c>
      <c r="D18" s="79" t="s">
        <v>202</v>
      </c>
      <c r="E18" s="83"/>
      <c r="F18" s="84"/>
    </row>
    <row r="19" ht="15.75" spans="1:6">
      <c r="A19" s="77" t="s">
        <v>208</v>
      </c>
      <c r="B19" s="77" t="s">
        <v>201</v>
      </c>
      <c r="C19" s="78">
        <v>0.13</v>
      </c>
      <c r="D19" s="79" t="s">
        <v>202</v>
      </c>
      <c r="E19" s="83">
        <v>0.03</v>
      </c>
      <c r="F19" s="84">
        <v>0.0411</v>
      </c>
    </row>
    <row r="20" ht="15" spans="1:6">
      <c r="A20" s="77" t="s">
        <v>208</v>
      </c>
      <c r="B20" s="77" t="s">
        <v>203</v>
      </c>
      <c r="C20" s="82">
        <v>0.28</v>
      </c>
      <c r="D20" s="79" t="s">
        <v>202</v>
      </c>
      <c r="E20" s="83"/>
      <c r="F20" s="84"/>
    </row>
    <row r="21" ht="15" spans="1:6">
      <c r="A21" s="77" t="s">
        <v>208</v>
      </c>
      <c r="B21" s="77" t="s">
        <v>204</v>
      </c>
      <c r="C21" s="82">
        <v>0.41</v>
      </c>
      <c r="D21" s="79" t="s">
        <v>202</v>
      </c>
      <c r="E21" s="83"/>
      <c r="F21" s="84"/>
    </row>
    <row r="22" ht="15" spans="1:6">
      <c r="A22" s="77" t="s">
        <v>208</v>
      </c>
      <c r="B22" s="77" t="s">
        <v>205</v>
      </c>
      <c r="C22" s="82">
        <v>0.57</v>
      </c>
      <c r="D22" s="79" t="s">
        <v>202</v>
      </c>
      <c r="E22" s="83"/>
      <c r="F22" s="84"/>
    </row>
    <row r="23" ht="15" spans="1:6">
      <c r="A23" s="77" t="s">
        <v>208</v>
      </c>
      <c r="B23" s="77" t="s">
        <v>206</v>
      </c>
      <c r="C23" s="82">
        <v>0.73</v>
      </c>
      <c r="D23" s="79">
        <v>0.7</v>
      </c>
      <c r="E23" s="83"/>
      <c r="F23" s="84"/>
    </row>
    <row r="24" ht="15" spans="1:6">
      <c r="A24" s="77" t="s">
        <v>208</v>
      </c>
      <c r="B24" s="77" t="s">
        <v>207</v>
      </c>
      <c r="C24" s="85">
        <v>0.03</v>
      </c>
      <c r="D24" s="79" t="s">
        <v>202</v>
      </c>
      <c r="E24" s="83"/>
      <c r="F24" s="84"/>
    </row>
    <row r="25" ht="15.75" spans="1:6">
      <c r="A25" s="77" t="s">
        <v>209</v>
      </c>
      <c r="B25" s="77" t="s">
        <v>201</v>
      </c>
      <c r="C25" s="78">
        <v>0.15</v>
      </c>
      <c r="D25" s="79" t="s">
        <v>202</v>
      </c>
      <c r="E25" s="83">
        <v>0.04</v>
      </c>
      <c r="F25" s="84">
        <v>0.0482</v>
      </c>
    </row>
    <row r="26" ht="15" spans="1:6">
      <c r="A26" s="77" t="s">
        <v>209</v>
      </c>
      <c r="B26" s="77" t="s">
        <v>203</v>
      </c>
      <c r="C26" s="82">
        <v>0.32</v>
      </c>
      <c r="D26" s="79" t="s">
        <v>202</v>
      </c>
      <c r="E26" s="83"/>
      <c r="F26" s="84"/>
    </row>
    <row r="27" ht="15" spans="1:6">
      <c r="A27" s="77" t="s">
        <v>209</v>
      </c>
      <c r="B27" s="77" t="s">
        <v>204</v>
      </c>
      <c r="C27" s="82">
        <v>0.48</v>
      </c>
      <c r="D27" s="79" t="s">
        <v>202</v>
      </c>
      <c r="E27" s="83"/>
      <c r="F27" s="84"/>
    </row>
    <row r="28" ht="15" spans="1:6">
      <c r="A28" s="77" t="s">
        <v>209</v>
      </c>
      <c r="B28" s="77" t="s">
        <v>205</v>
      </c>
      <c r="C28" s="82">
        <v>0.64</v>
      </c>
      <c r="D28" s="79" t="s">
        <v>202</v>
      </c>
      <c r="E28" s="83"/>
      <c r="F28" s="84"/>
    </row>
    <row r="29" ht="15" spans="1:6">
      <c r="A29" s="77" t="s">
        <v>209</v>
      </c>
      <c r="B29" s="77" t="s">
        <v>206</v>
      </c>
      <c r="C29" s="82">
        <v>0.83</v>
      </c>
      <c r="D29" s="79">
        <v>0.79</v>
      </c>
      <c r="E29" s="83"/>
      <c r="F29" s="84"/>
    </row>
    <row r="30" ht="15" spans="1:6">
      <c r="A30" s="77" t="s">
        <v>209</v>
      </c>
      <c r="B30" s="77" t="s">
        <v>207</v>
      </c>
      <c r="C30" s="85">
        <v>0.04</v>
      </c>
      <c r="D30" s="79" t="s">
        <v>202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M8" sqref="M8"/>
    </sheetView>
  </sheetViews>
  <sheetFormatPr defaultColWidth="9" defaultRowHeight="13.5"/>
  <sheetData>
    <row r="3" spans="7:7">
      <c r="G3" t="s">
        <v>210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2:B2"/>
  <sheetViews>
    <sheetView workbookViewId="0">
      <selection activeCell="L6" sqref="L6"/>
    </sheetView>
  </sheetViews>
  <sheetFormatPr defaultColWidth="9" defaultRowHeight="13.5" outlineLevelRow="1" outlineLevelCol="1"/>
  <sheetData>
    <row r="2" spans="1:2">
      <c r="A2" t="s">
        <v>18</v>
      </c>
      <c r="B2" t="s">
        <v>19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91"/>
  <sheetViews>
    <sheetView workbookViewId="0">
      <selection activeCell="A1" sqref="A1:F8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141</v>
      </c>
      <c r="B1" s="1" t="s">
        <v>211</v>
      </c>
      <c r="C1" s="1" t="s">
        <v>212</v>
      </c>
      <c r="D1" s="1" t="s">
        <v>213</v>
      </c>
      <c r="E1" s="1" t="s">
        <v>214</v>
      </c>
      <c r="F1" s="1" t="s">
        <v>215</v>
      </c>
      <c r="J1" s="1" t="s">
        <v>216</v>
      </c>
      <c r="K1" s="1" t="s">
        <v>141</v>
      </c>
      <c r="L1" s="1" t="s">
        <v>211</v>
      </c>
      <c r="M1" s="1" t="s">
        <v>217</v>
      </c>
      <c r="N1" s="1" t="s">
        <v>218</v>
      </c>
      <c r="O1" s="1" t="s">
        <v>214</v>
      </c>
      <c r="P1" s="1" t="s">
        <v>215</v>
      </c>
    </row>
    <row r="2" spans="1:15">
      <c r="A2" s="70" t="s">
        <v>219</v>
      </c>
      <c r="B2" s="1" t="s">
        <v>202</v>
      </c>
      <c r="C2">
        <v>0</v>
      </c>
      <c r="D2">
        <v>1.28664</v>
      </c>
      <c r="E2">
        <v>0</v>
      </c>
      <c r="F2">
        <v>0</v>
      </c>
      <c r="J2" s="1"/>
      <c r="K2" s="70" t="s">
        <v>219</v>
      </c>
      <c r="L2" s="1" t="s">
        <v>202</v>
      </c>
      <c r="M2">
        <v>0</v>
      </c>
      <c r="N2">
        <v>1.71951</v>
      </c>
      <c r="O2">
        <v>0</v>
      </c>
    </row>
    <row r="3" spans="1:14">
      <c r="A3" s="39" t="s">
        <v>158</v>
      </c>
      <c r="B3" s="70" t="s">
        <v>219</v>
      </c>
      <c r="C3">
        <v>1.23465</v>
      </c>
      <c r="D3">
        <v>1.28664</v>
      </c>
      <c r="E3">
        <v>0.05199</v>
      </c>
      <c r="F3">
        <v>-51.99</v>
      </c>
      <c r="K3" s="39" t="s">
        <v>200</v>
      </c>
      <c r="L3" s="70" t="s">
        <v>219</v>
      </c>
      <c r="M3">
        <v>1.34327</v>
      </c>
      <c r="N3">
        <v>1.71951</v>
      </c>
    </row>
    <row r="4" spans="1:14">
      <c r="A4" s="39" t="s">
        <v>160</v>
      </c>
      <c r="B4" s="70" t="s">
        <v>219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208</v>
      </c>
      <c r="L4" s="39" t="s">
        <v>219</v>
      </c>
      <c r="M4">
        <v>1.36554</v>
      </c>
      <c r="N4">
        <v>1.71951</v>
      </c>
    </row>
    <row r="5" spans="1:14">
      <c r="A5" s="39" t="s">
        <v>161</v>
      </c>
      <c r="B5" s="70" t="s">
        <v>219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209</v>
      </c>
      <c r="L5" s="39" t="s">
        <v>219</v>
      </c>
      <c r="M5">
        <v>1.38873</v>
      </c>
      <c r="N5">
        <v>1.71951</v>
      </c>
    </row>
    <row r="6" spans="1:14">
      <c r="A6" s="39" t="s">
        <v>162</v>
      </c>
      <c r="B6" s="70" t="s">
        <v>219</v>
      </c>
      <c r="C6">
        <v>1.1783</v>
      </c>
      <c r="D6">
        <v>1.28664</v>
      </c>
      <c r="E6">
        <v>0.10834</v>
      </c>
      <c r="F6">
        <v>-108.34</v>
      </c>
      <c r="K6" s="39" t="s">
        <v>220</v>
      </c>
      <c r="L6" s="39" t="s">
        <v>219</v>
      </c>
      <c r="M6">
        <v>1.74934</v>
      </c>
      <c r="N6">
        <v>1.71951</v>
      </c>
    </row>
    <row r="7" spans="1:14">
      <c r="A7" s="39" t="s">
        <v>163</v>
      </c>
      <c r="B7" s="70" t="s">
        <v>219</v>
      </c>
      <c r="C7">
        <v>1.15555</v>
      </c>
      <c r="D7">
        <v>1.28664</v>
      </c>
      <c r="E7">
        <v>0.13109</v>
      </c>
      <c r="F7">
        <v>-131.09</v>
      </c>
      <c r="K7" s="39" t="s">
        <v>221</v>
      </c>
      <c r="L7" s="39" t="s">
        <v>219</v>
      </c>
      <c r="M7">
        <v>1.72875</v>
      </c>
      <c r="N7">
        <v>1.71951</v>
      </c>
    </row>
    <row r="8" spans="1:14">
      <c r="A8" s="39" t="s">
        <v>164</v>
      </c>
      <c r="B8" s="70" t="s">
        <v>219</v>
      </c>
      <c r="C8">
        <v>1.12801</v>
      </c>
      <c r="D8">
        <v>1.28664</v>
      </c>
      <c r="E8">
        <v>0.15863</v>
      </c>
      <c r="F8">
        <v>-158.63</v>
      </c>
      <c r="K8" s="39" t="s">
        <v>222</v>
      </c>
      <c r="L8" s="39" t="s">
        <v>219</v>
      </c>
      <c r="M8">
        <v>1.6987</v>
      </c>
      <c r="N8">
        <v>1.71951</v>
      </c>
    </row>
    <row r="9" spans="11:14">
      <c r="K9" s="39" t="s">
        <v>223</v>
      </c>
      <c r="L9" s="39" t="s">
        <v>219</v>
      </c>
      <c r="M9">
        <v>1.67526</v>
      </c>
      <c r="N9">
        <v>1.71951</v>
      </c>
    </row>
    <row r="10" spans="11:14">
      <c r="K10" s="39" t="s">
        <v>224</v>
      </c>
      <c r="L10" s="39" t="s">
        <v>219</v>
      </c>
      <c r="M10">
        <v>1.66155</v>
      </c>
      <c r="N10">
        <v>1.71951</v>
      </c>
    </row>
    <row r="11" spans="11:14">
      <c r="K11" s="39" t="s">
        <v>225</v>
      </c>
      <c r="L11" s="39" t="s">
        <v>219</v>
      </c>
      <c r="M11">
        <v>1.64923</v>
      </c>
      <c r="N11">
        <v>1.71951</v>
      </c>
    </row>
    <row r="12" spans="1:14">
      <c r="A12" s="39"/>
      <c r="B12" s="70"/>
      <c r="K12" s="70" t="s">
        <v>226</v>
      </c>
      <c r="L12" s="70" t="s">
        <v>224</v>
      </c>
      <c r="M12">
        <v>1.66053</v>
      </c>
      <c r="N12">
        <v>1.72431</v>
      </c>
    </row>
    <row r="13" spans="1:14">
      <c r="A13" s="39"/>
      <c r="B13" s="70"/>
      <c r="K13" s="70" t="s">
        <v>227</v>
      </c>
      <c r="L13" s="70" t="s">
        <v>224</v>
      </c>
      <c r="M13">
        <v>1.66256</v>
      </c>
      <c r="N13">
        <v>1.72352</v>
      </c>
    </row>
    <row r="14" spans="1:14">
      <c r="A14" s="39"/>
      <c r="B14" s="70"/>
      <c r="K14" s="70" t="s">
        <v>228</v>
      </c>
      <c r="L14" s="70" t="s">
        <v>229</v>
      </c>
      <c r="M14">
        <v>1.64823</v>
      </c>
      <c r="N14">
        <v>1.71828</v>
      </c>
    </row>
    <row r="15" spans="1:14">
      <c r="A15" s="70"/>
      <c r="B15" s="70"/>
      <c r="K15" s="70" t="s">
        <v>230</v>
      </c>
      <c r="L15" s="70" t="s">
        <v>228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231</v>
      </c>
      <c r="K19" s="70" t="s">
        <v>219</v>
      </c>
      <c r="L19" s="1" t="s">
        <v>202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155</v>
      </c>
      <c r="L20" s="70" t="s">
        <v>219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156</v>
      </c>
      <c r="L21" s="70" t="s">
        <v>219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157</v>
      </c>
      <c r="L22" s="70" t="s">
        <v>219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158</v>
      </c>
      <c r="L23" s="70" t="s">
        <v>219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160</v>
      </c>
      <c r="L24" s="70" t="s">
        <v>219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161</v>
      </c>
      <c r="L25" s="70" t="s">
        <v>219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162</v>
      </c>
      <c r="L26" s="70" t="s">
        <v>219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163</v>
      </c>
      <c r="L27" s="70" t="s">
        <v>219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164</v>
      </c>
      <c r="L28" s="70" t="s">
        <v>219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232</v>
      </c>
      <c r="K31" s="70" t="s">
        <v>219</v>
      </c>
      <c r="L31" s="1" t="s">
        <v>202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155</v>
      </c>
      <c r="L32" s="70" t="s">
        <v>219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156</v>
      </c>
      <c r="L33" s="70" t="s">
        <v>219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157</v>
      </c>
      <c r="L34" s="70" t="s">
        <v>219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158</v>
      </c>
      <c r="L35" s="70" t="s">
        <v>219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160</v>
      </c>
      <c r="L36" s="70" t="s">
        <v>219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161</v>
      </c>
      <c r="L37" s="70" t="s">
        <v>219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162</v>
      </c>
      <c r="L38" s="70" t="s">
        <v>219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163</v>
      </c>
      <c r="L39" s="70" t="s">
        <v>219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164</v>
      </c>
      <c r="L40" s="70" t="s">
        <v>219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233</v>
      </c>
      <c r="K43" s="70" t="s">
        <v>219</v>
      </c>
      <c r="L43" s="1" t="s">
        <v>202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155</v>
      </c>
      <c r="L44" s="70" t="s">
        <v>219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156</v>
      </c>
      <c r="L45" s="70" t="s">
        <v>219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157</v>
      </c>
      <c r="L46" s="70" t="s">
        <v>219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158</v>
      </c>
      <c r="L47" s="70" t="s">
        <v>219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160</v>
      </c>
      <c r="L48" s="70" t="s">
        <v>219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161</v>
      </c>
      <c r="L49" s="70" t="s">
        <v>219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162</v>
      </c>
      <c r="L50" s="70" t="s">
        <v>219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163</v>
      </c>
      <c r="L51" s="70" t="s">
        <v>219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164</v>
      </c>
      <c r="L52" s="70" t="s">
        <v>219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234</v>
      </c>
      <c r="K55" s="39" t="s">
        <v>219</v>
      </c>
      <c r="L55" s="70" t="s">
        <v>202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158</v>
      </c>
      <c r="L56" s="70" t="s">
        <v>219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160</v>
      </c>
      <c r="L57" s="70" t="s">
        <v>219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161</v>
      </c>
      <c r="L58" s="70" t="s">
        <v>219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162</v>
      </c>
      <c r="L59" s="70" t="s">
        <v>219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163</v>
      </c>
      <c r="L60" s="70" t="s">
        <v>219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164</v>
      </c>
      <c r="L61" s="70" t="s">
        <v>219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235</v>
      </c>
      <c r="K64" s="70" t="s">
        <v>219</v>
      </c>
      <c r="L64" s="1" t="s">
        <v>202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158</v>
      </c>
      <c r="L65" s="70" t="s">
        <v>219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160</v>
      </c>
      <c r="L66" s="70" t="s">
        <v>219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161</v>
      </c>
      <c r="L67" s="70" t="s">
        <v>219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162</v>
      </c>
      <c r="L68" s="70" t="s">
        <v>219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163</v>
      </c>
      <c r="L69" s="70" t="s">
        <v>219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164</v>
      </c>
      <c r="L70" s="70" t="s">
        <v>219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236</v>
      </c>
      <c r="K73" s="70" t="s">
        <v>219</v>
      </c>
      <c r="L73" s="1" t="s">
        <v>202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158</v>
      </c>
      <c r="L74" s="70" t="s">
        <v>219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160</v>
      </c>
      <c r="L75" s="70" t="s">
        <v>219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161</v>
      </c>
      <c r="L76" s="70" t="s">
        <v>219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162</v>
      </c>
      <c r="L77" s="70" t="s">
        <v>219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163</v>
      </c>
      <c r="L78" s="70" t="s">
        <v>219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164</v>
      </c>
      <c r="L79" s="70" t="s">
        <v>219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152</v>
      </c>
      <c r="C1" t="s">
        <v>145</v>
      </c>
      <c r="E1" t="s">
        <v>152</v>
      </c>
      <c r="F1" t="s">
        <v>145</v>
      </c>
    </row>
    <row r="2" spans="1:6">
      <c r="A2" t="s">
        <v>237</v>
      </c>
      <c r="B2">
        <v>0.97</v>
      </c>
      <c r="C2">
        <v>2.342</v>
      </c>
      <c r="D2" t="s">
        <v>237</v>
      </c>
      <c r="E2">
        <v>0.97</v>
      </c>
      <c r="F2">
        <v>2.342</v>
      </c>
    </row>
    <row r="3" spans="1:6">
      <c r="A3" t="s">
        <v>238</v>
      </c>
      <c r="B3">
        <v>1.28</v>
      </c>
      <c r="C3">
        <v>3.079</v>
      </c>
      <c r="D3" t="s">
        <v>238</v>
      </c>
      <c r="E3">
        <v>1.28</v>
      </c>
      <c r="F3">
        <v>3.079</v>
      </c>
    </row>
    <row r="4" spans="1:6">
      <c r="A4" t="s">
        <v>239</v>
      </c>
      <c r="B4">
        <v>1.64</v>
      </c>
      <c r="C4">
        <v>4.008</v>
      </c>
      <c r="D4" t="s">
        <v>239</v>
      </c>
      <c r="E4">
        <v>1.64</v>
      </c>
      <c r="F4">
        <v>4.008</v>
      </c>
    </row>
    <row r="5" spans="1:6">
      <c r="A5" t="s">
        <v>240</v>
      </c>
      <c r="B5">
        <v>2.03</v>
      </c>
      <c r="C5">
        <v>5.16</v>
      </c>
      <c r="D5" t="s">
        <v>240</v>
      </c>
      <c r="E5">
        <v>5</v>
      </c>
      <c r="F5">
        <v>5.16</v>
      </c>
    </row>
    <row r="6" spans="1:6">
      <c r="A6" t="s">
        <v>241</v>
      </c>
      <c r="B6">
        <v>2.5</v>
      </c>
      <c r="C6">
        <v>5.953</v>
      </c>
      <c r="D6" t="s">
        <v>241</v>
      </c>
      <c r="E6">
        <v>2.5</v>
      </c>
      <c r="F6">
        <v>5.953</v>
      </c>
    </row>
    <row r="7" spans="1:6">
      <c r="A7" t="s">
        <v>242</v>
      </c>
      <c r="B7">
        <v>2.8</v>
      </c>
      <c r="C7">
        <v>6.742</v>
      </c>
      <c r="D7" t="s">
        <v>242</v>
      </c>
      <c r="E7">
        <v>2.8</v>
      </c>
      <c r="F7">
        <v>6.742</v>
      </c>
    </row>
    <row r="8" spans="1:6">
      <c r="A8" t="s">
        <v>243</v>
      </c>
      <c r="B8">
        <v>3.28</v>
      </c>
      <c r="C8">
        <v>7.048</v>
      </c>
      <c r="D8" t="s">
        <v>243</v>
      </c>
      <c r="E8">
        <v>3.28</v>
      </c>
      <c r="F8">
        <v>7.048</v>
      </c>
    </row>
    <row r="9" spans="1:6">
      <c r="A9" t="s">
        <v>244</v>
      </c>
      <c r="B9">
        <v>3.1</v>
      </c>
      <c r="C9">
        <v>7.268</v>
      </c>
      <c r="D9" t="s">
        <v>244</v>
      </c>
      <c r="E9">
        <v>3.1</v>
      </c>
      <c r="F9">
        <v>7.268</v>
      </c>
    </row>
    <row r="10" spans="1:6">
      <c r="A10" t="s">
        <v>245</v>
      </c>
      <c r="B10">
        <v>2.77</v>
      </c>
      <c r="C10">
        <v>6.793</v>
      </c>
      <c r="D10" t="s">
        <v>245</v>
      </c>
      <c r="E10">
        <v>2.77</v>
      </c>
      <c r="F10">
        <v>6.793</v>
      </c>
    </row>
    <row r="11" spans="1:6">
      <c r="A11" t="s">
        <v>246</v>
      </c>
      <c r="B11">
        <v>2.8</v>
      </c>
      <c r="C11">
        <v>6.702</v>
      </c>
      <c r="D11" t="s">
        <v>246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247</v>
      </c>
      <c r="B1">
        <v>2</v>
      </c>
    </row>
    <row r="2" spans="1:19">
      <c r="A2" t="s">
        <v>248</v>
      </c>
      <c r="B2">
        <v>14</v>
      </c>
      <c r="C2" t="s">
        <v>249</v>
      </c>
      <c r="D2">
        <v>14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4">
      <c r="A3" t="s">
        <v>129</v>
      </c>
      <c r="B3">
        <v>1</v>
      </c>
      <c r="C3" t="s">
        <v>129</v>
      </c>
      <c r="D3">
        <v>2</v>
      </c>
    </row>
    <row r="4" spans="1:4">
      <c r="A4" s="1" t="s">
        <v>169</v>
      </c>
      <c r="B4">
        <v>42.07</v>
      </c>
      <c r="D4">
        <v>44.37</v>
      </c>
    </row>
    <row r="5" spans="1:4">
      <c r="A5" t="s">
        <v>135</v>
      </c>
      <c r="B5">
        <v>0.08</v>
      </c>
      <c r="D5">
        <v>0.07</v>
      </c>
    </row>
    <row r="6" spans="1:21">
      <c r="A6" t="s">
        <v>136</v>
      </c>
      <c r="B6">
        <v>0.87</v>
      </c>
      <c r="D6">
        <v>0.65</v>
      </c>
      <c r="J6" s="39"/>
      <c r="S6" s="39"/>
      <c r="U6" s="39" t="s">
        <v>258</v>
      </c>
    </row>
    <row r="7" spans="1:21">
      <c r="A7" s="1" t="s">
        <v>171</v>
      </c>
      <c r="B7" s="2">
        <v>0</v>
      </c>
      <c r="D7" s="2">
        <v>0</v>
      </c>
      <c r="J7" s="39"/>
      <c r="S7" s="39"/>
      <c r="U7" s="39" t="s">
        <v>174</v>
      </c>
    </row>
    <row r="8" spans="1:4">
      <c r="A8" s="1" t="s">
        <v>172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175</v>
      </c>
      <c r="B11" s="33"/>
      <c r="C11" s="33"/>
      <c r="D11" s="33"/>
      <c r="E11" s="33"/>
      <c r="F11" s="33"/>
      <c r="G11" s="33"/>
      <c r="H11" s="33"/>
      <c r="L11" s="40" t="s">
        <v>177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184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L13" s="4" t="s">
        <v>184</v>
      </c>
      <c r="M13" s="4" t="s">
        <v>141</v>
      </c>
      <c r="N13" s="41" t="s">
        <v>179</v>
      </c>
      <c r="O13" s="41"/>
      <c r="P13" s="41"/>
      <c r="Q13" s="48" t="s">
        <v>180</v>
      </c>
      <c r="R13" s="49"/>
      <c r="S13" s="50"/>
      <c r="T13" s="41" t="s">
        <v>259</v>
      </c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30.7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 t="s">
        <v>260</v>
      </c>
      <c r="U14" s="4" t="s">
        <v>79</v>
      </c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spans="1:32">
      <c r="A15" t="s">
        <v>154</v>
      </c>
      <c r="B15" s="35" t="s">
        <v>200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v>2.60000000000002</v>
      </c>
      <c r="O15" s="42">
        <v>-0.300000000000001</v>
      </c>
      <c r="P15" s="43">
        <v>9.27258278000009</v>
      </c>
      <c r="Q15" s="42">
        <v>0.600000000000023</v>
      </c>
      <c r="R15" s="42">
        <v>-0.300000000000001</v>
      </c>
      <c r="S15" s="43">
        <v>1.72444218000008</v>
      </c>
      <c r="T15" s="11">
        <v>0.3</v>
      </c>
      <c r="U15" s="35">
        <f>T15*100/3.45</f>
        <v>8.69565217391304</v>
      </c>
      <c r="Y15" s="35" t="s">
        <v>154</v>
      </c>
      <c r="Z15" s="35" t="s">
        <v>200</v>
      </c>
      <c r="AA15" s="43">
        <v>9</v>
      </c>
      <c r="AB15" s="59">
        <v>7</v>
      </c>
      <c r="AC15" s="59">
        <v>2</v>
      </c>
      <c r="AD15" s="59">
        <v>0</v>
      </c>
      <c r="AE15" s="60">
        <v>0.868036169</v>
      </c>
      <c r="AF15" s="61">
        <v>0.185972152626074</v>
      </c>
    </row>
    <row r="16" spans="1:32">
      <c r="A16" t="s">
        <v>154</v>
      </c>
      <c r="B16" s="35" t="s">
        <v>208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0">E16-C16</f>
        <v>1.80000000000007</v>
      </c>
      <c r="O16" s="42">
        <f t="shared" si="0"/>
        <v>-0.199999999999999</v>
      </c>
      <c r="P16" s="43">
        <f t="shared" ref="P15:P42" si="1">3.7*1.020019*(N16)+1.8*(O16)</f>
        <v>6.43332654000027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154</v>
      </c>
      <c r="B17" s="36" t="s">
        <v>209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0"/>
        <v>2.89999999999998</v>
      </c>
      <c r="O17" s="42">
        <f t="shared" si="0"/>
        <v>-0.199999999999999</v>
      </c>
      <c r="P17" s="43">
        <f t="shared" si="1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154</v>
      </c>
      <c r="B18" s="35" t="s">
        <v>220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0"/>
        <v>0.800000000000011</v>
      </c>
      <c r="O18" s="42">
        <f t="shared" si="0"/>
        <v>-0.199999999999999</v>
      </c>
      <c r="P18" s="43">
        <f t="shared" si="1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154</v>
      </c>
      <c r="B19" s="35" t="s">
        <v>221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0"/>
        <v>4.10000000000002</v>
      </c>
      <c r="O19" s="42">
        <f t="shared" si="0"/>
        <v>-0.199999999999999</v>
      </c>
      <c r="P19" s="43">
        <f t="shared" si="1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154</v>
      </c>
      <c r="B20" s="36" t="s">
        <v>222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0"/>
        <v>4.5</v>
      </c>
      <c r="O20" s="42">
        <f t="shared" si="0"/>
        <v>-0.199999999999999</v>
      </c>
      <c r="P20" s="43">
        <f t="shared" si="1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154</v>
      </c>
      <c r="B21" s="35" t="s">
        <v>223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0"/>
        <v>1.19999999999999</v>
      </c>
      <c r="O21" s="42">
        <f t="shared" si="0"/>
        <v>-0.199999999999999</v>
      </c>
      <c r="P21" s="43">
        <f t="shared" si="1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154</v>
      </c>
      <c r="B22" s="35" t="s">
        <v>224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0"/>
        <v>6.39999999999998</v>
      </c>
      <c r="O22" s="42">
        <f t="shared" si="0"/>
        <v>-0.0999999999999979</v>
      </c>
      <c r="P22" s="43">
        <f t="shared" si="1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154</v>
      </c>
      <c r="B23" s="35" t="s">
        <v>225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0"/>
        <v>7.79999999999995</v>
      </c>
      <c r="O23" s="42">
        <f t="shared" si="0"/>
        <v>-0.0999999999999979</v>
      </c>
      <c r="P23" s="43">
        <f t="shared" si="1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154</v>
      </c>
      <c r="B24" s="37" t="s">
        <v>261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0"/>
        <v>2.69999999999993</v>
      </c>
      <c r="O24" s="42">
        <f t="shared" si="0"/>
        <v>-0.199999999999999</v>
      </c>
      <c r="P24" s="43">
        <f t="shared" si="1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154</v>
      </c>
      <c r="B25" s="35" t="s">
        <v>262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0"/>
        <v>10.6</v>
      </c>
      <c r="O25" s="42">
        <f t="shared" si="0"/>
        <v>-0.0999999999999979</v>
      </c>
      <c r="P25" s="43">
        <f t="shared" si="1"/>
        <v>39.82514518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154</v>
      </c>
      <c r="B26" s="35" t="s">
        <v>263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0"/>
        <v>11.5</v>
      </c>
      <c r="O26" s="42">
        <f t="shared" si="0"/>
        <v>-0.100000000000001</v>
      </c>
      <c r="P26" s="43">
        <f t="shared" si="1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154</v>
      </c>
      <c r="B27" s="37" t="s">
        <v>264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0"/>
        <v>9.09999999999991</v>
      </c>
      <c r="O27" s="42">
        <f t="shared" si="0"/>
        <v>-0.199999999999999</v>
      </c>
      <c r="P27" s="43">
        <f t="shared" si="1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154</v>
      </c>
      <c r="B28" s="36" t="s">
        <v>265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0"/>
        <v>10.8</v>
      </c>
      <c r="O28" s="44">
        <f t="shared" si="0"/>
        <v>-0.100000000000001</v>
      </c>
      <c r="P28" s="45">
        <f t="shared" si="1"/>
        <v>40.57995924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159</v>
      </c>
      <c r="B29" s="38" t="s">
        <v>200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0"/>
        <v>12.1</v>
      </c>
      <c r="O29" s="46">
        <f t="shared" si="0"/>
        <v>-0.5</v>
      </c>
      <c r="P29" s="47">
        <f t="shared" si="1"/>
        <v>44.76625063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159</v>
      </c>
      <c r="B30" s="35" t="s">
        <v>208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0"/>
        <v>9.80000000000007</v>
      </c>
      <c r="O30" s="42">
        <f t="shared" si="0"/>
        <v>-0.399999999999999</v>
      </c>
      <c r="P30" s="43">
        <f t="shared" si="1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159</v>
      </c>
      <c r="B31" s="36" t="s">
        <v>209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0"/>
        <v>12.6</v>
      </c>
      <c r="O31" s="42">
        <f t="shared" si="0"/>
        <v>-0.400000000000002</v>
      </c>
      <c r="P31" s="43">
        <f t="shared" si="1"/>
        <v>46.83328578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159</v>
      </c>
      <c r="B32" s="35" t="s">
        <v>220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1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159</v>
      </c>
      <c r="B33" s="35" t="s">
        <v>221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1"/>
        <v>39.6625522099996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159</v>
      </c>
      <c r="B34" s="36" t="s">
        <v>222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1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159</v>
      </c>
      <c r="B35" s="35" t="s">
        <v>223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1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159</v>
      </c>
      <c r="B36" s="35" t="s">
        <v>224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1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159</v>
      </c>
      <c r="B37" s="35" t="s">
        <v>225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1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159</v>
      </c>
      <c r="B38" s="37" t="s">
        <v>261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1"/>
        <v>2.29925623999983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159</v>
      </c>
      <c r="B39" s="35" t="s">
        <v>262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1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159</v>
      </c>
      <c r="B40" s="35" t="s">
        <v>263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1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159</v>
      </c>
      <c r="B41" s="37" t="s">
        <v>264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1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159</v>
      </c>
      <c r="B42" s="35" t="s">
        <v>265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1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V40"/>
  <sheetViews>
    <sheetView workbookViewId="0">
      <selection activeCell="K20" sqref="K20"/>
    </sheetView>
  </sheetViews>
  <sheetFormatPr defaultColWidth="9" defaultRowHeight="13.5"/>
  <sheetData>
    <row r="1" spans="1:2">
      <c r="A1" t="s">
        <v>266</v>
      </c>
      <c r="B1">
        <v>1</v>
      </c>
    </row>
    <row r="2" spans="1:19">
      <c r="A2" t="s">
        <v>248</v>
      </c>
      <c r="B2">
        <v>14</v>
      </c>
      <c r="C2" t="s">
        <v>249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2">
      <c r="A3" t="s">
        <v>129</v>
      </c>
      <c r="B3">
        <v>2</v>
      </c>
    </row>
    <row r="4" spans="1:2">
      <c r="A4" s="1" t="s">
        <v>134</v>
      </c>
      <c r="B4">
        <v>3.28</v>
      </c>
    </row>
    <row r="5" spans="1:2">
      <c r="A5" t="s">
        <v>135</v>
      </c>
      <c r="B5">
        <v>3.29</v>
      </c>
    </row>
    <row r="6" spans="1:2">
      <c r="A6" t="s">
        <v>136</v>
      </c>
      <c r="B6">
        <v>0.05</v>
      </c>
    </row>
    <row r="7" spans="1:2">
      <c r="A7" s="1" t="s">
        <v>137</v>
      </c>
      <c r="B7" s="2">
        <v>0.44</v>
      </c>
    </row>
    <row r="8" spans="1:4">
      <c r="A8" t="s">
        <v>138</v>
      </c>
      <c r="B8" s="2">
        <v>0</v>
      </c>
      <c r="D8" s="2"/>
    </row>
    <row r="9" spans="2:2">
      <c r="B9" s="2">
        <v>0</v>
      </c>
    </row>
    <row r="11" ht="14.25" spans="1:12">
      <c r="A11" s="3" t="s">
        <v>184</v>
      </c>
      <c r="B11" s="3" t="s">
        <v>141</v>
      </c>
      <c r="C11" s="4" t="s">
        <v>142</v>
      </c>
      <c r="D11" s="4" t="s">
        <v>179</v>
      </c>
      <c r="E11" s="4"/>
      <c r="F11" s="4" t="s">
        <v>180</v>
      </c>
      <c r="G11" s="4"/>
      <c r="H11" s="4"/>
      <c r="I11" s="4" t="s">
        <v>152</v>
      </c>
      <c r="J11" s="4" t="s">
        <v>145</v>
      </c>
      <c r="K11" s="4" t="s">
        <v>148</v>
      </c>
      <c r="L11" s="4" t="s">
        <v>267</v>
      </c>
    </row>
    <row r="12" ht="14.25" spans="1:12">
      <c r="A12" s="3"/>
      <c r="B12" s="5"/>
      <c r="C12" s="6"/>
      <c r="D12" s="4" t="s">
        <v>268</v>
      </c>
      <c r="E12" s="4" t="s">
        <v>151</v>
      </c>
      <c r="F12" s="4" t="s">
        <v>268</v>
      </c>
      <c r="G12" s="4" t="s">
        <v>150</v>
      </c>
      <c r="H12" s="4" t="s">
        <v>153</v>
      </c>
      <c r="I12" s="4"/>
      <c r="J12" s="4"/>
      <c r="K12" s="4"/>
      <c r="L12" s="4"/>
    </row>
    <row r="13" spans="1:22">
      <c r="A13" s="7" t="s">
        <v>154</v>
      </c>
      <c r="B13" s="8" t="s">
        <v>269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  <c r="P13">
        <v>0.44</v>
      </c>
      <c r="Q13">
        <v>0.44</v>
      </c>
      <c r="R13">
        <v>0</v>
      </c>
      <c r="S13">
        <v>8.65</v>
      </c>
      <c r="T13">
        <v>0.0508670520231213</v>
      </c>
      <c r="U13">
        <v>0</v>
      </c>
      <c r="V13">
        <v>-8.74</v>
      </c>
    </row>
    <row r="14" spans="1:22">
      <c r="A14" s="7" t="s">
        <v>154</v>
      </c>
      <c r="B14" s="8" t="s">
        <v>270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  <c r="P14">
        <v>0.51</v>
      </c>
      <c r="Q14">
        <v>0.51</v>
      </c>
      <c r="R14">
        <v>0</v>
      </c>
      <c r="S14">
        <v>1.15</v>
      </c>
      <c r="T14">
        <v>0.443478260869565</v>
      </c>
      <c r="U14">
        <v>0</v>
      </c>
      <c r="V14">
        <v>-1.29</v>
      </c>
    </row>
    <row r="15" spans="1:22">
      <c r="A15" s="7" t="s">
        <v>154</v>
      </c>
      <c r="B15" s="8" t="s">
        <v>271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  <c r="P15">
        <v>0.700000000000001</v>
      </c>
      <c r="Q15">
        <v>0.700000000000001</v>
      </c>
      <c r="R15">
        <v>0</v>
      </c>
      <c r="S15">
        <v>7.95</v>
      </c>
      <c r="T15">
        <v>0.0880503144654089</v>
      </c>
      <c r="U15">
        <v>0</v>
      </c>
      <c r="V15">
        <v>-8.04</v>
      </c>
    </row>
    <row r="16" spans="1:22">
      <c r="A16" s="7" t="s">
        <v>154</v>
      </c>
      <c r="B16" s="8" t="s">
        <v>272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  <c r="P16">
        <v>0.77</v>
      </c>
      <c r="Q16">
        <v>0.77</v>
      </c>
      <c r="R16">
        <v>0</v>
      </c>
      <c r="S16">
        <v>2.2</v>
      </c>
      <c r="T16">
        <v>0.35</v>
      </c>
      <c r="U16">
        <v>0</v>
      </c>
      <c r="V16">
        <v>-2.23</v>
      </c>
    </row>
    <row r="17" spans="1:22">
      <c r="A17" s="7" t="s">
        <v>154</v>
      </c>
      <c r="B17" s="8" t="s">
        <v>237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  <c r="P17">
        <v>0.97</v>
      </c>
      <c r="Q17">
        <v>0.97</v>
      </c>
      <c r="R17">
        <v>0</v>
      </c>
      <c r="S17">
        <v>3.93</v>
      </c>
      <c r="T17">
        <v>0.246819338422392</v>
      </c>
      <c r="U17">
        <v>0</v>
      </c>
      <c r="V17">
        <v>-4.05</v>
      </c>
    </row>
    <row r="18" spans="1:22">
      <c r="A18" s="7" t="s">
        <v>154</v>
      </c>
      <c r="B18" s="8" t="s">
        <v>238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  <c r="P18">
        <v>1.28</v>
      </c>
      <c r="Q18">
        <v>1.28</v>
      </c>
      <c r="R18">
        <v>0</v>
      </c>
      <c r="S18">
        <v>6.24</v>
      </c>
      <c r="T18">
        <v>0.205128205128205</v>
      </c>
      <c r="U18">
        <v>0</v>
      </c>
      <c r="V18">
        <v>-6.32</v>
      </c>
    </row>
    <row r="19" spans="1:22">
      <c r="A19" s="7" t="s">
        <v>154</v>
      </c>
      <c r="B19" s="8" t="s">
        <v>239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  <c r="P19">
        <v>1.64</v>
      </c>
      <c r="Q19">
        <v>1.64</v>
      </c>
      <c r="R19">
        <v>0</v>
      </c>
      <c r="S19">
        <v>7.91</v>
      </c>
      <c r="T19">
        <v>0.207332490518331</v>
      </c>
      <c r="U19">
        <v>0</v>
      </c>
      <c r="V19">
        <v>-7.98</v>
      </c>
    </row>
    <row r="20" spans="1:22">
      <c r="A20" s="7" t="s">
        <v>154</v>
      </c>
      <c r="B20" s="8" t="s">
        <v>240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  <c r="P20">
        <v>2.03</v>
      </c>
      <c r="Q20">
        <v>2.03</v>
      </c>
      <c r="R20">
        <v>0</v>
      </c>
      <c r="S20">
        <v>14.19</v>
      </c>
      <c r="T20">
        <v>0.143058491895701</v>
      </c>
      <c r="U20">
        <v>0</v>
      </c>
      <c r="V20">
        <v>-14.28</v>
      </c>
    </row>
    <row r="21" spans="1:22">
      <c r="A21" s="7" t="s">
        <v>154</v>
      </c>
      <c r="B21" s="8" t="s">
        <v>241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  <c r="P21">
        <v>2.5</v>
      </c>
      <c r="Q21">
        <v>2.5</v>
      </c>
      <c r="R21">
        <v>0</v>
      </c>
      <c r="S21">
        <v>12.55</v>
      </c>
      <c r="T21">
        <v>0.199203187250996</v>
      </c>
      <c r="U21">
        <v>0</v>
      </c>
      <c r="V21">
        <v>-12.58</v>
      </c>
    </row>
    <row r="22" spans="1:22">
      <c r="A22" s="7" t="s">
        <v>154</v>
      </c>
      <c r="B22" s="8" t="s">
        <v>242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  <c r="P22">
        <v>2.8</v>
      </c>
      <c r="Q22">
        <v>2.8</v>
      </c>
      <c r="R22">
        <v>0</v>
      </c>
      <c r="S22">
        <v>6.8</v>
      </c>
      <c r="T22">
        <v>0.411764705882353</v>
      </c>
      <c r="U22">
        <v>0</v>
      </c>
      <c r="V22">
        <v>-6.85</v>
      </c>
    </row>
    <row r="23" spans="1:22">
      <c r="A23" s="7" t="s">
        <v>154</v>
      </c>
      <c r="B23" s="8" t="s">
        <v>243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  <c r="P23">
        <v>3.29</v>
      </c>
      <c r="Q23">
        <v>3.29</v>
      </c>
      <c r="R23">
        <v>0</v>
      </c>
      <c r="S23">
        <v>11.93</v>
      </c>
      <c r="T23">
        <v>0.275775356244761</v>
      </c>
      <c r="U23">
        <v>0</v>
      </c>
      <c r="V23">
        <v>-11.92</v>
      </c>
    </row>
    <row r="24" spans="1:22">
      <c r="A24" s="7" t="s">
        <v>154</v>
      </c>
      <c r="B24" s="8" t="s">
        <v>244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  <c r="P24">
        <v>3.1</v>
      </c>
      <c r="Q24">
        <v>3.1</v>
      </c>
      <c r="R24">
        <v>0</v>
      </c>
      <c r="S24">
        <v>16.78</v>
      </c>
      <c r="T24">
        <v>0.184743742550656</v>
      </c>
      <c r="U24">
        <v>0</v>
      </c>
      <c r="V24">
        <v>-16.9</v>
      </c>
    </row>
    <row r="25" spans="1:22">
      <c r="A25" s="7" t="s">
        <v>154</v>
      </c>
      <c r="B25" s="8" t="s">
        <v>245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  <c r="P25">
        <v>2.91</v>
      </c>
      <c r="Q25">
        <v>2.91</v>
      </c>
      <c r="R25">
        <v>0</v>
      </c>
      <c r="S25">
        <v>12.57</v>
      </c>
      <c r="T25">
        <v>0.231503579952267</v>
      </c>
      <c r="U25">
        <v>0</v>
      </c>
      <c r="V25">
        <v>-12.43</v>
      </c>
    </row>
    <row r="26" ht="14.25" spans="1:22">
      <c r="A26" s="7" t="s">
        <v>154</v>
      </c>
      <c r="B26" s="14" t="s">
        <v>246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  <c r="P26">
        <v>2.87</v>
      </c>
      <c r="Q26">
        <v>2.87</v>
      </c>
      <c r="R26">
        <v>0</v>
      </c>
      <c r="S26">
        <v>13.72</v>
      </c>
      <c r="T26">
        <v>0.209183673469388</v>
      </c>
      <c r="U26">
        <v>0</v>
      </c>
      <c r="V26">
        <v>-13.65</v>
      </c>
    </row>
    <row r="27" spans="1:12">
      <c r="A27" s="7"/>
      <c r="B27" s="8" t="s">
        <v>269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270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271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272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237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238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239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240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241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242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243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244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245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246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2019-05-08T13:27:00Z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