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6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C14A018C-C57E-47E1-A28F-DAC3AA8CF2C5}" xr6:coauthVersionLast="40" xr6:coauthVersionMax="40" xr10:uidLastSave="{00000000-0000-0000-0000-000000000000}"/>
  <bookViews>
    <workbookView xWindow="-120" yWindow="-120" windowWidth="29040" windowHeight="15840" xr2:uid="{00000000-000D-0000-FFFF-FFFF00000000}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functionGroups builtInGroupCount="19"/>
  <calcPr calcId="181029" refMode="R1C1" concurrentCalc="0"/>
</workbook>
</file>

<file path=xl/calcChain.xml><?xml version="1.0" encoding="utf-8"?>
<calcChain xmlns="http://schemas.openxmlformats.org/spreadsheetml/2006/main">
  <c r="U42" i="6" l="1"/>
  <c r="Q42" i="6"/>
  <c r="R42" i="6"/>
  <c r="S42" i="6"/>
  <c r="N42" i="6"/>
  <c r="O42" i="6"/>
  <c r="P42" i="6"/>
  <c r="U41" i="6"/>
  <c r="Q41" i="6"/>
  <c r="R41" i="6"/>
  <c r="S41" i="6"/>
  <c r="N41" i="6"/>
  <c r="O41" i="6"/>
  <c r="P41" i="6"/>
  <c r="U40" i="6"/>
  <c r="Q40" i="6"/>
  <c r="R40" i="6"/>
  <c r="S40" i="6"/>
  <c r="N40" i="6"/>
  <c r="O40" i="6"/>
  <c r="P40" i="6"/>
  <c r="U39" i="6"/>
  <c r="Q39" i="6"/>
  <c r="R39" i="6"/>
  <c r="S39" i="6"/>
  <c r="N39" i="6"/>
  <c r="O39" i="6"/>
  <c r="P39" i="6"/>
  <c r="U38" i="6"/>
  <c r="Q38" i="6"/>
  <c r="R38" i="6"/>
  <c r="S38" i="6"/>
  <c r="N38" i="6"/>
  <c r="O38" i="6"/>
  <c r="P38" i="6"/>
  <c r="U37" i="6"/>
  <c r="Q37" i="6"/>
  <c r="R37" i="6"/>
  <c r="S37" i="6"/>
  <c r="N37" i="6"/>
  <c r="O37" i="6"/>
  <c r="P37" i="6"/>
  <c r="U36" i="6"/>
  <c r="Q36" i="6"/>
  <c r="R36" i="6"/>
  <c r="S36" i="6"/>
  <c r="N36" i="6"/>
  <c r="O36" i="6"/>
  <c r="P36" i="6"/>
  <c r="U35" i="6"/>
  <c r="Q35" i="6"/>
  <c r="R35" i="6"/>
  <c r="S35" i="6"/>
  <c r="N35" i="6"/>
  <c r="O35" i="6"/>
  <c r="P35" i="6"/>
  <c r="U34" i="6"/>
  <c r="Q34" i="6"/>
  <c r="R34" i="6"/>
  <c r="S34" i="6"/>
  <c r="N34" i="6"/>
  <c r="O34" i="6"/>
  <c r="P34" i="6"/>
  <c r="U33" i="6"/>
  <c r="Q33" i="6"/>
  <c r="R33" i="6"/>
  <c r="S33" i="6"/>
  <c r="N33" i="6"/>
  <c r="O33" i="6"/>
  <c r="P33" i="6"/>
  <c r="U32" i="6"/>
  <c r="Q32" i="6"/>
  <c r="R32" i="6"/>
  <c r="S32" i="6"/>
  <c r="N32" i="6"/>
  <c r="O32" i="6"/>
  <c r="P32" i="6"/>
  <c r="U31" i="6"/>
  <c r="Q31" i="6"/>
  <c r="R31" i="6"/>
  <c r="S31" i="6"/>
  <c r="N31" i="6"/>
  <c r="O31" i="6"/>
  <c r="P31" i="6"/>
  <c r="U30" i="6"/>
  <c r="Q30" i="6"/>
  <c r="R30" i="6"/>
  <c r="S30" i="6"/>
  <c r="N30" i="6"/>
  <c r="O30" i="6"/>
  <c r="P30" i="6"/>
  <c r="U29" i="6"/>
  <c r="Q29" i="6"/>
  <c r="R29" i="6"/>
  <c r="S29" i="6"/>
  <c r="N29" i="6"/>
  <c r="O29" i="6"/>
  <c r="P29" i="6"/>
  <c r="U28" i="6"/>
  <c r="Q28" i="6"/>
  <c r="R28" i="6"/>
  <c r="S28" i="6"/>
  <c r="N28" i="6"/>
  <c r="O28" i="6"/>
  <c r="P28" i="6"/>
  <c r="U27" i="6"/>
  <c r="Q27" i="6"/>
  <c r="R27" i="6"/>
  <c r="S27" i="6"/>
  <c r="N27" i="6"/>
  <c r="O27" i="6"/>
  <c r="P27" i="6"/>
  <c r="U26" i="6"/>
  <c r="Q26" i="6"/>
  <c r="R26" i="6"/>
  <c r="S26" i="6"/>
  <c r="N26" i="6"/>
  <c r="O26" i="6"/>
  <c r="P26" i="6"/>
  <c r="U25" i="6"/>
  <c r="Q25" i="6"/>
  <c r="R25" i="6"/>
  <c r="S25" i="6"/>
  <c r="N25" i="6"/>
  <c r="O25" i="6"/>
  <c r="P25" i="6"/>
  <c r="U24" i="6"/>
  <c r="Q24" i="6"/>
  <c r="R24" i="6"/>
  <c r="S24" i="6"/>
  <c r="N24" i="6"/>
  <c r="O24" i="6"/>
  <c r="P24" i="6"/>
  <c r="U23" i="6"/>
  <c r="Q23" i="6"/>
  <c r="R23" i="6"/>
  <c r="S23" i="6"/>
  <c r="N23" i="6"/>
  <c r="O23" i="6"/>
  <c r="P23" i="6"/>
  <c r="U22" i="6"/>
  <c r="Q22" i="6"/>
  <c r="R22" i="6"/>
  <c r="S22" i="6"/>
  <c r="N22" i="6"/>
  <c r="O22" i="6"/>
  <c r="P22" i="6"/>
  <c r="U21" i="6"/>
  <c r="Q21" i="6"/>
  <c r="R21" i="6"/>
  <c r="S21" i="6"/>
  <c r="N21" i="6"/>
  <c r="O21" i="6"/>
  <c r="P21" i="6"/>
  <c r="U20" i="6"/>
  <c r="Q20" i="6"/>
  <c r="R20" i="6"/>
  <c r="S20" i="6"/>
  <c r="N20" i="6"/>
  <c r="O20" i="6"/>
  <c r="P20" i="6"/>
  <c r="U19" i="6"/>
  <c r="Q19" i="6"/>
  <c r="R19" i="6"/>
  <c r="S19" i="6"/>
  <c r="N19" i="6"/>
  <c r="O19" i="6"/>
  <c r="P19" i="6"/>
  <c r="U18" i="6"/>
  <c r="Q18" i="6"/>
  <c r="R18" i="6"/>
  <c r="S18" i="6"/>
  <c r="N18" i="6"/>
  <c r="O18" i="6"/>
  <c r="P18" i="6"/>
  <c r="U17" i="6"/>
  <c r="Q17" i="6"/>
  <c r="R17" i="6"/>
  <c r="S17" i="6"/>
  <c r="N17" i="6"/>
  <c r="O17" i="6"/>
  <c r="P17" i="6"/>
  <c r="U16" i="6"/>
  <c r="Q16" i="6"/>
  <c r="R16" i="6"/>
  <c r="S16" i="6"/>
  <c r="N16" i="6"/>
  <c r="O16" i="6"/>
  <c r="P16" i="6"/>
  <c r="U15" i="6"/>
  <c r="Q15" i="6"/>
  <c r="R15" i="6"/>
  <c r="S15" i="6"/>
  <c r="N15" i="6"/>
  <c r="O15" i="6"/>
  <c r="P1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林迪南</author>
  </authors>
  <commentList>
    <comment ref="J13" authorId="0" shapeId="0" xr:uid="{00000000-0006-0000-0200-000001000000}">
      <text>
        <r>
          <rPr>
            <b/>
            <sz val="9"/>
            <rFont val="宋体"/>
            <family val="3"/>
            <charset val="134"/>
          </rPr>
          <t>林迪南:</t>
        </r>
        <r>
          <rPr>
            <sz val="9"/>
            <rFont val="宋体"/>
            <family val="3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<sst xmlns="http://schemas.openxmlformats.org/spreadsheetml/2006/main" count="527" uniqueCount="166">
  <si>
    <t>挠度工况数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</si>
  <si>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</si>
  <si>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</si>
  <si>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</si>
  <si>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</si>
  <si>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</si>
  <si>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</si>
  <si>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</si>
  <si>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</si>
  <si>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</si>
  <si>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</si>
  <si>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</si>
  <si>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最大弹性位移</t>
  </si>
  <si>
    <t>最小校验系数</t>
  </si>
  <si>
    <t>最大校验系数</t>
  </si>
  <si>
    <t>最小相对残余变形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</si>
  <si>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</si>
  <si>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</si>
  <si>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</si>
  <si>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</si>
  <si>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</si>
  <si>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</si>
  <si>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</si>
  <si>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</si>
  <si>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</si>
  <si>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</si>
  <si>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</si>
  <si>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</si>
  <si>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</si>
  <si>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</si>
  <si>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</si>
  <si>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</si>
  <si>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</si>
  <si>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</si>
  <si>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</si>
  <si>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</si>
  <si>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</si>
  <si>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</si>
  <si>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</si>
  <si>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</si>
  <si>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应变工况数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</si>
  <si>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</si>
  <si>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</si>
  <si>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</si>
  <si>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</si>
  <si>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</si>
  <si>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</si>
  <si>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</si>
  <si>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</si>
  <si>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</si>
  <si>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</si>
  <si>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</si>
  <si>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t>满载理论值(με)</t>
  </si>
  <si>
    <t>仪器类型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</si>
  <si>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</si>
  <si>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</si>
  <si>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</si>
  <si>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</si>
  <si>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</si>
  <si>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</si>
  <si>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</si>
  <si>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</si>
  <si>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</si>
  <si>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</si>
  <si>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</si>
  <si>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</si>
  <si>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</si>
  <si>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</si>
  <si>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</si>
  <si>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</si>
  <si>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</si>
  <si>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</si>
  <si>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</si>
  <si>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</si>
  <si>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</si>
  <si>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</si>
  <si>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</si>
  <si>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</si>
  <si>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</si>
  <si>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</si>
  <si>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</si>
  <si>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</si>
  <si>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</si>
  <si>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</si>
  <si>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</si>
  <si>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</si>
  <si>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</si>
  <si>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</si>
  <si>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</si>
  <si>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</si>
  <si>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</si>
  <si>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</si>
  <si>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</si>
  <si>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</si>
  <si>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</si>
  <si>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</si>
  <si>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</si>
  <si>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</si>
  <si>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</si>
  <si>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</si>
  <si>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</si>
  <si>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</si>
  <si>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</si>
  <si>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</si>
  <si>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</si>
  <si>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</si>
  <si>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</si>
  <si>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</si>
  <si>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</si>
  <si>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</si>
  <si>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</si>
  <si>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0#</t>
    </r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</si>
  <si>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1#</t>
    </r>
  </si>
  <si>
    <r>
      <rPr>
        <sz val="11"/>
        <color theme="1"/>
        <rFont val="宋体"/>
        <family val="3"/>
        <charset val="134"/>
      </rPr>
      <t>Z</t>
    </r>
    <r>
      <rPr>
        <sz val="11"/>
        <color theme="1"/>
        <rFont val="等线"/>
        <family val="3"/>
        <charset val="134"/>
      </rPr>
      <t>D1</t>
    </r>
  </si>
  <si>
    <r>
      <rPr>
        <sz val="11"/>
        <color theme="1"/>
        <rFont val="等线"/>
        <family val="3"/>
        <charset val="134"/>
      </rPr>
      <t>9</t>
    </r>
    <r>
      <rPr>
        <sz val="11"/>
        <color theme="1"/>
        <rFont val="等线"/>
        <family val="3"/>
        <charset val="134"/>
      </rPr>
      <t>#</t>
    </r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</si>
  <si>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</si>
  <si>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</si>
  <si>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</si>
  <si>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</si>
  <si>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</si>
  <si>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</si>
  <si>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</si>
  <si>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</si>
  <si>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</si>
  <si>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</si>
  <si>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应变计算公式</t>
  </si>
  <si>
    <t>理论计算值</t>
  </si>
  <si>
    <r>
      <rPr>
        <sz val="12"/>
        <color indexed="16"/>
        <rFont val="宋体"/>
        <family val="3"/>
        <charset val="134"/>
      </rPr>
      <t>应力(N/mm</t>
    </r>
    <r>
      <rPr>
        <u/>
        <vertAlign val="superscript"/>
        <sz val="12"/>
        <color indexed="16"/>
        <rFont val="宋体"/>
        <family val="3"/>
        <charset val="134"/>
      </rPr>
      <t>2</t>
    </r>
    <r>
      <rPr>
        <sz val="12"/>
        <color indexed="16"/>
        <rFont val="宋体"/>
        <family val="3"/>
        <charset val="134"/>
      </rPr>
      <t>)</t>
    </r>
  </si>
  <si>
    <t>10#</t>
  </si>
  <si>
    <t>11#</t>
  </si>
  <si>
    <t>12#</t>
  </si>
  <si>
    <t>13#</t>
  </si>
  <si>
    <t>14#</t>
  </si>
  <si>
    <t>一</t>
    <phoneticPr fontId="14" type="noConversion"/>
  </si>
  <si>
    <t>A-1</t>
    <phoneticPr fontId="14" type="noConversion"/>
  </si>
  <si>
    <t>A-2</t>
    <phoneticPr fontId="14" type="noConversion"/>
  </si>
  <si>
    <t>A-3</t>
    <phoneticPr fontId="14" type="noConversion"/>
  </si>
  <si>
    <t>A-4</t>
    <phoneticPr fontId="14" type="noConversion"/>
  </si>
  <si>
    <t>B-1</t>
    <phoneticPr fontId="14" type="noConversion"/>
  </si>
  <si>
    <t>B-2</t>
    <phoneticPr fontId="14" type="noConversion"/>
  </si>
  <si>
    <t>B-3</t>
    <phoneticPr fontId="14" type="noConversion"/>
  </si>
  <si>
    <t>B-4</t>
    <phoneticPr fontId="14" type="noConversion"/>
  </si>
  <si>
    <t>二</t>
    <phoneticPr fontId="14" type="noConversion"/>
  </si>
  <si>
    <t>C-1</t>
    <phoneticPr fontId="14" type="noConversion"/>
  </si>
  <si>
    <t>C-2</t>
    <phoneticPr fontId="14" type="noConversion"/>
  </si>
  <si>
    <t>C-3</t>
    <phoneticPr fontId="14" type="noConversion"/>
  </si>
  <si>
    <t>C-4</t>
    <phoneticPr fontId="14" type="noConversion"/>
  </si>
  <si>
    <r>
      <t>A</t>
    </r>
    <r>
      <rPr>
        <sz val="11"/>
        <color theme="1"/>
        <rFont val="等线"/>
        <family val="3"/>
        <charset val="134"/>
        <scheme val="minor"/>
      </rPr>
      <t>-A</t>
    </r>
    <phoneticPr fontId="14" type="noConversion"/>
  </si>
  <si>
    <t>分组</t>
    <phoneticPr fontId="14" type="noConversion"/>
  </si>
  <si>
    <t>C-C</t>
    <phoneticPr fontId="14" type="noConversion"/>
  </si>
  <si>
    <t>分组</t>
    <phoneticPr fontId="14" type="noConversion"/>
  </si>
  <si>
    <r>
      <t>A</t>
    </r>
    <r>
      <rPr>
        <sz val="11"/>
        <color theme="1"/>
        <rFont val="等线"/>
        <family val="3"/>
        <charset val="134"/>
        <scheme val="minor"/>
      </rPr>
      <t>-A</t>
    </r>
    <phoneticPr fontId="14" type="noConversion"/>
  </si>
  <si>
    <t>A-A</t>
    <phoneticPr fontId="14" type="noConversion"/>
  </si>
  <si>
    <t>B-B</t>
    <phoneticPr fontId="14" type="noConversion"/>
  </si>
  <si>
    <t>C-C</t>
    <phoneticPr fontId="14" type="noConversion"/>
  </si>
  <si>
    <t>组名</t>
    <phoneticPr fontId="14" type="noConversion"/>
  </si>
  <si>
    <t>组名称</t>
    <phoneticPr fontId="14" type="noConversion"/>
  </si>
  <si>
    <r>
      <t>A-</t>
    </r>
    <r>
      <rPr>
        <sz val="11"/>
        <color theme="1"/>
        <rFont val="等线"/>
        <family val="3"/>
        <charset val="134"/>
        <scheme val="minor"/>
      </rPr>
      <t>A</t>
    </r>
    <phoneticPr fontId="14" type="noConversion"/>
  </si>
  <si>
    <r>
      <t>C</t>
    </r>
    <r>
      <rPr>
        <sz val="11"/>
        <color theme="1"/>
        <rFont val="等线"/>
        <family val="3"/>
        <charset val="134"/>
        <scheme val="minor"/>
      </rPr>
      <t>-C</t>
    </r>
    <phoneticPr fontId="14" type="noConversion"/>
  </si>
  <si>
    <t>应变组数</t>
    <phoneticPr fontId="14" type="noConversion"/>
  </si>
  <si>
    <r>
      <t>A</t>
    </r>
    <r>
      <rPr>
        <sz val="11"/>
        <color theme="1"/>
        <rFont val="等线"/>
        <family val="3"/>
        <charset val="134"/>
        <scheme val="minor"/>
      </rPr>
      <t>-A</t>
    </r>
    <phoneticPr fontId="14" type="noConversion"/>
  </si>
  <si>
    <t>B-B</t>
    <phoneticPr fontId="14" type="noConversion"/>
  </si>
  <si>
    <t>一</t>
    <phoneticPr fontId="14" type="noConversion"/>
  </si>
  <si>
    <t>二</t>
    <phoneticPr fontId="14" type="noConversion"/>
  </si>
  <si>
    <t>三</t>
    <phoneticPr fontId="14" type="noConversion"/>
  </si>
  <si>
    <t>组1测点数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</si>
</sst>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_ "/>
  </numFmts>
  <fonts count="1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u/>
      <vertAlign val="superscript"/>
      <sz val="12"/>
      <color indexed="1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</font>
    <font>
      <sz val="9"/>
      <color rgb="FF000000"/>
      <name val="Microsoft YaHei UI"/>
      <family val="2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color indexed="16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46">
    <xf numFmtId="0" fontId="0" fillId="0" borderId="0" xfId="0"/>
    <xf numFmtId="0" fontId="0" fillId="0" borderId="0" xfId="0" applyFon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0" fontId="16" fillId="0" borderId="0" xfId="0" applyFont="1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实测值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挠度!$B$13:$B$16</c:f>
              <c:strCache>
                <c:ptCount val="4"/>
                <c:pt idx="0">
                  <c:v>A-1</c:v>
                </c:pt>
                <c:pt idx="1">
                  <c:v>A-2</c:v>
                </c:pt>
                <c:pt idx="2">
                  <c:v>A-3</c:v>
                </c:pt>
                <c:pt idx="3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1.6599999999999966</c:v>
                </c:pt>
                <c:pt idx="1">
                  <c:v>2.0200000000000102</c:v>
                </c:pt>
                <c:pt idx="2">
                  <c:v>2.4100000000000108</c:v>
                </c:pt>
                <c:pt idx="3">
                  <c:v>2.1700000000000159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EB-4005-893B-C477451B7CD9}"/>
            </c:ext>
          </c:extLst>
        </c:ser>
        <c:ser>
          <c:idx val="1"/>
          <c:order val="1"/>
          <c:tx>
            <c:v>理论值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挠度!$B$13:$B$16</c:f>
              <c:strCache>
                <c:ptCount val="4"/>
                <c:pt idx="0">
                  <c:v>A-1</c:v>
                </c:pt>
                <c:pt idx="1">
                  <c:v>A-2</c:v>
                </c:pt>
                <c:pt idx="2">
                  <c:v>A-3</c:v>
                </c:pt>
                <c:pt idx="3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EB-4005-893B-C477451B7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671656"/>
        <c:axId val="722672312"/>
      </c:lineChart>
      <c:catAx>
        <c:axId val="722671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672312"/>
        <c:crosses val="autoZero"/>
        <c:auto val="1"/>
        <c:lblAlgn val="ctr"/>
        <c:lblOffset val="100"/>
        <c:noMultiLvlLbl val="0"/>
      </c:catAx>
      <c:valAx>
        <c:axId val="722672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67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实测值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挠度!$B$17:$B$20</c:f>
              <c:strCache>
                <c:ptCount val="4"/>
                <c:pt idx="0">
                  <c:v>C-1</c:v>
                </c:pt>
                <c:pt idx="1">
                  <c:v>C-2</c:v>
                </c:pt>
                <c:pt idx="2">
                  <c:v>C-3</c:v>
                </c:pt>
                <c:pt idx="3">
                  <c:v>C-4</c:v>
                </c:pt>
              </c:strCache>
            </c:strRef>
          </c:cat>
          <c:val>
            <c:numRef>
              <c:f>挠度!$I$17:$I$20</c:f>
              <c:numCache>
                <c:formatCode>0.00_ </c:formatCode>
                <c:ptCount val="4"/>
                <c:pt idx="0">
                  <c:v>1.8299999999999272</c:v>
                </c:pt>
                <c:pt idx="1">
                  <c:v>1.6000000000000227</c:v>
                </c:pt>
                <c:pt idx="2">
                  <c:v>1.7300000000000182</c:v>
                </c:pt>
                <c:pt idx="3">
                  <c:v>2.1100000000000136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EF-4B22-AA95-2658C093C1C4}"/>
            </c:ext>
          </c:extLst>
        </c:ser>
        <c:ser>
          <c:idx val="1"/>
          <c:order val="1"/>
          <c:tx>
            <c:v>理论值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挠度!$B$17:$B$20</c:f>
              <c:strCache>
                <c:ptCount val="4"/>
                <c:pt idx="0">
                  <c:v>C-1</c:v>
                </c:pt>
                <c:pt idx="1">
                  <c:v>C-2</c:v>
                </c:pt>
                <c:pt idx="2">
                  <c:v>C-3</c:v>
                </c:pt>
                <c:pt idx="3">
                  <c:v>C-4</c:v>
                </c:pt>
              </c:strCache>
            </c:strRef>
          </c:cat>
          <c:val>
            <c:numRef>
              <c:f>挠度!$J$17:$J$20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EF-4B22-AA95-2658C093C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275272"/>
        <c:axId val="630278552"/>
      </c:lineChart>
      <c:catAx>
        <c:axId val="630275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30278552"/>
        <c:crosses val="autoZero"/>
        <c:auto val="1"/>
        <c:lblAlgn val="ctr"/>
        <c:lblOffset val="100"/>
        <c:noMultiLvlLbl val="0"/>
      </c:catAx>
      <c:valAx>
        <c:axId val="630278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3027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实测值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应变!$B$15:$B$18</c:f>
              <c:strCache>
                <c:ptCount val="4"/>
                <c:pt idx="0">
                  <c:v>A-1</c:v>
                </c:pt>
                <c:pt idx="1">
                  <c:v>A-2</c:v>
                </c:pt>
                <c:pt idx="2">
                  <c:v>A-3</c:v>
                </c:pt>
                <c:pt idx="3">
                  <c:v>A-4</c:v>
                </c:pt>
              </c:strCache>
            </c:strRef>
          </c:cat>
          <c:val>
            <c:numRef>
              <c:f>应变!$I$15:$I$18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AE-4655-B85E-5581A85729F7}"/>
            </c:ext>
          </c:extLst>
        </c:ser>
        <c:ser>
          <c:idx val="1"/>
          <c:order val="1"/>
          <c:tx>
            <c:v>理论值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应变!$B$15:$B$18</c:f>
              <c:strCache>
                <c:ptCount val="4"/>
                <c:pt idx="0">
                  <c:v>A-1</c:v>
                </c:pt>
                <c:pt idx="1">
                  <c:v>A-2</c:v>
                </c:pt>
                <c:pt idx="2">
                  <c:v>A-3</c:v>
                </c:pt>
                <c:pt idx="3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AE-4655-B85E-5581A8572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609968"/>
        <c:axId val="730615216"/>
      </c:lineChart>
      <c:catAx>
        <c:axId val="730609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0615216"/>
        <c:crosses val="autoZero"/>
        <c:auto val="1"/>
        <c:lblAlgn val="ctr"/>
        <c:lblOffset val="100"/>
        <c:noMultiLvlLbl val="0"/>
      </c:catAx>
      <c:valAx>
        <c:axId val="73061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应变（</a:t>
                </a:r>
                <a:r>
                  <a:rPr lang="el-GR" altLang="zh-CN"/>
                  <a:t>με</a:t>
                </a:r>
                <a:r>
                  <a:rPr lang="zh-CN" altLang="el-GR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060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实测值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应变!$B$19:$B$22</c:f>
              <c:strCache>
                <c:ptCount val="4"/>
                <c:pt idx="0">
                  <c:v>B-1</c:v>
                </c:pt>
                <c:pt idx="1">
                  <c:v>B-2</c:v>
                </c:pt>
                <c:pt idx="2">
                  <c:v>B-3</c:v>
                </c:pt>
                <c:pt idx="3">
                  <c:v>B-4</c:v>
                </c:pt>
              </c:strCache>
            </c:strRef>
          </c:cat>
          <c:val>
            <c:numRef>
              <c:f>应变!$I$19:$I$22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28-49AD-8166-44F47682EB4C}"/>
            </c:ext>
          </c:extLst>
        </c:ser>
        <c:ser>
          <c:idx val="1"/>
          <c:order val="1"/>
          <c:tx>
            <c:v>理论值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应变!$B$19:$B$22</c:f>
              <c:strCache>
                <c:ptCount val="4"/>
                <c:pt idx="0">
                  <c:v>B-1</c:v>
                </c:pt>
                <c:pt idx="1">
                  <c:v>B-2</c:v>
                </c:pt>
                <c:pt idx="2">
                  <c:v>B-3</c:v>
                </c:pt>
                <c:pt idx="3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28-49AD-8166-44F47682E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851328"/>
        <c:axId val="726850016"/>
      </c:lineChart>
      <c:catAx>
        <c:axId val="726851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6850016"/>
        <c:crosses val="autoZero"/>
        <c:auto val="1"/>
        <c:lblAlgn val="ctr"/>
        <c:lblOffset val="100"/>
        <c:noMultiLvlLbl val="0"/>
      </c:catAx>
      <c:valAx>
        <c:axId val="72685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应变（</a:t>
                </a:r>
                <a:r>
                  <a:rPr lang="el-GR" altLang="zh-CN"/>
                  <a:t>με</a:t>
                </a:r>
                <a:r>
                  <a:rPr lang="zh-CN" altLang="el-GR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6851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实测值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应变!$B$23:$B$26</c:f>
              <c:strCache>
                <c:ptCount val="4"/>
                <c:pt idx="0">
                  <c:v>C-1</c:v>
                </c:pt>
                <c:pt idx="1">
                  <c:v>C-2</c:v>
                </c:pt>
                <c:pt idx="2">
                  <c:v>C-3</c:v>
                </c:pt>
                <c:pt idx="3">
                  <c:v>C-4</c:v>
                </c:pt>
              </c:strCache>
            </c:strRef>
          </c:cat>
          <c:val>
            <c:numRef>
              <c:f>应变!$I$23:$I$26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B7-4368-8F87-7BAD9B713277}"/>
            </c:ext>
          </c:extLst>
        </c:ser>
        <c:ser>
          <c:idx val="1"/>
          <c:order val="1"/>
          <c:tx>
            <c:v>理论值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应变!$B$23:$B$26</c:f>
              <c:strCache>
                <c:ptCount val="4"/>
                <c:pt idx="0">
                  <c:v>C-1</c:v>
                </c:pt>
                <c:pt idx="1">
                  <c:v>C-2</c:v>
                </c:pt>
                <c:pt idx="2">
                  <c:v>C-3</c:v>
                </c:pt>
                <c:pt idx="3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B7-4368-8F87-7BAD9B713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395288"/>
        <c:axId val="111392664"/>
      </c:lineChart>
      <c:catAx>
        <c:axId val="111395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392664"/>
        <c:crosses val="autoZero"/>
        <c:auto val="1"/>
        <c:lblAlgn val="ctr"/>
        <c:lblOffset val="100"/>
        <c:noMultiLvlLbl val="0"/>
      </c:catAx>
      <c:valAx>
        <c:axId val="11139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应变（</a:t>
                </a:r>
                <a:r>
                  <a:rPr lang="el-GR" altLang="zh-CN"/>
                  <a:t>με</a:t>
                </a:r>
                <a:r>
                  <a:rPr lang="zh-CN" altLang="el-GR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39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52-4912-A7A6-6DBCC3038582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52-4912-A7A6-6DBCC3038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C8-45C1-8060-B363CF1F083A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C8-45C1-8060-B363CF1F0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4E-413B-B574-115EC4C09FCB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4E-413B-B574-115EC4C09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noThreeD="1"/>
</file>

<file path=xl/ctrlProps/ctrlProp6.xml><?xml version="1.0" encoding="utf-8"?>
<formControlPr xmlns="http://schemas.microsoft.com/office/spreadsheetml/2009/9/main" objectType="Label"/>
</file>

<file path=xl/ctrlProps/ctrlProp7.xml><?xml version="1.0" encoding="utf-8"?>
<formControlPr xmlns="http://schemas.microsoft.com/office/spreadsheetml/2009/9/main" objectType="Label"/>
</file>

<file path=xl/ctrlProps/ctrlProp8.xml><?xml version="1.0" encoding="utf-8"?>
<formControlPr xmlns="http://schemas.microsoft.com/office/spreadsheetml/2009/9/main" objectType="Label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ctrlProps/ctrlProp25.xml><?xml version="1.0" encoding="utf-8"?>
<formControlPr xmlns="http://schemas.microsoft.com/office/spreadsheetml/2009/9/main" objectType="Button"/>
</file>

<file path=xl/ctrlProps/ctrlProp26.xml><?xml version="1.0" encoding="utf-8"?>
<formControlPr xmlns="http://schemas.microsoft.com/office/spreadsheetml/2009/9/main" objectType="Button"/>
</file>

<file path=xl/ctrlProps/ctrlProp27.xml><?xml version="1.0" encoding="utf-8"?>
<formControlPr xmlns="http://schemas.microsoft.com/office/spreadsheetml/2009/9/main" objectType="CheckBox" checked="Checked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Button"/>
</file>

<file path=xl/ctrlProps/ctrlProp31.xml><?xml version="1.0" encoding="utf-8"?>
<formControlPr xmlns="http://schemas.microsoft.com/office/spreadsheetml/2009/9/main" objectType="Button"/>
</file>

<file path=xl/ctrlProps/ctrlProp32.xml><?xml version="1.0" encoding="utf-8"?>
<formControlPr xmlns="http://schemas.microsoft.com/office/spreadsheetml/2009/9/main" objectType="Button"/>
</file>

<file path=xl/ctrlProps/ctrlProp33.xml><?xml version="1.0" encoding="utf-8"?>
<formControlPr xmlns="http://schemas.microsoft.com/office/spreadsheetml/2009/9/main" objectType="Button"/>
</file>

<file path=xl/ctrlProps/ctrlProp34.xml><?xml version="1.0" encoding="utf-8"?>
<formControlPr xmlns="http://schemas.microsoft.com/office/spreadsheetml/2009/9/main" objectType="Button"/>
</file>

<file path=xl/ctrlProps/ctrlProp35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4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104775</xdr:rowOff>
        </xdr:from>
        <xdr:to>
          <xdr:col>6</xdr:col>
          <xdr:colOff>76200</xdr:colOff>
          <xdr:row>11</xdr:row>
          <xdr:rowOff>123825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2095500" y="1371600"/>
              <a:ext cx="2095500" cy="742950"/>
              <a:chOff x="4124325" y="1209677"/>
              <a:chExt cx="2095500" cy="742950"/>
            </a:xfrm>
          </xdr:grpSpPr>
          <xdr:sp macro="" textlink="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  <a:ext uri="{FF2B5EF4-FFF2-40B4-BE49-F238E27FC236}">
                    <a16:creationId xmlns:a16="http://schemas.microsoft.com/office/drawing/2014/main" id="{00000000-0008-0000-0000-0000091C0000}"/>
                  </a:ext>
                </a:extLst>
              </xdr:cNvPr>
              <xdr:cNvSpPr/>
            </xdr:nvSpPr>
            <xdr:spPr bwMode="auto">
              <a:xfrm>
                <a:off x="4324350" y="1685925"/>
                <a:ext cx="8953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</a:p>
            </xdr:txBody>
          </xdr:sp>
          <xdr:sp macro="" textlink=""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000-00000A1C0000}"/>
                  </a:ext>
                </a:extLst>
              </xdr:cNvPr>
              <xdr:cNvSpPr/>
            </xdr:nvSpPr>
            <xdr:spPr bwMode="auto">
              <a:xfrm>
                <a:off x="4286250" y="1371600"/>
                <a:ext cx="6953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单位内网</a:t>
                </a:r>
              </a:p>
            </xdr:txBody>
          </xdr:sp>
          <xdr:sp macro="" textlink=""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000-00000C1C0000}"/>
                  </a:ext>
                </a:extLst>
              </xdr:cNvPr>
              <xdr:cNvSpPr/>
            </xdr:nvSpPr>
            <xdr:spPr bwMode="auto">
              <a:xfrm>
                <a:off x="4124325" y="1209677"/>
                <a:ext cx="2095500" cy="742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当前网络</a:t>
                </a:r>
              </a:p>
            </xdr:txBody>
          </xdr:sp>
          <xdr:sp macro="" textlink=""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000-00000D1C0000}"/>
                  </a:ext>
                </a:extLst>
              </xdr:cNvPr>
              <xdr:cNvSpPr/>
            </xdr:nvSpPr>
            <xdr:spPr bwMode="auto">
              <a:xfrm>
                <a:off x="5153025" y="1362075"/>
                <a:ext cx="9239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外网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 macro="" textlink="">
          <xdr:nvSpPr>
            <xdr:cNvPr id="7182" name="label1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CopyRight 2019 - 福建省建筑科学研究院 - 福建省建筑工程质量检测中心有限公司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 macro="" textlink="">
          <xdr:nvSpPr>
            <xdr:cNvPr id="7183" name="VersionPrompt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当前版本：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 macro="" textlink="">
          <xdr:nvSpPr>
            <xdr:cNvPr id="7184" name="Version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v2.0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266700</xdr:colOff>
          <xdr:row>7</xdr:row>
          <xdr:rowOff>75565</xdr:rowOff>
        </xdr:from>
        <xdr:to>
          <xdr:col>17</xdr:col>
          <xdr:colOff>371475</xdr:colOff>
          <xdr:row>18</xdr:row>
          <xdr:rowOff>123191</xdr:rowOff>
        </xdr:to>
        <xdr:grpSp>
          <xdr:nvGrpSpPr>
            <xdr:cNvPr id="15" name="组合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pSpPr/>
          </xdr:nvGrpSpPr>
          <xdr:grpSpPr>
            <a:xfrm>
              <a:off x="9401175" y="1342390"/>
              <a:ext cx="2847975" cy="2038351"/>
              <a:chOff x="10801350" y="1590673"/>
              <a:chExt cx="2847975" cy="2038351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1010900" y="2200275"/>
                <a:ext cx="98107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12401550" y="1771650"/>
                <a:ext cx="9620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12411075" y="2209800"/>
                <a:ext cx="971550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11010900" y="2676524"/>
                <a:ext cx="13811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10991850" y="1781175"/>
                <a:ext cx="11525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100-000006040000}"/>
                  </a:ext>
                </a:extLst>
              </xdr:cNvPr>
              <xdr:cNvSpPr/>
            </xdr:nvSpPr>
            <xdr:spPr bwMode="auto">
              <a:xfrm>
                <a:off x="10801350" y="1590673"/>
                <a:ext cx="2847975" cy="203835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挠度功能区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</a:p>
        <a:p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6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、若一个工况测试多个横截面、并且需要分截面作图，请将该工况按截面拆分（程序暂不支持在一个工况中针对每个截面分开作图）。</a:t>
          </a:r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14</xdr:col>
      <xdr:colOff>339725</xdr:colOff>
      <xdr:row>10</xdr:row>
      <xdr:rowOff>95250</xdr:rowOff>
    </xdr:from>
    <xdr:to>
      <xdr:col>20</xdr:col>
      <xdr:colOff>669925</xdr:colOff>
      <xdr:row>24</xdr:row>
      <xdr:rowOff>101600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C9B2DD9-B2DF-40B5-A998-91D241BC38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339725</xdr:colOff>
      <xdr:row>25</xdr:row>
      <xdr:rowOff>174625</xdr:rowOff>
    </xdr:from>
    <xdr:to>
      <xdr:col>20</xdr:col>
      <xdr:colOff>669925</xdr:colOff>
      <xdr:row>40</xdr:row>
      <xdr:rowOff>0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7A7E663-5736-4B59-8399-847615C01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152400</xdr:rowOff>
        </xdr:from>
        <xdr:to>
          <xdr:col>15</xdr:col>
          <xdr:colOff>466725</xdr:colOff>
          <xdr:row>15</xdr:row>
          <xdr:rowOff>152400</xdr:rowOff>
        </xdr:to>
        <xdr:grpSp>
          <xdr:nvGrpSpPr>
            <xdr:cNvPr id="11" name="组合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pSpPr/>
          </xdr:nvGrpSpPr>
          <xdr:grpSpPr>
            <a:xfrm>
              <a:off x="8153400" y="1057275"/>
              <a:ext cx="3162300" cy="1809750"/>
              <a:chOff x="7762875" y="619125"/>
              <a:chExt cx="3162300" cy="2019300"/>
            </a:xfrm>
          </xdr:grpSpPr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200-000001080000}"/>
                  </a:ext>
                </a:extLst>
              </xdr:cNvPr>
              <xdr:cNvSpPr/>
            </xdr:nvSpPr>
            <xdr:spPr bwMode="auto">
              <a:xfrm>
                <a:off x="8058150" y="1352549"/>
                <a:ext cx="1047750" cy="3333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</a:p>
            </xdr:txBody>
          </xdr:sp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200-000002080000}"/>
                  </a:ext>
                </a:extLst>
              </xdr:cNvPr>
              <xdr:cNvSpPr/>
            </xdr:nvSpPr>
            <xdr:spPr bwMode="auto">
              <a:xfrm>
                <a:off x="9486900" y="838200"/>
                <a:ext cx="9620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200-000003080000}"/>
                  </a:ext>
                </a:extLst>
              </xdr:cNvPr>
              <xdr:cNvSpPr/>
            </xdr:nvSpPr>
            <xdr:spPr bwMode="auto">
              <a:xfrm>
                <a:off x="8067675" y="1905001"/>
                <a:ext cx="1314450" cy="3333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200-000004080000}"/>
                  </a:ext>
                </a:extLst>
              </xdr:cNvPr>
              <xdr:cNvSpPr/>
            </xdr:nvSpPr>
            <xdr:spPr bwMode="auto">
              <a:xfrm>
                <a:off x="9486900" y="1390650"/>
                <a:ext cx="12287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自动作图</a:t>
                </a:r>
              </a:p>
            </xdr:txBody>
          </xdr:sp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200-000005080000}"/>
                  </a:ext>
                </a:extLst>
              </xdr:cNvPr>
              <xdr:cNvSpPr/>
            </xdr:nvSpPr>
            <xdr:spPr bwMode="auto">
              <a:xfrm>
                <a:off x="8029575" y="838200"/>
                <a:ext cx="12287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200-000006080000}"/>
                  </a:ext>
                </a:extLst>
              </xdr:cNvPr>
              <xdr:cNvSpPr/>
            </xdr:nvSpPr>
            <xdr:spPr bwMode="auto">
              <a:xfrm>
                <a:off x="7762875" y="619125"/>
                <a:ext cx="3162300" cy="20193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应变功能区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11</xdr:col>
      <xdr:colOff>38100</xdr:colOff>
      <xdr:row>16</xdr:row>
      <xdr:rowOff>38100</xdr:rowOff>
    </xdr:from>
    <xdr:to>
      <xdr:col>16</xdr:col>
      <xdr:colOff>485775</xdr:colOff>
      <xdr:row>28</xdr:row>
      <xdr:rowOff>8890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8143875" y="2933700"/>
          <a:ext cx="3876675" cy="21424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</a:p>
        <a:p>
          <a:r>
            <a:rPr lang="en-US" altLang="zh-CN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5</a:t>
          </a:r>
          <a:r>
            <a:rPr lang="zh-CN" altLang="en-US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、若一个工况测试多个横截面、并且需要分截面作图，请将该工况按截面拆分（程序暂不支持在一个工况中针对每个截面分开作图）。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11</xdr:col>
      <xdr:colOff>85725</xdr:colOff>
      <xdr:row>28</xdr:row>
      <xdr:rowOff>57150</xdr:rowOff>
    </xdr:from>
    <xdr:to>
      <xdr:col>16</xdr:col>
      <xdr:colOff>533400</xdr:colOff>
      <xdr:row>38</xdr:row>
      <xdr:rowOff>76200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8191500" y="5124450"/>
          <a:ext cx="3876675" cy="182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14</xdr:col>
      <xdr:colOff>581025</xdr:colOff>
      <xdr:row>3</xdr:row>
      <xdr:rowOff>57150</xdr:rowOff>
    </xdr:from>
    <xdr:to>
      <xdr:col>22</xdr:col>
      <xdr:colOff>680085</xdr:colOff>
      <xdr:row>7</xdr:row>
      <xdr:rowOff>22860</xdr:rowOff>
    </xdr:to>
    <xdr:pic>
      <xdr:nvPicPr>
        <xdr:cNvPr id="6" name="Picture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0744200" y="5715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</xdr:col>
      <xdr:colOff>682625</xdr:colOff>
      <xdr:row>10</xdr:row>
      <xdr:rowOff>95250</xdr:rowOff>
    </xdr:from>
    <xdr:to>
      <xdr:col>20</xdr:col>
      <xdr:colOff>327025</xdr:colOff>
      <xdr:row>24</xdr:row>
      <xdr:rowOff>101600</xdr:rowOff>
    </xdr:to>
    <xdr:graphicFrame macro="">
      <xdr:nvGraphicFramePr>
        <xdr:cNvPr id="15" name="图表 14">
          <a:extLst>
            <a:ext uri="{FF2B5EF4-FFF2-40B4-BE49-F238E27FC236}">
              <a16:creationId xmlns:a16="http://schemas.microsoft.com/office/drawing/2014/main" id="{BDDC1335-7201-4203-A46B-534FC0D2BC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25</xdr:row>
      <xdr:rowOff>174625</xdr:rowOff>
    </xdr:from>
    <xdr:to>
      <xdr:col>20</xdr:col>
      <xdr:colOff>327025</xdr:colOff>
      <xdr:row>40</xdr:row>
      <xdr:rowOff>0</xdr:rowOff>
    </xdr:to>
    <xdr:graphicFrame macro="">
      <xdr:nvGraphicFramePr>
        <xdr:cNvPr id="16" name="图表 15">
          <a:extLst>
            <a:ext uri="{FF2B5EF4-FFF2-40B4-BE49-F238E27FC236}">
              <a16:creationId xmlns:a16="http://schemas.microsoft.com/office/drawing/2014/main" id="{EBE3D91C-F096-4A8F-99DB-5FC7BADBEC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682625</xdr:colOff>
      <xdr:row>41</xdr:row>
      <xdr:rowOff>73025</xdr:rowOff>
    </xdr:from>
    <xdr:to>
      <xdr:col>20</xdr:col>
      <xdr:colOff>327025</xdr:colOff>
      <xdr:row>55</xdr:row>
      <xdr:rowOff>79375</xdr:rowOff>
    </xdr:to>
    <xdr:graphicFrame macro="">
      <xdr:nvGraphicFramePr>
        <xdr:cNvPr id="17" name="图表 16">
          <a:extLst>
            <a:ext uri="{FF2B5EF4-FFF2-40B4-BE49-F238E27FC236}">
              <a16:creationId xmlns:a16="http://schemas.microsoft.com/office/drawing/2014/main" id="{CE96943F-2AD4-40E2-9BCF-5BE9E6C0B3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3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导出荷载试验计算书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r>
            <a:rPr lang="en-US" altLang="zh-CN" sz="1100"/>
            <a:t>6</a:t>
          </a:r>
          <a:r>
            <a:rPr lang="zh-CN" altLang="en-US" sz="1100">
              <a:ea typeface="宋体" panose="02010600030101010101" pitchFamily="7" charset="-122"/>
            </a:rPr>
            <a:t>、当前版本暂不支持自动导入图表。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导出栏杆推力报告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 macro="" textlink=""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导出实测值与理论计算值关系曲线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 macro="" textlink="">
          <xdr:nvSpPr>
            <xdr:cNvPr id="4103" name="Group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荷载试验报告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荷载试验计算书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打开报告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打开计算书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7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3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D14"/>
  <sheetViews>
    <sheetView tabSelected="1" workbookViewId="0">
      <selection activeCell="E6" sqref="E6"/>
    </sheetView>
  </sheetViews>
  <sheetFormatPr defaultColWidth="9" defaultRowHeight="14.25"/>
  <sheetData>
    <row r="14" spans="4:4">
      <c r="D14" s="1"/>
    </row>
  </sheetData>
  <phoneticPr fontId="14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Pict="0" macro="[0]!instructions_Click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autoPict="0" macro="[0]!CheckUpdate">
                <anchor moveWithCells="1" sizeWithCells="1">
                  <from>
                    <xdr:col>3</xdr:col>
                    <xdr:colOff>238125</xdr:colOff>
                    <xdr:row>10</xdr:row>
                    <xdr:rowOff>38100</xdr:rowOff>
                  </from>
                  <to>
                    <xdr:col>4</xdr:col>
                    <xdr:colOff>447675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6" name="op1">
              <controlPr defaultSize="0" autoPict="0">
                <anchor moveWithCells="1">
                  <from>
                    <xdr:col>3</xdr:col>
                    <xdr:colOff>200025</xdr:colOff>
                    <xdr:row>8</xdr:row>
                    <xdr:rowOff>85725</xdr:rowOff>
                  </from>
                  <to>
                    <xdr:col>4</xdr:col>
                    <xdr:colOff>209550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Group Box 12">
              <controlPr defaultSize="0" autoPict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op2">
              <controlPr defaultSize="0" autoPict="0">
                <anchor moveWithCells="1">
                  <from>
                    <xdr:col>4</xdr:col>
                    <xdr:colOff>381000</xdr:colOff>
                    <xdr:row>8</xdr:row>
                    <xdr:rowOff>76200</xdr:rowOff>
                  </from>
                  <to>
                    <xdr:col>5</xdr:col>
                    <xdr:colOff>619125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label1">
              <controlPr defaultSize="0" autoPict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VersionPrompt">
              <controlPr defaultSize="0" autoPict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Version">
              <controlPr defaultSize="0" autoPict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40"/>
  <sheetViews>
    <sheetView workbookViewId="0">
      <selection activeCell="E20" sqref="E20"/>
    </sheetView>
  </sheetViews>
  <sheetFormatPr defaultColWidth="9" defaultRowHeight="14.25"/>
  <cols>
    <col min="1" max="1" width="11.875" customWidth="1"/>
  </cols>
  <sheetData>
    <row r="1" spans="1:19">
      <c r="A1" t="s">
        <v>0</v>
      </c>
      <c r="B1">
        <v>2</v>
      </c>
    </row>
    <row r="2" spans="1:19">
      <c r="A2" t="s">
        <v>1</v>
      </c>
      <c r="B2">
        <v>4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19">
      <c r="A4" s="121" t="s">
        <v>156</v>
      </c>
      <c r="B4" s="121" t="s">
        <v>157</v>
      </c>
      <c r="D4" s="121" t="s">
        <v>158</v>
      </c>
    </row>
    <row r="5" spans="1:19">
      <c r="A5" s="1" t="s">
        <v>12</v>
      </c>
      <c r="B5">
        <v>2.41</v>
      </c>
      <c r="D5">
        <v>2.11</v>
      </c>
    </row>
    <row r="6" spans="1:19">
      <c r="A6" t="s">
        <v>13</v>
      </c>
      <c r="B6">
        <v>0.76</v>
      </c>
      <c r="D6">
        <v>0.6</v>
      </c>
    </row>
    <row r="7" spans="1:19">
      <c r="A7" t="s">
        <v>14</v>
      </c>
      <c r="B7">
        <v>0.89</v>
      </c>
      <c r="D7">
        <v>0.88</v>
      </c>
    </row>
    <row r="8" spans="1:19">
      <c r="A8" s="1" t="s">
        <v>15</v>
      </c>
      <c r="B8" s="2">
        <v>0</v>
      </c>
      <c r="D8" s="2">
        <v>0</v>
      </c>
    </row>
    <row r="9" spans="1:19">
      <c r="A9" t="s">
        <v>16</v>
      </c>
      <c r="B9" s="2">
        <v>4.7399999999999998E-2</v>
      </c>
      <c r="D9" s="2">
        <v>0.17949999999999999</v>
      </c>
    </row>
    <row r="11" spans="1:19">
      <c r="A11" s="122" t="s">
        <v>17</v>
      </c>
      <c r="B11" s="122" t="s">
        <v>18</v>
      </c>
      <c r="C11" s="124" t="s">
        <v>19</v>
      </c>
      <c r="D11" s="124" t="s">
        <v>20</v>
      </c>
      <c r="E11" s="124"/>
      <c r="F11" s="124" t="s">
        <v>21</v>
      </c>
      <c r="G11" s="124"/>
      <c r="H11" s="124"/>
      <c r="I11" s="124" t="s">
        <v>22</v>
      </c>
      <c r="J11" s="124" t="s">
        <v>23</v>
      </c>
      <c r="K11" s="124" t="s">
        <v>24</v>
      </c>
      <c r="L11" s="124" t="s">
        <v>25</v>
      </c>
      <c r="M11" s="126" t="s">
        <v>148</v>
      </c>
    </row>
    <row r="12" spans="1:19">
      <c r="A12" s="122"/>
      <c r="B12" s="123"/>
      <c r="C12" s="125"/>
      <c r="D12" s="3" t="s">
        <v>26</v>
      </c>
      <c r="E12" s="3" t="s">
        <v>27</v>
      </c>
      <c r="F12" s="3" t="s">
        <v>26</v>
      </c>
      <c r="G12" s="3" t="s">
        <v>28</v>
      </c>
      <c r="H12" s="3" t="s">
        <v>29</v>
      </c>
      <c r="I12" s="124"/>
      <c r="J12" s="124"/>
      <c r="K12" s="124"/>
      <c r="L12" s="124"/>
      <c r="M12" s="124"/>
    </row>
    <row r="13" spans="1:19">
      <c r="A13" s="63" t="s">
        <v>30</v>
      </c>
      <c r="B13" s="101" t="s">
        <v>31</v>
      </c>
      <c r="C13" s="63">
        <v>162.82</v>
      </c>
      <c r="D13" s="63">
        <v>164.48</v>
      </c>
      <c r="E13" s="87">
        <v>1.6599999999999966</v>
      </c>
      <c r="F13" s="63">
        <v>162.62</v>
      </c>
      <c r="G13" s="87">
        <v>-1.8599999999999852</v>
      </c>
      <c r="H13" s="87">
        <v>0</v>
      </c>
      <c r="I13" s="110">
        <v>1.6599999999999966</v>
      </c>
      <c r="J13" s="19">
        <v>2.09</v>
      </c>
      <c r="K13" s="110">
        <v>0.79425837320574</v>
      </c>
      <c r="L13" s="111">
        <v>0</v>
      </c>
      <c r="M13" s="121" t="s">
        <v>147</v>
      </c>
    </row>
    <row r="14" spans="1:19">
      <c r="A14" s="19" t="s">
        <v>30</v>
      </c>
      <c r="B14" s="101" t="s">
        <v>32</v>
      </c>
      <c r="C14" s="63">
        <v>106.13</v>
      </c>
      <c r="D14" s="63">
        <v>108.15</v>
      </c>
      <c r="E14" s="87">
        <v>2.0200000000000102</v>
      </c>
      <c r="F14" s="63">
        <v>106.13</v>
      </c>
      <c r="G14" s="87">
        <v>-2.0200000000000102</v>
      </c>
      <c r="H14" s="87">
        <v>0</v>
      </c>
      <c r="I14" s="110">
        <v>2.0200000000000102</v>
      </c>
      <c r="J14" s="19">
        <v>2.66</v>
      </c>
      <c r="K14" s="110">
        <v>0.75939849624060529</v>
      </c>
      <c r="L14" s="111">
        <v>0</v>
      </c>
      <c r="M14" s="121" t="s">
        <v>147</v>
      </c>
    </row>
    <row r="15" spans="1:19">
      <c r="A15" s="19" t="s">
        <v>30</v>
      </c>
      <c r="B15" s="101" t="s">
        <v>33</v>
      </c>
      <c r="C15" s="63">
        <v>76.95</v>
      </c>
      <c r="D15" s="63">
        <v>79.48</v>
      </c>
      <c r="E15" s="87">
        <v>2.5300000000000011</v>
      </c>
      <c r="F15" s="63">
        <v>77.069999999999993</v>
      </c>
      <c r="G15" s="87">
        <v>-2.4100000000000108</v>
      </c>
      <c r="H15" s="87">
        <v>0.11999999999999034</v>
      </c>
      <c r="I15" s="110">
        <v>2.4100000000000108</v>
      </c>
      <c r="J15" s="19">
        <v>2.7</v>
      </c>
      <c r="K15" s="110">
        <v>0.89259259259259649</v>
      </c>
      <c r="L15" s="111">
        <v>4.7430830039521851E-2</v>
      </c>
      <c r="M15" s="121" t="s">
        <v>147</v>
      </c>
    </row>
    <row r="16" spans="1:19">
      <c r="A16" s="19" t="s">
        <v>30</v>
      </c>
      <c r="B16" s="101" t="s">
        <v>34</v>
      </c>
      <c r="C16" s="63">
        <v>-259.81</v>
      </c>
      <c r="D16" s="63">
        <v>-257.64</v>
      </c>
      <c r="E16" s="87">
        <v>2.1700000000000159</v>
      </c>
      <c r="F16" s="63">
        <v>-260.02</v>
      </c>
      <c r="G16" s="87">
        <v>-2.3799999999999955</v>
      </c>
      <c r="H16" s="87">
        <v>0</v>
      </c>
      <c r="I16" s="110">
        <v>2.1700000000000159</v>
      </c>
      <c r="J16" s="19">
        <v>2.59</v>
      </c>
      <c r="K16" s="110">
        <v>0.83783783783784405</v>
      </c>
      <c r="L16" s="111">
        <v>0</v>
      </c>
      <c r="M16" s="121" t="s">
        <v>147</v>
      </c>
    </row>
    <row r="17" spans="1:17">
      <c r="A17" s="19" t="s">
        <v>35</v>
      </c>
      <c r="B17" s="68" t="s">
        <v>36</v>
      </c>
      <c r="C17" s="63">
        <v>805.6</v>
      </c>
      <c r="D17" s="63">
        <v>807.43</v>
      </c>
      <c r="E17" s="87">
        <v>1.8299999999999272</v>
      </c>
      <c r="F17" s="63">
        <v>805.45</v>
      </c>
      <c r="G17" s="87">
        <v>-1.9799999999999045</v>
      </c>
      <c r="H17" s="87">
        <v>0</v>
      </c>
      <c r="I17" s="110">
        <v>1.8299999999999272</v>
      </c>
      <c r="J17" s="19">
        <v>2.09</v>
      </c>
      <c r="K17" s="110">
        <v>0.87559808612436718</v>
      </c>
      <c r="L17" s="111">
        <v>0</v>
      </c>
      <c r="M17" s="121" t="s">
        <v>149</v>
      </c>
    </row>
    <row r="18" spans="1:17">
      <c r="A18" s="19" t="s">
        <v>35</v>
      </c>
      <c r="B18" s="101" t="s">
        <v>37</v>
      </c>
      <c r="C18" s="63">
        <v>759.15</v>
      </c>
      <c r="D18" s="63">
        <v>761.1</v>
      </c>
      <c r="E18" s="87">
        <v>1.9500000000000455</v>
      </c>
      <c r="F18" s="63">
        <v>759.5</v>
      </c>
      <c r="G18" s="87">
        <v>-1.6000000000000227</v>
      </c>
      <c r="H18" s="87">
        <v>0.35000000000002274</v>
      </c>
      <c r="I18" s="110">
        <v>1.6000000000000227</v>
      </c>
      <c r="J18" s="19">
        <v>2.66</v>
      </c>
      <c r="K18" s="110">
        <v>0.60150375939850476</v>
      </c>
      <c r="L18" s="111">
        <v>0.17948717948718695</v>
      </c>
      <c r="M18" s="121" t="s">
        <v>149</v>
      </c>
    </row>
    <row r="19" spans="1:17">
      <c r="A19" s="19" t="s">
        <v>35</v>
      </c>
      <c r="B19" s="101" t="s">
        <v>38</v>
      </c>
      <c r="C19" s="63">
        <v>716.2</v>
      </c>
      <c r="D19" s="63">
        <v>718.09</v>
      </c>
      <c r="E19" s="87">
        <v>1.8899999999999864</v>
      </c>
      <c r="F19" s="63">
        <v>716.36</v>
      </c>
      <c r="G19" s="87">
        <v>-1.7300000000000182</v>
      </c>
      <c r="H19" s="87">
        <v>0.15999999999996817</v>
      </c>
      <c r="I19" s="110">
        <v>1.7300000000000182</v>
      </c>
      <c r="J19" s="19">
        <v>2.7</v>
      </c>
      <c r="K19" s="110">
        <v>0.64074074074074738</v>
      </c>
      <c r="L19" s="111">
        <v>8.4656084656068428E-2</v>
      </c>
      <c r="M19" s="121" t="s">
        <v>149</v>
      </c>
    </row>
    <row r="20" spans="1:17">
      <c r="A20" s="19" t="s">
        <v>35</v>
      </c>
      <c r="B20" s="101" t="s">
        <v>39</v>
      </c>
      <c r="C20" s="63">
        <v>378.35</v>
      </c>
      <c r="D20" s="63">
        <v>380.57</v>
      </c>
      <c r="E20" s="87">
        <v>2.2199999999999704</v>
      </c>
      <c r="F20" s="63">
        <v>378.46</v>
      </c>
      <c r="G20" s="87">
        <v>-2.1100000000000136</v>
      </c>
      <c r="H20" s="87">
        <v>0.1099999999999568</v>
      </c>
      <c r="I20" s="110">
        <v>2.1100000000000136</v>
      </c>
      <c r="J20" s="19">
        <v>2.59</v>
      </c>
      <c r="K20" s="110">
        <v>0.81467181467182004</v>
      </c>
      <c r="L20" s="111">
        <v>4.9549549549530753E-2</v>
      </c>
      <c r="M20" s="121" t="s">
        <v>149</v>
      </c>
    </row>
    <row r="21" spans="1:17">
      <c r="A21" s="19"/>
      <c r="B21" s="4"/>
      <c r="C21" s="63"/>
      <c r="D21" s="63"/>
      <c r="E21" s="87"/>
      <c r="F21" s="63"/>
      <c r="G21" s="87"/>
      <c r="H21" s="87"/>
      <c r="I21" s="110"/>
      <c r="J21" s="19"/>
      <c r="K21" s="110"/>
      <c r="L21" s="111"/>
    </row>
    <row r="22" spans="1:17">
      <c r="A22" s="102"/>
      <c r="B22" s="75"/>
      <c r="C22" s="87"/>
      <c r="D22" s="87"/>
      <c r="E22" s="87"/>
      <c r="F22" s="103"/>
      <c r="G22" s="87"/>
      <c r="H22" s="87"/>
      <c r="I22" s="110"/>
      <c r="J22" s="102"/>
      <c r="K22" s="110"/>
      <c r="L22" s="111"/>
    </row>
    <row r="23" spans="1:17">
      <c r="A23" s="102"/>
      <c r="B23" s="75"/>
      <c r="C23" s="87"/>
      <c r="D23" s="87"/>
      <c r="E23" s="87"/>
      <c r="F23" s="103"/>
      <c r="G23" s="87"/>
      <c r="H23" s="87"/>
      <c r="I23" s="110"/>
      <c r="J23" s="102"/>
      <c r="K23" s="110"/>
      <c r="L23" s="111"/>
      <c r="P23" s="1"/>
    </row>
    <row r="24" spans="1:17">
      <c r="A24" s="102"/>
      <c r="B24" s="75"/>
      <c r="C24" s="87"/>
      <c r="D24" s="87"/>
      <c r="E24" s="87"/>
      <c r="F24" s="103"/>
      <c r="G24" s="87"/>
      <c r="H24" s="87"/>
      <c r="I24" s="110"/>
      <c r="J24" s="102"/>
      <c r="K24" s="110"/>
      <c r="L24" s="111"/>
    </row>
    <row r="25" spans="1:17">
      <c r="A25" s="102"/>
      <c r="B25" s="75"/>
      <c r="C25" s="87"/>
      <c r="D25" s="87"/>
      <c r="E25" s="87"/>
      <c r="F25" s="103"/>
      <c r="G25" s="87"/>
      <c r="H25" s="87"/>
      <c r="I25" s="110"/>
      <c r="J25" s="102"/>
      <c r="K25" s="110"/>
      <c r="L25" s="111"/>
    </row>
    <row r="26" spans="1:17">
      <c r="A26" s="102"/>
      <c r="B26" s="104"/>
      <c r="C26" s="105"/>
      <c r="D26" s="105"/>
      <c r="E26" s="87"/>
      <c r="F26" s="106"/>
      <c r="G26" s="87"/>
      <c r="H26" s="87"/>
      <c r="I26" s="110"/>
      <c r="J26" s="102"/>
      <c r="K26" s="110"/>
      <c r="L26" s="111"/>
    </row>
    <row r="27" spans="1:17">
      <c r="A27" s="102"/>
      <c r="B27" s="75"/>
      <c r="C27" s="87"/>
      <c r="D27" s="107"/>
      <c r="E27" s="107"/>
      <c r="F27" s="107"/>
      <c r="G27" s="107"/>
      <c r="H27" s="87"/>
      <c r="I27" s="112"/>
      <c r="J27" s="113"/>
      <c r="K27" s="112"/>
      <c r="L27" s="114"/>
    </row>
    <row r="28" spans="1:17">
      <c r="A28" s="102"/>
      <c r="B28" s="75"/>
      <c r="C28" s="87"/>
      <c r="D28" s="87"/>
      <c r="E28" s="87"/>
      <c r="F28" s="87"/>
      <c r="G28" s="87"/>
      <c r="H28" s="87"/>
      <c r="I28" s="110"/>
      <c r="J28" s="102"/>
      <c r="K28" s="110"/>
      <c r="L28" s="111"/>
      <c r="Q28" s="1"/>
    </row>
    <row r="29" spans="1:17">
      <c r="A29" s="102"/>
      <c r="B29" s="75"/>
      <c r="C29" s="87"/>
      <c r="D29" s="87"/>
      <c r="E29" s="108"/>
      <c r="F29" s="87"/>
      <c r="G29" s="87"/>
      <c r="H29" s="87"/>
      <c r="I29" s="115"/>
      <c r="J29" s="116"/>
      <c r="K29" s="115"/>
      <c r="L29" s="117"/>
    </row>
    <row r="30" spans="1:17">
      <c r="A30" s="102"/>
      <c r="B30" s="75"/>
      <c r="C30" s="109"/>
      <c r="D30" s="109"/>
      <c r="E30" s="87"/>
      <c r="F30" s="109"/>
      <c r="G30" s="109"/>
      <c r="H30" s="87"/>
      <c r="I30" s="110"/>
      <c r="J30" s="102"/>
      <c r="K30" s="110"/>
      <c r="L30" s="111"/>
    </row>
    <row r="31" spans="1:17">
      <c r="A31" s="102"/>
      <c r="B31" s="75"/>
      <c r="C31" s="87"/>
      <c r="D31" s="87"/>
      <c r="E31" s="87"/>
      <c r="F31" s="87"/>
      <c r="G31" s="87"/>
      <c r="H31" s="87"/>
      <c r="I31" s="110"/>
      <c r="J31" s="102"/>
      <c r="K31" s="110"/>
      <c r="L31" s="111"/>
    </row>
    <row r="32" spans="1:17">
      <c r="A32" s="102"/>
      <c r="B32" s="75"/>
      <c r="C32" s="87"/>
      <c r="D32" s="87"/>
      <c r="E32" s="87"/>
      <c r="F32" s="103"/>
      <c r="G32" s="87"/>
      <c r="H32" s="87"/>
      <c r="I32" s="110"/>
      <c r="J32" s="102"/>
      <c r="K32" s="110"/>
      <c r="L32" s="111"/>
    </row>
    <row r="33" spans="1:12">
      <c r="A33" s="102"/>
      <c r="B33" s="75"/>
      <c r="C33" s="87"/>
      <c r="D33" s="87"/>
      <c r="E33" s="109"/>
      <c r="F33" s="103"/>
      <c r="G33" s="87"/>
      <c r="H33" s="87"/>
      <c r="I33" s="118"/>
      <c r="J33" s="119"/>
      <c r="K33" s="118"/>
      <c r="L33" s="120"/>
    </row>
    <row r="34" spans="1:12">
      <c r="A34" s="102"/>
      <c r="B34" s="75"/>
      <c r="C34" s="87"/>
      <c r="D34" s="87"/>
      <c r="E34" s="87"/>
      <c r="F34" s="103"/>
      <c r="G34" s="87"/>
      <c r="H34" s="87"/>
      <c r="I34" s="110"/>
      <c r="J34" s="102"/>
      <c r="K34" s="110"/>
      <c r="L34" s="111"/>
    </row>
    <row r="35" spans="1:12">
      <c r="A35" s="102"/>
      <c r="B35" s="75"/>
      <c r="C35" s="87"/>
      <c r="D35" s="87"/>
      <c r="E35" s="108"/>
      <c r="F35" s="103"/>
      <c r="G35" s="87"/>
      <c r="H35" s="87"/>
      <c r="I35" s="115"/>
      <c r="J35" s="116"/>
      <c r="K35" s="115"/>
      <c r="L35" s="117"/>
    </row>
    <row r="36" spans="1:12">
      <c r="A36" s="102"/>
      <c r="B36" s="75"/>
      <c r="C36" s="87"/>
      <c r="D36" s="87"/>
      <c r="E36" s="87"/>
      <c r="F36" s="103"/>
      <c r="G36" s="87"/>
      <c r="H36" s="87"/>
      <c r="I36" s="110"/>
      <c r="J36" s="102"/>
      <c r="K36" s="110"/>
      <c r="L36" s="111"/>
    </row>
    <row r="37" spans="1:12">
      <c r="A37" s="102"/>
      <c r="B37" s="75"/>
      <c r="C37" s="87"/>
      <c r="D37" s="87"/>
      <c r="E37" s="87"/>
      <c r="F37" s="103"/>
      <c r="G37" s="87"/>
      <c r="H37" s="87"/>
      <c r="I37" s="110"/>
      <c r="J37" s="102"/>
      <c r="K37" s="110"/>
      <c r="L37" s="111"/>
    </row>
    <row r="38" spans="1:12">
      <c r="A38" s="102"/>
      <c r="B38" s="75"/>
      <c r="C38" s="87"/>
      <c r="D38" s="87"/>
      <c r="E38" s="87"/>
      <c r="F38" s="103"/>
      <c r="G38" s="87"/>
      <c r="H38" s="87"/>
      <c r="I38" s="110"/>
      <c r="J38" s="102"/>
      <c r="K38" s="110"/>
      <c r="L38" s="111"/>
    </row>
    <row r="39" spans="1:12">
      <c r="A39" s="102"/>
      <c r="B39" s="75"/>
      <c r="C39" s="87"/>
      <c r="D39" s="87"/>
      <c r="E39" s="109"/>
      <c r="F39" s="103"/>
      <c r="G39" s="87"/>
      <c r="H39" s="87"/>
      <c r="I39" s="118"/>
      <c r="J39" s="119"/>
      <c r="K39" s="118"/>
      <c r="L39" s="120"/>
    </row>
    <row r="40" spans="1:12">
      <c r="A40" s="102"/>
      <c r="B40" s="104"/>
      <c r="C40" s="105"/>
      <c r="D40" s="87"/>
      <c r="E40" s="87"/>
      <c r="F40" s="103"/>
      <c r="G40" s="87"/>
      <c r="H40" s="87"/>
      <c r="I40" s="110"/>
      <c r="J40" s="102"/>
      <c r="K40" s="110"/>
      <c r="L40" s="111"/>
    </row>
  </sheetData>
  <mergeCells count="10">
    <mergeCell ref="M11:M12"/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14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Pict="0" macro="[0]!AutoDisp_Click">
                <anchor moveWithCells="1">
                  <from>
                    <xdr:col>13</xdr:col>
                    <xdr:colOff>476250</xdr:colOff>
                    <xdr:row>10</xdr:row>
                    <xdr:rowOff>142875</xdr:rowOff>
                  </from>
                  <to>
                    <xdr:col>15</xdr:col>
                    <xdr:colOff>85725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autoPict="0" macro="[0]!GenerateRows_Click">
                <anchor moveWithCells="1">
                  <from>
                    <xdr:col>15</xdr:col>
                    <xdr:colOff>495300</xdr:colOff>
                    <xdr:row>8</xdr:row>
                    <xdr:rowOff>76200</xdr:rowOff>
                  </from>
                  <to>
                    <xdr:col>17</xdr:col>
                    <xdr:colOff>85725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Pict="0" macro="[0]!AutoGraph_Click">
                <anchor moveWithCells="1" sizeWithCells="1">
                  <from>
                    <xdr:col>15</xdr:col>
                    <xdr:colOff>504825</xdr:colOff>
                    <xdr:row>10</xdr:row>
                    <xdr:rowOff>152400</xdr:rowOff>
                  </from>
                  <to>
                    <xdr:col>17</xdr:col>
                    <xdr:colOff>104775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Pict="0" macro="[0]!DeleteAllCharts">
                <anchor moveWithCells="1">
                  <from>
                    <xdr:col>13</xdr:col>
                    <xdr:colOff>476250</xdr:colOff>
                    <xdr:row>13</xdr:row>
                    <xdr:rowOff>76200</xdr:rowOff>
                  </from>
                  <to>
                    <xdr:col>15</xdr:col>
                    <xdr:colOff>485775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autoPict="0" macro="[0]!DispDataClear">
                <anchor moveWithCells="1" sizeWithCells="1">
                  <from>
                    <xdr:col>13</xdr:col>
                    <xdr:colOff>457200</xdr:colOff>
                    <xdr:row>8</xdr:row>
                    <xdr:rowOff>85725</xdr:rowOff>
                  </from>
                  <to>
                    <xdr:col>15</xdr:col>
                    <xdr:colOff>238125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Pict="0">
                <anchor moveWithCells="1">
                  <from>
                    <xdr:col>13</xdr:col>
                    <xdr:colOff>266700</xdr:colOff>
                    <xdr:row>7</xdr:row>
                    <xdr:rowOff>76200</xdr:rowOff>
                  </from>
                  <to>
                    <xdr:col>17</xdr:col>
                    <xdr:colOff>371475</xdr:colOff>
                    <xdr:row>18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F42"/>
  <sheetViews>
    <sheetView workbookViewId="0">
      <selection activeCell="N11" sqref="N11:S12"/>
    </sheetView>
  </sheetViews>
  <sheetFormatPr defaultColWidth="9" defaultRowHeight="14.25"/>
  <cols>
    <col min="1" max="1" width="13.25" customWidth="1"/>
    <col min="2" max="2" width="9.125" customWidth="1"/>
    <col min="5" max="5" width="12" customWidth="1"/>
  </cols>
  <sheetData>
    <row r="1" spans="1:32">
      <c r="A1" s="121" t="s">
        <v>159</v>
      </c>
      <c r="B1">
        <v>3</v>
      </c>
    </row>
    <row r="2" spans="1:32">
      <c r="A2" s="121" t="s">
        <v>165</v>
      </c>
      <c r="B2">
        <v>4</v>
      </c>
      <c r="C2" t="s">
        <v>2</v>
      </c>
      <c r="D2">
        <v>4</v>
      </c>
      <c r="E2" t="s">
        <v>3</v>
      </c>
      <c r="F2">
        <v>4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32">
      <c r="A4" s="121" t="s">
        <v>155</v>
      </c>
      <c r="B4" s="121" t="s">
        <v>160</v>
      </c>
      <c r="D4" s="121" t="s">
        <v>161</v>
      </c>
      <c r="F4" s="121" t="s">
        <v>158</v>
      </c>
    </row>
    <row r="5" spans="1:32">
      <c r="A5" s="1" t="s">
        <v>41</v>
      </c>
      <c r="B5">
        <v>46</v>
      </c>
      <c r="D5">
        <v>0</v>
      </c>
      <c r="F5">
        <v>43</v>
      </c>
      <c r="H5" s="1" t="s">
        <v>42</v>
      </c>
    </row>
    <row r="6" spans="1:32">
      <c r="A6" t="s">
        <v>13</v>
      </c>
      <c r="B6">
        <v>0.63</v>
      </c>
      <c r="D6">
        <v>0</v>
      </c>
      <c r="F6">
        <v>0.34</v>
      </c>
      <c r="J6" s="34"/>
      <c r="S6" s="34"/>
      <c r="W6" s="34"/>
    </row>
    <row r="7" spans="1:32">
      <c r="A7" t="s">
        <v>14</v>
      </c>
      <c r="B7" s="2">
        <v>0.8</v>
      </c>
      <c r="D7" s="2">
        <v>0.43</v>
      </c>
      <c r="F7">
        <v>0.69</v>
      </c>
      <c r="J7" s="34"/>
      <c r="S7" s="34"/>
      <c r="W7" s="34"/>
    </row>
    <row r="8" spans="1:32">
      <c r="A8" s="1" t="s">
        <v>43</v>
      </c>
      <c r="B8" s="2">
        <v>0</v>
      </c>
      <c r="D8" s="2">
        <v>0</v>
      </c>
      <c r="F8" s="2">
        <v>0</v>
      </c>
    </row>
    <row r="9" spans="1:32">
      <c r="A9" s="1" t="s">
        <v>44</v>
      </c>
      <c r="B9" s="2">
        <v>9.8000000000000004E-2</v>
      </c>
      <c r="D9" s="2">
        <v>0.16669999999999999</v>
      </c>
      <c r="F9" s="2">
        <v>8.5099999999999995E-2</v>
      </c>
      <c r="Q9" s="34" t="s">
        <v>45</v>
      </c>
    </row>
    <row r="10" spans="1:32">
      <c r="B10" s="2"/>
      <c r="D10" s="2"/>
      <c r="Q10" s="34" t="s">
        <v>46</v>
      </c>
    </row>
    <row r="11" spans="1:32">
      <c r="A11" s="131" t="s">
        <v>47</v>
      </c>
      <c r="B11" s="131"/>
      <c r="C11" s="131"/>
      <c r="D11" s="131"/>
      <c r="E11" s="131"/>
      <c r="F11" s="131"/>
      <c r="G11" s="131"/>
      <c r="H11" s="131"/>
      <c r="I11" s="137" t="s">
        <v>48</v>
      </c>
      <c r="J11" s="63"/>
      <c r="K11" s="63"/>
      <c r="L11" s="76"/>
      <c r="M11" s="76"/>
      <c r="N11" s="133" t="s">
        <v>49</v>
      </c>
      <c r="O11" s="134"/>
      <c r="P11" s="134"/>
      <c r="Q11" s="134"/>
      <c r="R11" s="134"/>
      <c r="S11" s="134"/>
      <c r="T11" s="85"/>
      <c r="U11" s="85"/>
      <c r="Y11" s="133" t="s">
        <v>50</v>
      </c>
      <c r="Z11" s="133"/>
      <c r="AA11" s="133"/>
      <c r="AB11" s="133"/>
      <c r="AC11" s="133"/>
      <c r="AD11" s="133"/>
      <c r="AE11" s="133"/>
      <c r="AF11" s="133"/>
    </row>
    <row r="12" spans="1:32">
      <c r="A12" s="132"/>
      <c r="B12" s="132"/>
      <c r="C12" s="132"/>
      <c r="D12" s="132"/>
      <c r="E12" s="132"/>
      <c r="F12" s="132"/>
      <c r="G12" s="132"/>
      <c r="H12" s="132"/>
      <c r="I12" s="132"/>
      <c r="J12" s="63"/>
      <c r="K12" s="63"/>
      <c r="L12" s="77"/>
      <c r="M12" s="77"/>
      <c r="N12" s="135"/>
      <c r="O12" s="135"/>
      <c r="P12" s="135"/>
      <c r="Q12" s="135"/>
      <c r="R12" s="135"/>
      <c r="S12" s="135"/>
      <c r="T12" s="86"/>
      <c r="U12" s="86"/>
      <c r="Y12" s="132"/>
      <c r="Z12" s="132"/>
      <c r="AA12" s="132"/>
      <c r="AB12" s="132"/>
      <c r="AC12" s="132"/>
      <c r="AD12" s="132"/>
      <c r="AE12" s="132"/>
      <c r="AF12" s="132"/>
    </row>
    <row r="13" spans="1:32">
      <c r="A13" s="124" t="s">
        <v>17</v>
      </c>
      <c r="B13" s="124" t="s">
        <v>18</v>
      </c>
      <c r="C13" s="124" t="s">
        <v>51</v>
      </c>
      <c r="D13" s="124"/>
      <c r="E13" s="124" t="s">
        <v>20</v>
      </c>
      <c r="F13" s="124"/>
      <c r="G13" s="124" t="s">
        <v>21</v>
      </c>
      <c r="H13" s="124"/>
      <c r="I13" s="124" t="s">
        <v>52</v>
      </c>
      <c r="J13" s="124" t="s">
        <v>53</v>
      </c>
      <c r="K13" s="126" t="s">
        <v>150</v>
      </c>
      <c r="L13" s="3"/>
      <c r="M13" s="3"/>
      <c r="N13" s="136" t="s">
        <v>20</v>
      </c>
      <c r="O13" s="136"/>
      <c r="P13" s="136"/>
      <c r="Q13" s="127" t="s">
        <v>21</v>
      </c>
      <c r="R13" s="128"/>
      <c r="S13" s="129"/>
      <c r="T13" s="136"/>
      <c r="U13" s="136"/>
      <c r="Y13" s="125" t="s">
        <v>17</v>
      </c>
      <c r="Z13" s="125" t="s">
        <v>18</v>
      </c>
      <c r="AA13" s="124" t="s">
        <v>54</v>
      </c>
      <c r="AB13" s="124"/>
      <c r="AC13" s="124"/>
      <c r="AD13" s="124" t="s">
        <v>52</v>
      </c>
      <c r="AE13" s="124" t="s">
        <v>24</v>
      </c>
      <c r="AF13" s="125" t="s">
        <v>55</v>
      </c>
    </row>
    <row r="14" spans="1:32">
      <c r="A14" s="124"/>
      <c r="B14" s="124"/>
      <c r="C14" s="3" t="s">
        <v>56</v>
      </c>
      <c r="D14" s="3" t="s">
        <v>57</v>
      </c>
      <c r="E14" s="3" t="s">
        <v>56</v>
      </c>
      <c r="F14" s="3" t="s">
        <v>58</v>
      </c>
      <c r="G14" s="3" t="s">
        <v>56</v>
      </c>
      <c r="H14" s="3" t="s">
        <v>58</v>
      </c>
      <c r="I14" s="124"/>
      <c r="J14" s="124"/>
      <c r="K14" s="124"/>
      <c r="L14" s="3"/>
      <c r="M14" s="3"/>
      <c r="N14" s="35" t="s">
        <v>59</v>
      </c>
      <c r="O14" s="35" t="s">
        <v>60</v>
      </c>
      <c r="P14" s="35" t="s">
        <v>61</v>
      </c>
      <c r="Q14" s="35" t="s">
        <v>59</v>
      </c>
      <c r="R14" s="35" t="s">
        <v>60</v>
      </c>
      <c r="S14" s="35" t="s">
        <v>62</v>
      </c>
      <c r="T14" s="3"/>
      <c r="U14" s="3"/>
      <c r="Y14" s="130"/>
      <c r="Z14" s="130"/>
      <c r="AA14" s="3" t="s">
        <v>63</v>
      </c>
      <c r="AB14" s="3" t="s">
        <v>64</v>
      </c>
      <c r="AC14" s="3" t="s">
        <v>62</v>
      </c>
      <c r="AD14" s="124"/>
      <c r="AE14" s="124"/>
      <c r="AF14" s="130"/>
    </row>
    <row r="15" spans="1:32">
      <c r="A15" s="63" t="s">
        <v>162</v>
      </c>
      <c r="B15" s="68" t="s">
        <v>31</v>
      </c>
      <c r="C15" s="63">
        <v>689.3</v>
      </c>
      <c r="D15" s="63">
        <v>13.2</v>
      </c>
      <c r="E15" s="63">
        <v>700.8</v>
      </c>
      <c r="F15" s="63">
        <v>13.2</v>
      </c>
      <c r="G15" s="63">
        <v>689.3</v>
      </c>
      <c r="H15" s="63">
        <v>13.2</v>
      </c>
      <c r="I15" s="78">
        <v>68</v>
      </c>
      <c r="J15" s="63">
        <v>1</v>
      </c>
      <c r="K15" s="121" t="s">
        <v>151</v>
      </c>
      <c r="L15" s="75"/>
      <c r="M15" s="75"/>
      <c r="N15" s="79">
        <v>11.5</v>
      </c>
      <c r="O15" s="79">
        <v>0</v>
      </c>
      <c r="P15" s="80">
        <v>43.401808450000004</v>
      </c>
      <c r="Q15" s="79">
        <v>0</v>
      </c>
      <c r="R15" s="79">
        <v>0</v>
      </c>
      <c r="S15" s="80">
        <v>0</v>
      </c>
      <c r="T15" s="87"/>
      <c r="U15" s="75"/>
      <c r="Y15" s="75" t="s">
        <v>133</v>
      </c>
      <c r="Z15" s="75" t="s">
        <v>134</v>
      </c>
      <c r="AA15" s="93">
        <v>43</v>
      </c>
      <c r="AB15" s="93">
        <v>43</v>
      </c>
      <c r="AC15" s="93">
        <v>0</v>
      </c>
      <c r="AD15" s="93">
        <v>68</v>
      </c>
      <c r="AE15" s="80">
        <v>0.63235294117647056</v>
      </c>
      <c r="AF15" s="94">
        <v>0</v>
      </c>
    </row>
    <row r="16" spans="1:32">
      <c r="A16" s="63" t="s">
        <v>162</v>
      </c>
      <c r="B16" s="68" t="s">
        <v>32</v>
      </c>
      <c r="C16" s="63">
        <v>663.4</v>
      </c>
      <c r="D16" s="63">
        <v>13.3</v>
      </c>
      <c r="E16" s="63">
        <v>676.7</v>
      </c>
      <c r="F16" s="63">
        <v>13.7</v>
      </c>
      <c r="G16" s="63">
        <v>664.6</v>
      </c>
      <c r="H16" s="63">
        <v>13.5</v>
      </c>
      <c r="I16" s="78">
        <v>68</v>
      </c>
      <c r="J16" s="63">
        <v>1</v>
      </c>
      <c r="K16" s="121" t="s">
        <v>152</v>
      </c>
      <c r="L16" s="75"/>
      <c r="M16" s="75"/>
      <c r="N16" s="79">
        <v>13.300000000000068</v>
      </c>
      <c r="O16" s="79">
        <v>0.39999999999999858</v>
      </c>
      <c r="P16" s="80">
        <v>50.915134990000261</v>
      </c>
      <c r="Q16" s="79">
        <v>1.2000000000000455</v>
      </c>
      <c r="R16" s="79">
        <v>0.19999999999999929</v>
      </c>
      <c r="S16" s="80">
        <v>4.888884360000171</v>
      </c>
      <c r="T16" s="88"/>
      <c r="U16" s="75"/>
      <c r="Y16" s="75" t="s">
        <v>133</v>
      </c>
      <c r="Z16" s="75" t="s">
        <v>135</v>
      </c>
      <c r="AA16" s="93">
        <v>51</v>
      </c>
      <c r="AB16" s="93">
        <v>46</v>
      </c>
      <c r="AC16" s="93">
        <v>5</v>
      </c>
      <c r="AD16" s="93">
        <v>68</v>
      </c>
      <c r="AE16" s="80">
        <v>0.67647058823529416</v>
      </c>
      <c r="AF16" s="94">
        <v>9.8039215686274508E-2</v>
      </c>
    </row>
    <row r="17" spans="1:32">
      <c r="A17" s="63" t="s">
        <v>162</v>
      </c>
      <c r="B17" s="69" t="s">
        <v>33</v>
      </c>
      <c r="C17" s="63">
        <v>598.1</v>
      </c>
      <c r="D17" s="63">
        <v>13.2</v>
      </c>
      <c r="E17" s="63">
        <v>608.79999999999995</v>
      </c>
      <c r="F17" s="63">
        <v>13.5</v>
      </c>
      <c r="G17" s="63">
        <v>598.29999999999995</v>
      </c>
      <c r="H17" s="63">
        <v>13.4</v>
      </c>
      <c r="I17" s="78">
        <v>62</v>
      </c>
      <c r="J17" s="63">
        <v>1</v>
      </c>
      <c r="K17" s="121" t="s">
        <v>151</v>
      </c>
      <c r="L17" s="73"/>
      <c r="M17" s="73"/>
      <c r="N17" s="79">
        <v>10.699999999999932</v>
      </c>
      <c r="O17" s="79">
        <v>0.30000000000000071</v>
      </c>
      <c r="P17" s="80">
        <v>40.922552209999743</v>
      </c>
      <c r="Q17" s="79">
        <v>0.19999999999993179</v>
      </c>
      <c r="R17" s="79">
        <v>0.20000000000000107</v>
      </c>
      <c r="S17" s="80">
        <v>1.1148140599997445</v>
      </c>
      <c r="T17" s="89"/>
      <c r="U17" s="73"/>
      <c r="Y17" s="73" t="s">
        <v>133</v>
      </c>
      <c r="Z17" s="73" t="s">
        <v>136</v>
      </c>
      <c r="AA17" s="93">
        <v>41</v>
      </c>
      <c r="AB17" s="93">
        <v>40</v>
      </c>
      <c r="AC17" s="93">
        <v>1</v>
      </c>
      <c r="AD17" s="93">
        <v>62</v>
      </c>
      <c r="AE17" s="80">
        <v>0.64516129032258063</v>
      </c>
      <c r="AF17" s="94">
        <v>2.4390243902439025E-2</v>
      </c>
    </row>
    <row r="18" spans="1:32">
      <c r="A18" s="63" t="s">
        <v>162</v>
      </c>
      <c r="B18" s="68" t="s">
        <v>34</v>
      </c>
      <c r="C18" s="63">
        <v>678.8</v>
      </c>
      <c r="D18" s="63">
        <v>13.4</v>
      </c>
      <c r="E18" s="63">
        <v>690.7</v>
      </c>
      <c r="F18" s="63">
        <v>13.6</v>
      </c>
      <c r="G18" s="63">
        <v>679</v>
      </c>
      <c r="H18" s="63">
        <v>13.5</v>
      </c>
      <c r="I18" s="78">
        <v>55</v>
      </c>
      <c r="J18" s="63">
        <v>1</v>
      </c>
      <c r="K18" s="121" t="s">
        <v>152</v>
      </c>
      <c r="L18" s="75"/>
      <c r="M18" s="75"/>
      <c r="N18" s="79">
        <v>11.900000000000091</v>
      </c>
      <c r="O18" s="79">
        <v>0.19999999999999929</v>
      </c>
      <c r="P18" s="80">
        <v>45.271436570000347</v>
      </c>
      <c r="Q18" s="79">
        <v>0.20000000000004547</v>
      </c>
      <c r="R18" s="79">
        <v>9.9999999999999645E-2</v>
      </c>
      <c r="S18" s="80">
        <v>0.93481406000017109</v>
      </c>
      <c r="T18" s="88"/>
      <c r="U18" s="75"/>
      <c r="Y18" s="75" t="s">
        <v>133</v>
      </c>
      <c r="Z18" s="75" t="s">
        <v>137</v>
      </c>
      <c r="AA18" s="93">
        <v>45</v>
      </c>
      <c r="AB18" s="93">
        <v>44</v>
      </c>
      <c r="AC18" s="93">
        <v>1</v>
      </c>
      <c r="AD18" s="93">
        <v>55</v>
      </c>
      <c r="AE18" s="80">
        <v>0.8</v>
      </c>
      <c r="AF18" s="94">
        <v>2.2222222222222223E-2</v>
      </c>
    </row>
    <row r="19" spans="1:32">
      <c r="A19" s="63" t="s">
        <v>163</v>
      </c>
      <c r="B19" s="68" t="s">
        <v>65</v>
      </c>
      <c r="C19" s="63">
        <v>732.8</v>
      </c>
      <c r="D19" s="63">
        <v>13.6</v>
      </c>
      <c r="E19" s="63">
        <v>729.2</v>
      </c>
      <c r="F19" s="63">
        <v>13.9</v>
      </c>
      <c r="G19" s="63">
        <v>732.3</v>
      </c>
      <c r="H19" s="63">
        <v>13.9</v>
      </c>
      <c r="I19" s="78">
        <v>-46</v>
      </c>
      <c r="J19" s="63">
        <v>1</v>
      </c>
      <c r="K19" s="121" t="s">
        <v>153</v>
      </c>
      <c r="L19" s="75"/>
      <c r="M19" s="75"/>
      <c r="N19" s="79">
        <v>-3.5999999999999091</v>
      </c>
      <c r="O19" s="79">
        <v>0.30000000000000071</v>
      </c>
      <c r="P19" s="80">
        <v>-13.046653079999658</v>
      </c>
      <c r="Q19" s="79">
        <v>-0.5</v>
      </c>
      <c r="R19" s="79">
        <v>0.30000000000000071</v>
      </c>
      <c r="S19" s="80">
        <v>-1.3470351499999991</v>
      </c>
      <c r="T19" s="88"/>
      <c r="U19" s="75"/>
      <c r="Y19" s="75" t="s">
        <v>142</v>
      </c>
      <c r="Z19" s="75" t="s">
        <v>138</v>
      </c>
      <c r="AA19" s="93">
        <v>-13</v>
      </c>
      <c r="AB19" s="93">
        <v>-12</v>
      </c>
      <c r="AC19" s="93">
        <v>-1</v>
      </c>
      <c r="AD19" s="93">
        <v>-46</v>
      </c>
      <c r="AE19" s="80">
        <v>0.2608695652173913</v>
      </c>
      <c r="AF19" s="94">
        <v>7.6923076923076927E-2</v>
      </c>
    </row>
    <row r="20" spans="1:32">
      <c r="A20" s="63" t="s">
        <v>163</v>
      </c>
      <c r="B20" s="69" t="s">
        <v>66</v>
      </c>
      <c r="C20" s="63">
        <v>681.5</v>
      </c>
      <c r="D20" s="63">
        <v>13.5</v>
      </c>
      <c r="E20" s="63">
        <v>678.2</v>
      </c>
      <c r="F20" s="63">
        <v>13.8</v>
      </c>
      <c r="G20" s="63">
        <v>681</v>
      </c>
      <c r="H20" s="63">
        <v>13.7</v>
      </c>
      <c r="I20" s="78">
        <v>-52</v>
      </c>
      <c r="J20" s="63">
        <v>1</v>
      </c>
      <c r="K20" s="121" t="s">
        <v>153</v>
      </c>
      <c r="L20" s="73"/>
      <c r="M20" s="73"/>
      <c r="N20" s="79">
        <v>-3.2999999999999545</v>
      </c>
      <c r="O20" s="79">
        <v>0.30000000000000071</v>
      </c>
      <c r="P20" s="80">
        <v>-11.914431989999828</v>
      </c>
      <c r="Q20" s="79">
        <v>-0.5</v>
      </c>
      <c r="R20" s="79">
        <v>0.19999999999999929</v>
      </c>
      <c r="S20" s="80">
        <v>-1.5270351500000015</v>
      </c>
      <c r="T20" s="88"/>
      <c r="U20" s="75"/>
      <c r="Y20" s="73" t="s">
        <v>142</v>
      </c>
      <c r="Z20" s="73" t="s">
        <v>139</v>
      </c>
      <c r="AA20" s="93">
        <v>-12</v>
      </c>
      <c r="AB20" s="93">
        <v>-10</v>
      </c>
      <c r="AC20" s="93">
        <v>-2</v>
      </c>
      <c r="AD20" s="93">
        <v>-52</v>
      </c>
      <c r="AE20" s="80">
        <v>0.19230769230769232</v>
      </c>
      <c r="AF20" s="94">
        <v>0.16666666666666666</v>
      </c>
    </row>
    <row r="21" spans="1:32">
      <c r="A21" s="63" t="s">
        <v>163</v>
      </c>
      <c r="B21" s="68" t="s">
        <v>67</v>
      </c>
      <c r="C21" s="63">
        <v>713</v>
      </c>
      <c r="D21" s="63">
        <v>13.3</v>
      </c>
      <c r="E21" s="63">
        <v>712.9</v>
      </c>
      <c r="F21" s="63">
        <v>13.6</v>
      </c>
      <c r="G21" s="63">
        <v>713</v>
      </c>
      <c r="H21" s="63">
        <v>13.4</v>
      </c>
      <c r="I21" s="78">
        <v>-37</v>
      </c>
      <c r="J21" s="63">
        <v>1</v>
      </c>
      <c r="K21" s="121" t="s">
        <v>153</v>
      </c>
      <c r="L21" s="75"/>
      <c r="M21" s="75"/>
      <c r="N21" s="79">
        <v>-0.10000000000002274</v>
      </c>
      <c r="O21" s="79">
        <v>0.29999999999999893</v>
      </c>
      <c r="P21" s="80">
        <v>0.1625929699999123</v>
      </c>
      <c r="Q21" s="79">
        <v>0</v>
      </c>
      <c r="R21" s="79">
        <v>9.9999999999999645E-2</v>
      </c>
      <c r="S21" s="80">
        <v>0.17999999999999935</v>
      </c>
      <c r="T21" s="90"/>
      <c r="U21" s="72"/>
      <c r="Y21" s="75" t="s">
        <v>142</v>
      </c>
      <c r="Z21" s="75" t="s">
        <v>140</v>
      </c>
      <c r="AA21" s="93">
        <v>0</v>
      </c>
      <c r="AB21" s="93">
        <v>0</v>
      </c>
      <c r="AC21" s="93">
        <v>0</v>
      </c>
      <c r="AD21" s="93">
        <v>-37</v>
      </c>
      <c r="AE21" s="80">
        <v>0</v>
      </c>
      <c r="AF21" s="94">
        <v>0</v>
      </c>
    </row>
    <row r="22" spans="1:32">
      <c r="A22" s="63" t="s">
        <v>163</v>
      </c>
      <c r="B22" s="68" t="s">
        <v>68</v>
      </c>
      <c r="C22" s="63">
        <v>629.79999999999995</v>
      </c>
      <c r="D22" s="63">
        <v>13.2</v>
      </c>
      <c r="E22" s="63">
        <v>625.9</v>
      </c>
      <c r="F22" s="63">
        <v>13.5</v>
      </c>
      <c r="G22" s="63">
        <v>629.1</v>
      </c>
      <c r="H22" s="63">
        <v>13.4</v>
      </c>
      <c r="I22" s="78">
        <v>-28</v>
      </c>
      <c r="J22" s="63">
        <v>1</v>
      </c>
      <c r="K22" s="121" t="s">
        <v>153</v>
      </c>
      <c r="L22" s="75"/>
      <c r="M22" s="75"/>
      <c r="N22" s="79">
        <v>-3.8999999999999773</v>
      </c>
      <c r="O22" s="79">
        <v>0.30000000000000071</v>
      </c>
      <c r="P22" s="80">
        <v>-14.178874169999915</v>
      </c>
      <c r="Q22" s="79">
        <v>-0.69999999999993179</v>
      </c>
      <c r="R22" s="79">
        <v>0.20000000000000107</v>
      </c>
      <c r="S22" s="80">
        <v>-2.2818492099997409</v>
      </c>
      <c r="T22" s="88"/>
      <c r="U22" s="75"/>
      <c r="Y22" s="75" t="s">
        <v>142</v>
      </c>
      <c r="Z22" s="75" t="s">
        <v>141</v>
      </c>
      <c r="AA22" s="93">
        <v>-14</v>
      </c>
      <c r="AB22" s="93">
        <v>-12</v>
      </c>
      <c r="AC22" s="93">
        <v>-2</v>
      </c>
      <c r="AD22" s="93">
        <v>-28</v>
      </c>
      <c r="AE22" s="80">
        <v>0.42857142857142855</v>
      </c>
      <c r="AF22" s="94">
        <v>0.14285714285714285</v>
      </c>
    </row>
    <row r="23" spans="1:32">
      <c r="A23" s="63" t="s">
        <v>164</v>
      </c>
      <c r="B23" s="68" t="s">
        <v>36</v>
      </c>
      <c r="C23" s="63">
        <v>591.6</v>
      </c>
      <c r="D23" s="63">
        <v>13.3</v>
      </c>
      <c r="E23" s="63">
        <v>602.70000000000005</v>
      </c>
      <c r="F23" s="63">
        <v>13.3</v>
      </c>
      <c r="G23" s="63">
        <v>591.6</v>
      </c>
      <c r="H23" s="63">
        <v>13.3</v>
      </c>
      <c r="I23" s="78">
        <v>68</v>
      </c>
      <c r="J23" s="63">
        <v>1</v>
      </c>
      <c r="K23" s="121" t="s">
        <v>154</v>
      </c>
      <c r="L23" s="75"/>
      <c r="M23" s="75"/>
      <c r="N23" s="79">
        <v>11.100000000000023</v>
      </c>
      <c r="O23" s="79">
        <v>0</v>
      </c>
      <c r="P23" s="80">
        <v>41.892180330000087</v>
      </c>
      <c r="Q23" s="79">
        <v>0</v>
      </c>
      <c r="R23" s="79">
        <v>0</v>
      </c>
      <c r="S23" s="80">
        <v>0</v>
      </c>
      <c r="T23" s="88"/>
      <c r="U23" s="75"/>
      <c r="Y23" s="75" t="s">
        <v>164</v>
      </c>
      <c r="Z23" s="75" t="s">
        <v>143</v>
      </c>
      <c r="AA23" s="93">
        <v>42</v>
      </c>
      <c r="AB23" s="93">
        <v>42</v>
      </c>
      <c r="AC23" s="93">
        <v>0</v>
      </c>
      <c r="AD23" s="93">
        <v>68</v>
      </c>
      <c r="AE23" s="80">
        <v>0.61764705882352944</v>
      </c>
      <c r="AF23" s="94">
        <v>0</v>
      </c>
    </row>
    <row r="24" spans="1:32">
      <c r="A24" s="63" t="s">
        <v>164</v>
      </c>
      <c r="B24" s="70" t="s">
        <v>37</v>
      </c>
      <c r="C24" s="63">
        <v>579.20000000000005</v>
      </c>
      <c r="D24" s="63">
        <v>13.3</v>
      </c>
      <c r="E24" s="63">
        <v>585.79999999999995</v>
      </c>
      <c r="F24" s="63">
        <v>13.2</v>
      </c>
      <c r="G24" s="63">
        <v>579.6</v>
      </c>
      <c r="H24" s="63">
        <v>13.3</v>
      </c>
      <c r="I24" s="78">
        <v>68</v>
      </c>
      <c r="J24" s="63">
        <v>1</v>
      </c>
      <c r="K24" s="121" t="s">
        <v>154</v>
      </c>
      <c r="L24" s="72"/>
      <c r="M24" s="72"/>
      <c r="N24" s="79">
        <v>6.5999999999999091</v>
      </c>
      <c r="O24" s="79">
        <v>-0.10000000000000142</v>
      </c>
      <c r="P24" s="80">
        <v>24.728863979999655</v>
      </c>
      <c r="Q24" s="79">
        <v>0.39999999999997726</v>
      </c>
      <c r="R24" s="79">
        <v>0</v>
      </c>
      <c r="S24" s="80">
        <v>1.5096281199999144</v>
      </c>
      <c r="T24" s="90"/>
      <c r="U24" s="72"/>
      <c r="Y24" s="72" t="s">
        <v>164</v>
      </c>
      <c r="Z24" s="72" t="s">
        <v>144</v>
      </c>
      <c r="AA24" s="93">
        <v>25</v>
      </c>
      <c r="AB24" s="93">
        <v>23</v>
      </c>
      <c r="AC24" s="93">
        <v>2</v>
      </c>
      <c r="AD24" s="93">
        <v>68</v>
      </c>
      <c r="AE24" s="80">
        <v>0.33823529411764708</v>
      </c>
      <c r="AF24" s="94">
        <v>0.08</v>
      </c>
    </row>
    <row r="25" spans="1:32">
      <c r="A25" s="63" t="s">
        <v>164</v>
      </c>
      <c r="B25" s="68" t="s">
        <v>38</v>
      </c>
      <c r="C25" s="63">
        <v>705.9</v>
      </c>
      <c r="D25" s="63">
        <v>13.5</v>
      </c>
      <c r="E25" s="63">
        <v>718.5</v>
      </c>
      <c r="F25" s="63">
        <v>13.4</v>
      </c>
      <c r="G25" s="63">
        <v>707.1</v>
      </c>
      <c r="H25" s="63">
        <v>13.4</v>
      </c>
      <c r="I25" s="78">
        <v>62</v>
      </c>
      <c r="J25" s="63">
        <v>1</v>
      </c>
      <c r="K25" s="121" t="s">
        <v>154</v>
      </c>
      <c r="L25" s="75"/>
      <c r="M25" s="75"/>
      <c r="N25" s="79">
        <v>12.600000000000023</v>
      </c>
      <c r="O25" s="79">
        <v>-9.9999999999999645E-2</v>
      </c>
      <c r="P25" s="80">
        <v>47.373285780000089</v>
      </c>
      <c r="Q25" s="79">
        <v>1.2000000000000455</v>
      </c>
      <c r="R25" s="79">
        <v>-9.9999999999999645E-2</v>
      </c>
      <c r="S25" s="80">
        <v>4.3488843600001728</v>
      </c>
      <c r="T25" s="88"/>
      <c r="U25" s="75"/>
      <c r="Y25" s="75" t="s">
        <v>164</v>
      </c>
      <c r="Z25" s="75" t="s">
        <v>145</v>
      </c>
      <c r="AA25" s="93">
        <v>47</v>
      </c>
      <c r="AB25" s="93">
        <v>43</v>
      </c>
      <c r="AC25" s="93">
        <v>4</v>
      </c>
      <c r="AD25" s="93">
        <v>62</v>
      </c>
      <c r="AE25" s="80">
        <v>0.69354838709677424</v>
      </c>
      <c r="AF25" s="94">
        <v>8.5106382978723402E-2</v>
      </c>
    </row>
    <row r="26" spans="1:32">
      <c r="A26" s="63" t="s">
        <v>164</v>
      </c>
      <c r="B26" s="68" t="s">
        <v>39</v>
      </c>
      <c r="C26" s="63">
        <v>664.6</v>
      </c>
      <c r="D26" s="63">
        <v>13.3</v>
      </c>
      <c r="E26" s="63">
        <v>674.4</v>
      </c>
      <c r="F26" s="63">
        <v>13.2</v>
      </c>
      <c r="G26" s="63">
        <v>665.4</v>
      </c>
      <c r="H26" s="63">
        <v>13.2</v>
      </c>
      <c r="I26" s="78">
        <v>55</v>
      </c>
      <c r="J26" s="63">
        <v>1</v>
      </c>
      <c r="K26" s="121" t="s">
        <v>154</v>
      </c>
      <c r="L26" s="75"/>
      <c r="M26" s="75"/>
      <c r="N26" s="79">
        <v>9.7999999999999545</v>
      </c>
      <c r="O26" s="79">
        <v>-0.10000000000000142</v>
      </c>
      <c r="P26" s="80">
        <v>36.805888939999832</v>
      </c>
      <c r="Q26" s="79">
        <v>0.79999999999995453</v>
      </c>
      <c r="R26" s="79">
        <v>-0.10000000000000142</v>
      </c>
      <c r="S26" s="80">
        <v>2.8392562399998265</v>
      </c>
      <c r="T26" s="88"/>
      <c r="U26" s="75"/>
      <c r="Y26" s="75" t="s">
        <v>164</v>
      </c>
      <c r="Z26" s="75" t="s">
        <v>146</v>
      </c>
      <c r="AA26" s="93">
        <v>37</v>
      </c>
      <c r="AB26" s="93">
        <v>34</v>
      </c>
      <c r="AC26" s="93">
        <v>3</v>
      </c>
      <c r="AD26" s="93">
        <v>55</v>
      </c>
      <c r="AE26" s="80">
        <v>0.61818181818181817</v>
      </c>
      <c r="AF26" s="94">
        <v>8.1081081081081086E-2</v>
      </c>
    </row>
    <row r="27" spans="1:32">
      <c r="A27" s="71"/>
      <c r="B27" s="72"/>
      <c r="C27" s="71"/>
      <c r="D27" s="71"/>
      <c r="E27" s="71"/>
      <c r="F27" s="71"/>
      <c r="G27" s="71"/>
      <c r="H27" s="71"/>
      <c r="L27" s="72"/>
      <c r="M27" s="72"/>
      <c r="N27" s="79"/>
      <c r="O27" s="79"/>
      <c r="P27" s="80"/>
      <c r="Q27" s="79"/>
      <c r="R27" s="79"/>
      <c r="S27" s="80"/>
      <c r="T27" s="90"/>
      <c r="U27" s="72"/>
      <c r="Y27" s="72"/>
      <c r="Z27" s="72"/>
      <c r="AA27" s="93"/>
      <c r="AB27" s="93"/>
      <c r="AC27" s="93"/>
      <c r="AD27" s="93"/>
      <c r="AE27" s="80"/>
      <c r="AF27" s="94"/>
    </row>
    <row r="28" spans="1:32">
      <c r="A28" s="71"/>
      <c r="B28" s="73"/>
      <c r="C28" s="71"/>
      <c r="D28" s="71"/>
      <c r="E28" s="71"/>
      <c r="F28" s="71"/>
      <c r="G28" s="71"/>
      <c r="H28" s="71"/>
      <c r="L28" s="73"/>
      <c r="M28" s="73"/>
      <c r="N28" s="81"/>
      <c r="O28" s="81"/>
      <c r="P28" s="82"/>
      <c r="Q28" s="81"/>
      <c r="R28" s="81"/>
      <c r="S28" s="80"/>
      <c r="T28" s="89"/>
      <c r="U28" s="73"/>
      <c r="Y28" s="73"/>
      <c r="Z28" s="73"/>
      <c r="AA28" s="95"/>
      <c r="AB28" s="95"/>
      <c r="AC28" s="95"/>
      <c r="AD28" s="95"/>
      <c r="AE28" s="96"/>
      <c r="AF28" s="97"/>
    </row>
    <row r="29" spans="1:32">
      <c r="A29" s="71"/>
      <c r="B29" s="74"/>
      <c r="C29" s="71"/>
      <c r="D29" s="71"/>
      <c r="E29" s="71"/>
      <c r="F29" s="71"/>
      <c r="G29" s="71"/>
      <c r="H29" s="71"/>
      <c r="L29" s="74"/>
      <c r="M29" s="74"/>
      <c r="N29" s="83"/>
      <c r="O29" s="83"/>
      <c r="P29" s="84"/>
      <c r="Q29" s="83"/>
      <c r="R29" s="83"/>
      <c r="S29" s="91"/>
      <c r="T29" s="92"/>
      <c r="U29" s="74"/>
      <c r="Y29" s="74"/>
      <c r="Z29" s="74"/>
      <c r="AA29" s="98"/>
      <c r="AB29" s="98"/>
      <c r="AC29" s="98"/>
      <c r="AD29" s="98"/>
      <c r="AE29" s="99"/>
      <c r="AF29" s="100"/>
    </row>
    <row r="30" spans="1:32">
      <c r="A30" s="71"/>
      <c r="B30" s="75"/>
      <c r="C30" s="71"/>
      <c r="D30" s="71"/>
      <c r="E30" s="71"/>
      <c r="F30" s="71"/>
      <c r="G30" s="71"/>
      <c r="H30" s="71"/>
      <c r="L30" s="75"/>
      <c r="M30" s="75"/>
      <c r="N30" s="79"/>
      <c r="O30" s="79"/>
      <c r="P30" s="80"/>
      <c r="Q30" s="79"/>
      <c r="R30" s="79"/>
      <c r="S30" s="80"/>
      <c r="T30" s="90"/>
      <c r="U30" s="72"/>
      <c r="Y30" s="75"/>
      <c r="Z30" s="75"/>
      <c r="AA30" s="93"/>
      <c r="AB30" s="93"/>
      <c r="AC30" s="93"/>
      <c r="AD30" s="93"/>
      <c r="AE30" s="80"/>
      <c r="AF30" s="94"/>
    </row>
    <row r="31" spans="1:32">
      <c r="A31" s="71"/>
      <c r="B31" s="73"/>
      <c r="C31" s="71"/>
      <c r="D31" s="71"/>
      <c r="E31" s="71"/>
      <c r="F31" s="71"/>
      <c r="G31" s="71"/>
      <c r="H31" s="71"/>
      <c r="L31" s="73"/>
      <c r="M31" s="73"/>
      <c r="N31" s="79"/>
      <c r="O31" s="79"/>
      <c r="P31" s="80"/>
      <c r="Q31" s="79"/>
      <c r="R31" s="79"/>
      <c r="S31" s="80"/>
      <c r="T31" s="88"/>
      <c r="U31" s="75"/>
      <c r="Y31" s="73"/>
      <c r="Z31" s="73"/>
      <c r="AA31" s="93"/>
      <c r="AB31" s="93"/>
      <c r="AC31" s="93"/>
      <c r="AD31" s="93"/>
      <c r="AE31" s="80"/>
      <c r="AF31" s="94"/>
    </row>
    <row r="32" spans="1:32">
      <c r="A32" s="71"/>
      <c r="B32" s="75"/>
      <c r="C32" s="71"/>
      <c r="D32" s="71"/>
      <c r="E32" s="71"/>
      <c r="F32" s="71"/>
      <c r="G32" s="71"/>
      <c r="H32" s="71"/>
      <c r="L32" s="75"/>
      <c r="M32" s="75"/>
      <c r="N32" s="79"/>
      <c r="O32" s="79"/>
      <c r="P32" s="80"/>
      <c r="Q32" s="79"/>
      <c r="R32" s="79"/>
      <c r="S32" s="80"/>
      <c r="T32" s="88"/>
      <c r="U32" s="75"/>
      <c r="Y32" s="75"/>
      <c r="Z32" s="75"/>
      <c r="AA32" s="93"/>
      <c r="AB32" s="93"/>
      <c r="AC32" s="93"/>
      <c r="AD32" s="93"/>
      <c r="AE32" s="80"/>
      <c r="AF32" s="94"/>
    </row>
    <row r="33" spans="1:32">
      <c r="A33" s="71"/>
      <c r="B33" s="75"/>
      <c r="C33" s="71"/>
      <c r="D33" s="71"/>
      <c r="E33" s="71"/>
      <c r="F33" s="71"/>
      <c r="G33" s="71"/>
      <c r="H33" s="71"/>
      <c r="L33" s="75"/>
      <c r="M33" s="75"/>
      <c r="N33" s="79"/>
      <c r="O33" s="79"/>
      <c r="P33" s="80"/>
      <c r="Q33" s="79"/>
      <c r="R33" s="79"/>
      <c r="S33" s="80"/>
      <c r="T33" s="90"/>
      <c r="U33" s="72"/>
      <c r="Y33" s="75"/>
      <c r="Z33" s="75"/>
      <c r="AA33" s="93"/>
      <c r="AB33" s="93"/>
      <c r="AC33" s="93"/>
      <c r="AD33" s="93"/>
      <c r="AE33" s="80"/>
      <c r="AF33" s="94"/>
    </row>
    <row r="34" spans="1:32">
      <c r="A34" s="71"/>
      <c r="B34" s="73"/>
      <c r="C34" s="71"/>
      <c r="D34" s="71"/>
      <c r="E34" s="71"/>
      <c r="F34" s="71"/>
      <c r="G34" s="71"/>
      <c r="H34" s="71"/>
      <c r="L34" s="73"/>
      <c r="M34" s="73"/>
      <c r="N34" s="79"/>
      <c r="O34" s="79"/>
      <c r="P34" s="80"/>
      <c r="Q34" s="79"/>
      <c r="R34" s="79"/>
      <c r="S34" s="80"/>
      <c r="T34" s="88"/>
      <c r="U34" s="75"/>
      <c r="Y34" s="73"/>
      <c r="Z34" s="73"/>
      <c r="AA34" s="93"/>
      <c r="AB34" s="93"/>
      <c r="AC34" s="93"/>
      <c r="AD34" s="93"/>
      <c r="AE34" s="80"/>
      <c r="AF34" s="94"/>
    </row>
    <row r="35" spans="1:32">
      <c r="A35" s="71"/>
      <c r="B35" s="75"/>
      <c r="C35" s="71"/>
      <c r="D35" s="71"/>
      <c r="E35" s="71"/>
      <c r="F35" s="71"/>
      <c r="G35" s="71"/>
      <c r="H35" s="71"/>
      <c r="L35" s="75"/>
      <c r="M35" s="75"/>
      <c r="N35" s="79"/>
      <c r="O35" s="79"/>
      <c r="P35" s="80"/>
      <c r="Q35" s="79"/>
      <c r="R35" s="79"/>
      <c r="S35" s="80"/>
      <c r="T35" s="88"/>
      <c r="U35" s="75"/>
      <c r="Y35" s="75"/>
      <c r="Z35" s="75"/>
      <c r="AA35" s="93"/>
      <c r="AB35" s="93"/>
      <c r="AC35" s="93"/>
      <c r="AD35" s="93"/>
      <c r="AE35" s="80"/>
      <c r="AF35" s="94"/>
    </row>
    <row r="36" spans="1:32">
      <c r="A36" s="71"/>
      <c r="B36" s="75"/>
      <c r="C36" s="71"/>
      <c r="D36" s="71"/>
      <c r="E36" s="71"/>
      <c r="F36" s="71"/>
      <c r="G36" s="71"/>
      <c r="H36" s="71"/>
      <c r="L36" s="75"/>
      <c r="M36" s="75"/>
      <c r="N36" s="79"/>
      <c r="O36" s="79"/>
      <c r="P36" s="80"/>
      <c r="Q36" s="79"/>
      <c r="R36" s="79"/>
      <c r="S36" s="80"/>
      <c r="T36" s="90"/>
      <c r="U36" s="72"/>
      <c r="Y36" s="75"/>
      <c r="Z36" s="75"/>
      <c r="AA36" s="93"/>
      <c r="AB36" s="93"/>
      <c r="AC36" s="93"/>
      <c r="AD36" s="93"/>
      <c r="AE36" s="80"/>
      <c r="AF36" s="94"/>
    </row>
    <row r="37" spans="1:32">
      <c r="A37" s="71"/>
      <c r="B37" s="75"/>
      <c r="C37" s="71"/>
      <c r="D37" s="71"/>
      <c r="E37" s="71"/>
      <c r="F37" s="71"/>
      <c r="G37" s="71"/>
      <c r="H37" s="71"/>
      <c r="L37" s="75"/>
      <c r="M37" s="75"/>
      <c r="N37" s="79"/>
      <c r="O37" s="79"/>
      <c r="P37" s="80"/>
      <c r="Q37" s="79"/>
      <c r="R37" s="79"/>
      <c r="S37" s="80"/>
      <c r="T37" s="88"/>
      <c r="U37" s="75"/>
      <c r="Y37" s="75"/>
      <c r="Z37" s="75"/>
      <c r="AA37" s="93"/>
      <c r="AB37" s="93"/>
      <c r="AC37" s="93"/>
      <c r="AD37" s="93"/>
      <c r="AE37" s="80"/>
      <c r="AF37" s="94"/>
    </row>
    <row r="38" spans="1:32">
      <c r="A38" s="71"/>
      <c r="B38" s="72"/>
      <c r="C38" s="71"/>
      <c r="D38" s="71"/>
      <c r="E38" s="71"/>
      <c r="F38" s="71"/>
      <c r="G38" s="71"/>
      <c r="H38" s="71"/>
      <c r="L38" s="72"/>
      <c r="M38" s="72"/>
      <c r="N38" s="79"/>
      <c r="O38" s="79"/>
      <c r="P38" s="80"/>
      <c r="Q38" s="79"/>
      <c r="R38" s="79"/>
      <c r="S38" s="80"/>
      <c r="T38" s="88"/>
      <c r="U38" s="75"/>
      <c r="Y38" s="72"/>
      <c r="Z38" s="72"/>
      <c r="AA38" s="93"/>
      <c r="AB38" s="93"/>
      <c r="AC38" s="93"/>
      <c r="AD38" s="93"/>
      <c r="AE38" s="80"/>
      <c r="AF38" s="94"/>
    </row>
    <row r="39" spans="1:32">
      <c r="A39" s="71"/>
      <c r="B39" s="75"/>
      <c r="C39" s="71"/>
      <c r="D39" s="71"/>
      <c r="E39" s="71"/>
      <c r="F39" s="71"/>
      <c r="G39" s="71"/>
      <c r="H39" s="71"/>
      <c r="L39" s="75"/>
      <c r="M39" s="75"/>
      <c r="N39" s="79"/>
      <c r="O39" s="79"/>
      <c r="P39" s="80"/>
      <c r="Q39" s="79"/>
      <c r="R39" s="79"/>
      <c r="S39" s="80"/>
      <c r="T39" s="90"/>
      <c r="U39" s="72"/>
      <c r="Y39" s="75"/>
      <c r="Z39" s="75"/>
      <c r="AA39" s="93"/>
      <c r="AB39" s="93"/>
      <c r="AC39" s="93"/>
      <c r="AD39" s="93"/>
      <c r="AE39" s="80"/>
      <c r="AF39" s="94"/>
    </row>
    <row r="40" spans="1:32">
      <c r="A40" s="71"/>
      <c r="B40" s="75"/>
      <c r="C40" s="71"/>
      <c r="D40" s="71"/>
      <c r="E40" s="71"/>
      <c r="F40" s="71"/>
      <c r="G40" s="71"/>
      <c r="H40" s="71"/>
      <c r="L40" s="75"/>
      <c r="M40" s="75"/>
      <c r="N40" s="79"/>
      <c r="O40" s="79"/>
      <c r="P40" s="80"/>
      <c r="Q40" s="79"/>
      <c r="R40" s="79"/>
      <c r="S40" s="80"/>
      <c r="T40" s="88"/>
      <c r="U40" s="75"/>
      <c r="Y40" s="75"/>
      <c r="Z40" s="75"/>
      <c r="AA40" s="93"/>
      <c r="AB40" s="93"/>
      <c r="AC40" s="93"/>
      <c r="AD40" s="93"/>
      <c r="AE40" s="80"/>
      <c r="AF40" s="94"/>
    </row>
    <row r="41" spans="1:32">
      <c r="A41" s="71"/>
      <c r="B41" s="72"/>
      <c r="C41" s="71"/>
      <c r="D41" s="71"/>
      <c r="E41" s="71"/>
      <c r="F41" s="71"/>
      <c r="G41" s="71"/>
      <c r="H41" s="71"/>
      <c r="L41" s="72"/>
      <c r="M41" s="72"/>
      <c r="N41" s="79"/>
      <c r="O41" s="79"/>
      <c r="P41" s="80"/>
      <c r="Q41" s="79"/>
      <c r="R41" s="79"/>
      <c r="S41" s="80"/>
      <c r="T41" s="88"/>
      <c r="U41" s="75"/>
      <c r="Y41" s="72"/>
      <c r="Z41" s="72"/>
      <c r="AA41" s="93"/>
      <c r="AB41" s="93"/>
      <c r="AC41" s="93"/>
      <c r="AD41" s="93"/>
      <c r="AE41" s="80"/>
      <c r="AF41" s="94"/>
    </row>
    <row r="42" spans="1:32">
      <c r="A42" s="71"/>
      <c r="B42" s="75"/>
      <c r="C42" s="71"/>
      <c r="D42" s="71"/>
      <c r="E42" s="71"/>
      <c r="F42" s="71"/>
      <c r="G42" s="71"/>
      <c r="H42" s="71"/>
      <c r="L42" s="73"/>
      <c r="M42" s="73"/>
      <c r="N42" s="79"/>
      <c r="O42" s="79"/>
      <c r="P42" s="80"/>
      <c r="Q42" s="79"/>
      <c r="R42" s="79"/>
      <c r="S42" s="80"/>
      <c r="T42" s="90"/>
      <c r="U42" s="72"/>
      <c r="Y42" s="73"/>
      <c r="Z42" s="73"/>
      <c r="AA42" s="93"/>
      <c r="AB42" s="93"/>
      <c r="AC42" s="93"/>
      <c r="AD42" s="93"/>
      <c r="AE42" s="80"/>
      <c r="AF42" s="94"/>
    </row>
  </sheetData>
  <mergeCells count="21">
    <mergeCell ref="A11:H12"/>
    <mergeCell ref="Y11:AF12"/>
    <mergeCell ref="N11:S12"/>
    <mergeCell ref="T13:U13"/>
    <mergeCell ref="AA13:AC13"/>
    <mergeCell ref="A13:A14"/>
    <mergeCell ref="B13:B14"/>
    <mergeCell ref="I11:I12"/>
    <mergeCell ref="I13:I14"/>
    <mergeCell ref="J13:J14"/>
    <mergeCell ref="Y13:Y14"/>
    <mergeCell ref="Z13:Z14"/>
    <mergeCell ref="C13:D13"/>
    <mergeCell ref="E13:F13"/>
    <mergeCell ref="G13:H13"/>
    <mergeCell ref="N13:P13"/>
    <mergeCell ref="Q13:S13"/>
    <mergeCell ref="AD13:AD14"/>
    <mergeCell ref="AE13:AE14"/>
    <mergeCell ref="AF13:AF14"/>
    <mergeCell ref="K13:K14"/>
  </mergeCells>
  <phoneticPr fontId="14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Pict="0" macro="[0]!AutoStrain_Click">
                <anchor moveWithCells="1">
                  <from>
                    <xdr:col>11</xdr:col>
                    <xdr:colOff>342900</xdr:colOff>
                    <xdr:row>9</xdr:row>
                    <xdr:rowOff>85725</xdr:rowOff>
                  </from>
                  <to>
                    <xdr:col>13</xdr:col>
                    <xdr:colOff>19050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autoPict="0" macro="[0]!GenerateStrainRows_Click">
                <anchor moveWithCells="1">
                  <from>
                    <xdr:col>13</xdr:col>
                    <xdr:colOff>400050</xdr:colOff>
                    <xdr:row>6</xdr:row>
                    <xdr:rowOff>171450</xdr:rowOff>
                  </from>
                  <to>
                    <xdr:col>14</xdr:col>
                    <xdr:colOff>676275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Pict="0" macro="[0]!DeleteAllCharts">
                <anchor moveWithCells="1">
                  <from>
                    <xdr:col>11</xdr:col>
                    <xdr:colOff>352425</xdr:colOff>
                    <xdr:row>12</xdr:row>
                    <xdr:rowOff>38100</xdr:rowOff>
                  </from>
                  <to>
                    <xdr:col>13</xdr:col>
                    <xdr:colOff>295275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autoPict="0" macro="[0]!AutoStrainGraph">
                <anchor moveWithCells="1">
                  <from>
                    <xdr:col>13</xdr:col>
                    <xdr:colOff>400050</xdr:colOff>
                    <xdr:row>9</xdr:row>
                    <xdr:rowOff>123825</xdr:rowOff>
                  </from>
                  <to>
                    <xdr:col>15</xdr:col>
                    <xdr:colOff>257175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autoPict="0" macro="[0]!StrainDataClear">
                <anchor moveWithCells="1" sizeWithCells="1">
                  <from>
                    <xdr:col>11</xdr:col>
                    <xdr:colOff>314325</xdr:colOff>
                    <xdr:row>6</xdr:row>
                    <xdr:rowOff>171450</xdr:rowOff>
                  </from>
                  <to>
                    <xdr:col>13</xdr:col>
                    <xdr:colOff>171450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Group Box 6">
              <controlPr defaultSize="0" autoPict="0">
                <anchor moveWithCells="1">
                  <from>
                    <xdr:col>11</xdr:col>
                    <xdr:colOff>47625</xdr:colOff>
                    <xdr:row>5</xdr:row>
                    <xdr:rowOff>152400</xdr:rowOff>
                  </from>
                  <to>
                    <xdr:col>15</xdr:col>
                    <xdr:colOff>466725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G30"/>
  <sheetViews>
    <sheetView workbookViewId="0"/>
  </sheetViews>
  <sheetFormatPr defaultColWidth="9" defaultRowHeight="14.25"/>
  <sheetData>
    <row r="1" spans="1:7">
      <c r="A1" s="1" t="s">
        <v>69</v>
      </c>
      <c r="B1">
        <v>3</v>
      </c>
    </row>
    <row r="2" spans="1:7">
      <c r="A2" s="1" t="s">
        <v>70</v>
      </c>
      <c r="B2" s="1">
        <v>5</v>
      </c>
    </row>
    <row r="7" spans="1:7">
      <c r="G7" s="1"/>
    </row>
    <row r="11" spans="1:7">
      <c r="A11" s="124" t="s">
        <v>18</v>
      </c>
      <c r="B11" s="124" t="s">
        <v>71</v>
      </c>
      <c r="C11" s="138" t="s">
        <v>72</v>
      </c>
      <c r="D11" s="139"/>
      <c r="E11" s="140" t="s">
        <v>73</v>
      </c>
      <c r="F11" s="140" t="s">
        <v>74</v>
      </c>
    </row>
    <row r="12" spans="1:7">
      <c r="A12" s="124"/>
      <c r="B12" s="124"/>
      <c r="C12" s="62" t="s">
        <v>27</v>
      </c>
      <c r="D12" s="62" t="s">
        <v>22</v>
      </c>
      <c r="E12" s="141"/>
      <c r="F12" s="141"/>
    </row>
    <row r="13" spans="1:7">
      <c r="A13" s="63" t="s">
        <v>75</v>
      </c>
      <c r="B13" s="63" t="s">
        <v>76</v>
      </c>
      <c r="C13" s="64">
        <v>0.18</v>
      </c>
      <c r="D13" s="65" t="s">
        <v>77</v>
      </c>
      <c r="E13" s="142">
        <v>0.01</v>
      </c>
      <c r="F13" s="144">
        <v>1.2699999999999999E-2</v>
      </c>
    </row>
    <row r="14" spans="1:7">
      <c r="A14" s="63" t="s">
        <v>75</v>
      </c>
      <c r="B14" s="63" t="s">
        <v>78</v>
      </c>
      <c r="C14" s="66">
        <v>0.3</v>
      </c>
      <c r="D14" s="65" t="s">
        <v>77</v>
      </c>
      <c r="E14" s="143"/>
      <c r="F14" s="145"/>
    </row>
    <row r="15" spans="1:7">
      <c r="A15" s="63" t="s">
        <v>75</v>
      </c>
      <c r="B15" s="63" t="s">
        <v>79</v>
      </c>
      <c r="C15" s="66">
        <v>0.45</v>
      </c>
      <c r="D15" s="65" t="s">
        <v>77</v>
      </c>
      <c r="E15" s="143"/>
      <c r="F15" s="145"/>
    </row>
    <row r="16" spans="1:7">
      <c r="A16" s="63" t="s">
        <v>75</v>
      </c>
      <c r="B16" s="63" t="s">
        <v>80</v>
      </c>
      <c r="C16" s="66">
        <v>0.62</v>
      </c>
      <c r="D16" s="65" t="s">
        <v>77</v>
      </c>
      <c r="E16" s="143"/>
      <c r="F16" s="145"/>
    </row>
    <row r="17" spans="1:6">
      <c r="A17" s="63" t="s">
        <v>75</v>
      </c>
      <c r="B17" s="63" t="s">
        <v>81</v>
      </c>
      <c r="C17" s="66">
        <v>0.79</v>
      </c>
      <c r="D17" s="65">
        <v>0.78</v>
      </c>
      <c r="E17" s="143"/>
      <c r="F17" s="145"/>
    </row>
    <row r="18" spans="1:6">
      <c r="A18" s="63" t="s">
        <v>75</v>
      </c>
      <c r="B18" s="63" t="s">
        <v>82</v>
      </c>
      <c r="C18" s="67">
        <v>0.01</v>
      </c>
      <c r="D18" s="65" t="s">
        <v>77</v>
      </c>
      <c r="E18" s="143"/>
      <c r="F18" s="145"/>
    </row>
    <row r="19" spans="1:6">
      <c r="A19" s="63" t="s">
        <v>83</v>
      </c>
      <c r="B19" s="63" t="s">
        <v>76</v>
      </c>
      <c r="C19" s="64">
        <v>0.13</v>
      </c>
      <c r="D19" s="65" t="s">
        <v>77</v>
      </c>
      <c r="E19" s="143">
        <v>0.03</v>
      </c>
      <c r="F19" s="145">
        <v>4.1099999999999998E-2</v>
      </c>
    </row>
    <row r="20" spans="1:6">
      <c r="A20" s="63" t="s">
        <v>83</v>
      </c>
      <c r="B20" s="63" t="s">
        <v>78</v>
      </c>
      <c r="C20" s="66">
        <v>0.28000000000000003</v>
      </c>
      <c r="D20" s="65" t="s">
        <v>77</v>
      </c>
      <c r="E20" s="143"/>
      <c r="F20" s="145"/>
    </row>
    <row r="21" spans="1:6">
      <c r="A21" s="63" t="s">
        <v>83</v>
      </c>
      <c r="B21" s="63" t="s">
        <v>79</v>
      </c>
      <c r="C21" s="66">
        <v>0.41</v>
      </c>
      <c r="D21" s="65" t="s">
        <v>77</v>
      </c>
      <c r="E21" s="143"/>
      <c r="F21" s="145"/>
    </row>
    <row r="22" spans="1:6">
      <c r="A22" s="63" t="s">
        <v>83</v>
      </c>
      <c r="B22" s="63" t="s">
        <v>80</v>
      </c>
      <c r="C22" s="66">
        <v>0.56999999999999995</v>
      </c>
      <c r="D22" s="65" t="s">
        <v>77</v>
      </c>
      <c r="E22" s="143"/>
      <c r="F22" s="145"/>
    </row>
    <row r="23" spans="1:6">
      <c r="A23" s="63" t="s">
        <v>83</v>
      </c>
      <c r="B23" s="63" t="s">
        <v>81</v>
      </c>
      <c r="C23" s="66">
        <v>0.73</v>
      </c>
      <c r="D23" s="65">
        <v>0.7</v>
      </c>
      <c r="E23" s="143"/>
      <c r="F23" s="145"/>
    </row>
    <row r="24" spans="1:6">
      <c r="A24" s="63" t="s">
        <v>83</v>
      </c>
      <c r="B24" s="63" t="s">
        <v>82</v>
      </c>
      <c r="C24" s="67">
        <v>0.03</v>
      </c>
      <c r="D24" s="65" t="s">
        <v>77</v>
      </c>
      <c r="E24" s="143"/>
      <c r="F24" s="145"/>
    </row>
    <row r="25" spans="1:6">
      <c r="A25" s="63" t="s">
        <v>84</v>
      </c>
      <c r="B25" s="63" t="s">
        <v>76</v>
      </c>
      <c r="C25" s="64">
        <v>0.15</v>
      </c>
      <c r="D25" s="65" t="s">
        <v>77</v>
      </c>
      <c r="E25" s="143">
        <v>0.04</v>
      </c>
      <c r="F25" s="145">
        <v>4.82E-2</v>
      </c>
    </row>
    <row r="26" spans="1:6">
      <c r="A26" s="63" t="s">
        <v>84</v>
      </c>
      <c r="B26" s="63" t="s">
        <v>78</v>
      </c>
      <c r="C26" s="66">
        <v>0.32</v>
      </c>
      <c r="D26" s="65" t="s">
        <v>77</v>
      </c>
      <c r="E26" s="143"/>
      <c r="F26" s="145"/>
    </row>
    <row r="27" spans="1:6">
      <c r="A27" s="63" t="s">
        <v>84</v>
      </c>
      <c r="B27" s="63" t="s">
        <v>79</v>
      </c>
      <c r="C27" s="66">
        <v>0.48</v>
      </c>
      <c r="D27" s="65" t="s">
        <v>77</v>
      </c>
      <c r="E27" s="143"/>
      <c r="F27" s="145"/>
    </row>
    <row r="28" spans="1:6">
      <c r="A28" s="63" t="s">
        <v>84</v>
      </c>
      <c r="B28" s="63" t="s">
        <v>80</v>
      </c>
      <c r="C28" s="66">
        <v>0.64</v>
      </c>
      <c r="D28" s="65" t="s">
        <v>77</v>
      </c>
      <c r="E28" s="143"/>
      <c r="F28" s="145"/>
    </row>
    <row r="29" spans="1:6">
      <c r="A29" s="63" t="s">
        <v>84</v>
      </c>
      <c r="B29" s="63" t="s">
        <v>81</v>
      </c>
      <c r="C29" s="66">
        <v>0.83</v>
      </c>
      <c r="D29" s="65">
        <v>0.79</v>
      </c>
      <c r="E29" s="143"/>
      <c r="F29" s="145"/>
    </row>
    <row r="30" spans="1:6">
      <c r="A30" s="63" t="s">
        <v>84</v>
      </c>
      <c r="B30" s="63" t="s">
        <v>82</v>
      </c>
      <c r="C30" s="67">
        <v>0.04</v>
      </c>
      <c r="D30" s="65" t="s">
        <v>77</v>
      </c>
      <c r="E30" s="143"/>
      <c r="F30" s="145"/>
    </row>
  </sheetData>
  <mergeCells count="11">
    <mergeCell ref="E19:E24"/>
    <mergeCell ref="E25:E30"/>
    <mergeCell ref="F11:F12"/>
    <mergeCell ref="F13:F18"/>
    <mergeCell ref="F19:F24"/>
    <mergeCell ref="F25:F30"/>
    <mergeCell ref="C11:D11"/>
    <mergeCell ref="A11:A12"/>
    <mergeCell ref="B11:B12"/>
    <mergeCell ref="E11:E12"/>
    <mergeCell ref="E13:E18"/>
  </mergeCells>
  <phoneticPr fontId="14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3" name="Button 2">
              <controlPr defaultSize="0" print="0" autoPict="0" macro="[0]!ThrustDataClear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4" name="Button 3">
              <controlPr defaultSize="0" print="0" autoPict="0" macro="[0]!GenerateThrustRows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Pict="0" macro="[0]!AutoThrust.AutoThrust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G3:L33"/>
  <sheetViews>
    <sheetView workbookViewId="0">
      <selection activeCell="J11" sqref="J11"/>
    </sheetView>
  </sheetViews>
  <sheetFormatPr defaultColWidth="9" defaultRowHeight="14.25"/>
  <sheetData>
    <row r="3" spans="7:7">
      <c r="G3" t="s">
        <v>85</v>
      </c>
    </row>
    <row r="33" spans="12:12">
      <c r="L33" s="61"/>
    </row>
  </sheetData>
  <phoneticPr fontId="14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Report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Pict="0" macro="[0]!AutoCalcReport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Pict="0" macro="[0]!AutoThrustReport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ExportRelationChartCheckBox">
              <controlPr defaultSize="0" autoPict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Group Box 7">
              <controlPr defaultSize="0" autoPict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Group Box 8">
              <controlPr defaultSize="0" autoPict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9" name="Button 10">
              <controlPr defaultSize="0" print="0" autoPict="0" macro="[0]!OpenReport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0" name="Button 11">
              <controlPr defaultSize="0" print="0" autoPict="0" macro="[0]!OpenCalcReport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S52"/>
  <sheetViews>
    <sheetView workbookViewId="0">
      <selection activeCell="E10" sqref="E10"/>
    </sheetView>
  </sheetViews>
  <sheetFormatPr defaultColWidth="9" defaultRowHeight="14.2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18</v>
      </c>
      <c r="B1" s="1" t="s">
        <v>86</v>
      </c>
      <c r="C1" s="1" t="s">
        <v>87</v>
      </c>
      <c r="D1" s="1" t="s">
        <v>88</v>
      </c>
      <c r="E1" s="1" t="s">
        <v>89</v>
      </c>
      <c r="F1" s="1" t="s">
        <v>90</v>
      </c>
      <c r="J1" s="1" t="s">
        <v>91</v>
      </c>
      <c r="K1" s="1" t="s">
        <v>18</v>
      </c>
      <c r="L1" s="1" t="s">
        <v>86</v>
      </c>
      <c r="M1" s="1" t="s">
        <v>92</v>
      </c>
      <c r="N1" s="1" t="s">
        <v>93</v>
      </c>
      <c r="O1" s="1" t="s">
        <v>89</v>
      </c>
      <c r="P1" s="1" t="s">
        <v>90</v>
      </c>
    </row>
    <row r="2" spans="1:16">
      <c r="A2" s="60" t="s">
        <v>94</v>
      </c>
      <c r="B2" s="1" t="s">
        <v>77</v>
      </c>
      <c r="C2">
        <v>0</v>
      </c>
      <c r="D2">
        <v>2.7693699999999999</v>
      </c>
      <c r="E2">
        <v>7.8367000000000004</v>
      </c>
      <c r="F2">
        <v>-7836.7</v>
      </c>
      <c r="J2" s="1"/>
      <c r="K2" s="60" t="s">
        <v>95</v>
      </c>
      <c r="L2" s="1" t="s">
        <v>77</v>
      </c>
      <c r="M2">
        <v>0</v>
      </c>
      <c r="N2">
        <v>1.7195100000000001</v>
      </c>
      <c r="O2">
        <v>0</v>
      </c>
    </row>
    <row r="3" spans="1:16">
      <c r="A3" s="34" t="s">
        <v>96</v>
      </c>
      <c r="B3" s="60" t="s">
        <v>94</v>
      </c>
      <c r="C3">
        <v>1.6685300000000001</v>
      </c>
      <c r="D3">
        <v>2.7693699999999999</v>
      </c>
      <c r="E3">
        <v>8.9375400000000003</v>
      </c>
      <c r="F3">
        <v>-8937.5400000000009</v>
      </c>
      <c r="K3" s="34" t="s">
        <v>75</v>
      </c>
      <c r="L3" s="60" t="s">
        <v>95</v>
      </c>
      <c r="M3">
        <v>1.34327</v>
      </c>
      <c r="N3">
        <v>1.7195100000000001</v>
      </c>
    </row>
    <row r="4" spans="1:16">
      <c r="A4" s="34" t="s">
        <v>97</v>
      </c>
      <c r="B4" s="60" t="s">
        <v>94</v>
      </c>
      <c r="C4">
        <v>0.90878000000000003</v>
      </c>
      <c r="D4">
        <v>2.7693699999999999</v>
      </c>
      <c r="E4">
        <v>9.6972900000000006</v>
      </c>
      <c r="F4">
        <v>-9697.2900000000009</v>
      </c>
      <c r="K4" s="34" t="s">
        <v>83</v>
      </c>
      <c r="L4" s="34" t="s">
        <v>95</v>
      </c>
      <c r="M4">
        <v>1.36554</v>
      </c>
      <c r="N4">
        <v>1.7195100000000001</v>
      </c>
    </row>
    <row r="5" spans="1:16">
      <c r="A5" s="34" t="s">
        <v>98</v>
      </c>
      <c r="B5" s="60" t="s">
        <v>94</v>
      </c>
      <c r="C5">
        <v>0.77649000000000001</v>
      </c>
      <c r="D5">
        <v>2.7693699999999999</v>
      </c>
      <c r="E5">
        <v>9.82958</v>
      </c>
      <c r="F5">
        <v>-9829.58</v>
      </c>
      <c r="K5" s="34" t="s">
        <v>84</v>
      </c>
      <c r="L5" s="34" t="s">
        <v>95</v>
      </c>
      <c r="M5">
        <v>1.38873</v>
      </c>
      <c r="N5">
        <v>1.7195100000000001</v>
      </c>
    </row>
    <row r="6" spans="1:16">
      <c r="A6" s="34" t="s">
        <v>99</v>
      </c>
      <c r="B6" s="60" t="s">
        <v>94</v>
      </c>
      <c r="C6">
        <v>1.6749799999999999</v>
      </c>
      <c r="D6">
        <v>2.7693699999999999</v>
      </c>
      <c r="E6">
        <v>8.9310899999999993</v>
      </c>
      <c r="F6">
        <v>-8931.09</v>
      </c>
      <c r="K6" s="34" t="s">
        <v>100</v>
      </c>
      <c r="L6" s="34" t="s">
        <v>95</v>
      </c>
      <c r="M6">
        <v>1.7493399999999999</v>
      </c>
      <c r="N6">
        <v>1.7195100000000001</v>
      </c>
    </row>
    <row r="7" spans="1:16">
      <c r="A7" s="34" t="s">
        <v>101</v>
      </c>
      <c r="B7" s="60" t="s">
        <v>94</v>
      </c>
      <c r="C7">
        <v>0.89700000000000002</v>
      </c>
      <c r="D7">
        <v>2.7693699999999999</v>
      </c>
      <c r="E7">
        <v>9.7090700000000005</v>
      </c>
      <c r="F7">
        <v>-9709.07</v>
      </c>
      <c r="K7" s="34" t="s">
        <v>102</v>
      </c>
      <c r="L7" s="34" t="s">
        <v>95</v>
      </c>
      <c r="M7">
        <v>1.72875</v>
      </c>
      <c r="N7">
        <v>1.7195100000000001</v>
      </c>
    </row>
    <row r="8" spans="1:16">
      <c r="A8" s="34" t="s">
        <v>103</v>
      </c>
      <c r="B8" s="60" t="s">
        <v>94</v>
      </c>
      <c r="C8">
        <v>0.75307999999999997</v>
      </c>
      <c r="D8">
        <v>2.7693699999999999</v>
      </c>
      <c r="E8">
        <v>9.8529900000000001</v>
      </c>
      <c r="F8">
        <v>-9852.99</v>
      </c>
      <c r="K8" s="34" t="s">
        <v>104</v>
      </c>
      <c r="L8" s="34" t="s">
        <v>95</v>
      </c>
      <c r="M8">
        <v>1.6987000000000001</v>
      </c>
      <c r="N8">
        <v>1.7195100000000001</v>
      </c>
    </row>
    <row r="9" spans="1:16">
      <c r="A9" s="34" t="s">
        <v>105</v>
      </c>
      <c r="B9" s="60" t="s">
        <v>103</v>
      </c>
      <c r="C9">
        <v>1.09327</v>
      </c>
      <c r="D9">
        <v>0.91003000000000001</v>
      </c>
      <c r="E9">
        <v>9.6697500000000005</v>
      </c>
      <c r="F9">
        <v>-9669.75</v>
      </c>
      <c r="K9" s="34" t="s">
        <v>106</v>
      </c>
      <c r="L9" s="34" t="s">
        <v>95</v>
      </c>
      <c r="M9">
        <v>1.67526</v>
      </c>
      <c r="N9">
        <v>1.7195100000000001</v>
      </c>
    </row>
    <row r="10" spans="1:16">
      <c r="A10" s="34" t="s">
        <v>107</v>
      </c>
      <c r="B10" s="60" t="s">
        <v>103</v>
      </c>
      <c r="C10">
        <v>1.92201</v>
      </c>
      <c r="D10">
        <v>0.91003000000000001</v>
      </c>
      <c r="E10">
        <v>8.8410100000000007</v>
      </c>
      <c r="F10">
        <v>-8841.01</v>
      </c>
      <c r="K10" s="34" t="s">
        <v>108</v>
      </c>
      <c r="L10" s="34" t="s">
        <v>95</v>
      </c>
      <c r="M10">
        <v>1.6615500000000001</v>
      </c>
      <c r="N10">
        <v>1.7195100000000001</v>
      </c>
    </row>
    <row r="11" spans="1:16">
      <c r="A11" s="34" t="s">
        <v>109</v>
      </c>
      <c r="B11" s="60" t="s">
        <v>103</v>
      </c>
      <c r="C11">
        <v>1.08172</v>
      </c>
      <c r="D11">
        <v>0.91003000000000001</v>
      </c>
      <c r="E11">
        <v>9.6813000000000002</v>
      </c>
      <c r="F11">
        <v>-9681.2999999999993</v>
      </c>
      <c r="K11" s="34" t="s">
        <v>110</v>
      </c>
      <c r="L11" s="34" t="s">
        <v>95</v>
      </c>
      <c r="M11">
        <v>1.64923</v>
      </c>
      <c r="N11">
        <v>1.7195100000000001</v>
      </c>
    </row>
    <row r="12" spans="1:16">
      <c r="A12" s="60"/>
      <c r="B12" s="60"/>
      <c r="K12" s="60" t="s">
        <v>111</v>
      </c>
      <c r="L12" s="60" t="s">
        <v>108</v>
      </c>
      <c r="M12">
        <v>1.6605300000000001</v>
      </c>
      <c r="N12">
        <v>1.72431</v>
      </c>
    </row>
    <row r="13" spans="1:16">
      <c r="A13" s="60"/>
      <c r="B13" s="60"/>
      <c r="K13" s="60" t="s">
        <v>112</v>
      </c>
      <c r="L13" s="60" t="s">
        <v>108</v>
      </c>
      <c r="M13">
        <v>1.66256</v>
      </c>
      <c r="N13">
        <v>1.7235199999999999</v>
      </c>
    </row>
    <row r="14" spans="1:16">
      <c r="A14" s="60"/>
      <c r="B14" s="60"/>
      <c r="K14" s="60" t="s">
        <v>113</v>
      </c>
      <c r="L14" s="60" t="s">
        <v>114</v>
      </c>
      <c r="M14">
        <v>1.6482300000000001</v>
      </c>
      <c r="N14">
        <v>1.71828</v>
      </c>
    </row>
    <row r="15" spans="1:16">
      <c r="A15" s="60"/>
      <c r="B15" s="60"/>
      <c r="K15" s="60" t="s">
        <v>115</v>
      </c>
      <c r="L15" s="60" t="s">
        <v>113</v>
      </c>
      <c r="M15">
        <v>1.6582300000000001</v>
      </c>
      <c r="N15">
        <v>1.7163900000000001</v>
      </c>
    </row>
    <row r="18" spans="11:19">
      <c r="K18" s="60"/>
      <c r="L18" s="1"/>
      <c r="R18" s="60"/>
      <c r="S18" s="1"/>
    </row>
    <row r="19" spans="11:19">
      <c r="K19" s="34"/>
      <c r="L19" s="60"/>
      <c r="R19" s="34"/>
      <c r="S19" s="60"/>
    </row>
    <row r="20" spans="11:19">
      <c r="K20" s="34"/>
      <c r="L20" s="60"/>
      <c r="R20" s="34"/>
      <c r="S20" s="60"/>
    </row>
    <row r="21" spans="11:19">
      <c r="K21" s="34"/>
      <c r="L21" s="60"/>
      <c r="R21" s="34"/>
      <c r="S21" s="60"/>
    </row>
    <row r="22" spans="11:19">
      <c r="K22" s="34"/>
      <c r="L22" s="60"/>
    </row>
    <row r="24" spans="11:19">
      <c r="K24" s="60"/>
      <c r="L24" s="1"/>
      <c r="R24" s="60"/>
      <c r="S24" s="1"/>
    </row>
    <row r="25" spans="11:19">
      <c r="K25" s="34"/>
      <c r="L25" s="60"/>
      <c r="R25" s="34"/>
      <c r="S25" s="60"/>
    </row>
    <row r="26" spans="11:19">
      <c r="K26" s="34"/>
      <c r="L26" s="60"/>
      <c r="R26" s="34"/>
      <c r="S26" s="60"/>
    </row>
    <row r="27" spans="11:19">
      <c r="K27" s="34"/>
      <c r="L27" s="60"/>
      <c r="R27" s="34"/>
      <c r="S27" s="60"/>
    </row>
    <row r="28" spans="11:19">
      <c r="K28" s="34"/>
      <c r="L28" s="60"/>
    </row>
    <row r="30" spans="11:19">
      <c r="K30" s="60"/>
      <c r="L30" s="1"/>
      <c r="R30" s="60"/>
      <c r="S30" s="1"/>
    </row>
    <row r="31" spans="11:19">
      <c r="K31" s="34"/>
      <c r="L31" s="60"/>
      <c r="R31" s="34"/>
      <c r="S31" s="60"/>
    </row>
    <row r="32" spans="11:19">
      <c r="K32" s="34"/>
      <c r="L32" s="60"/>
      <c r="R32" s="34"/>
      <c r="S32" s="60"/>
    </row>
    <row r="33" spans="11:19">
      <c r="K33" s="34"/>
      <c r="L33" s="60"/>
      <c r="R33" s="34"/>
      <c r="S33" s="60"/>
    </row>
    <row r="34" spans="11:19">
      <c r="K34" s="34"/>
      <c r="L34" s="60"/>
    </row>
    <row r="36" spans="11:19">
      <c r="K36" s="60"/>
      <c r="L36" s="1"/>
    </row>
    <row r="37" spans="11:19">
      <c r="K37" s="34"/>
      <c r="L37" s="60"/>
    </row>
    <row r="38" spans="11:19">
      <c r="K38" s="34"/>
      <c r="L38" s="60"/>
    </row>
    <row r="39" spans="11:19">
      <c r="K39" s="34"/>
      <c r="L39" s="60"/>
    </row>
    <row r="40" spans="11:19">
      <c r="K40" s="34"/>
      <c r="L40" s="60"/>
    </row>
    <row r="42" spans="11:19">
      <c r="K42" s="60"/>
      <c r="L42" s="1"/>
    </row>
    <row r="43" spans="11:19">
      <c r="K43" s="34"/>
      <c r="L43" s="60"/>
    </row>
    <row r="44" spans="11:19">
      <c r="K44" s="34"/>
      <c r="L44" s="60"/>
    </row>
    <row r="45" spans="11:19">
      <c r="K45" s="34"/>
      <c r="L45" s="60"/>
    </row>
    <row r="46" spans="11:19">
      <c r="K46" s="34"/>
      <c r="L46" s="60"/>
    </row>
    <row r="48" spans="11:19">
      <c r="K48" s="60"/>
      <c r="L48" s="1"/>
    </row>
    <row r="49" spans="11:12">
      <c r="K49" s="34"/>
      <c r="L49" s="60"/>
    </row>
    <row r="50" spans="11:12">
      <c r="K50" s="34"/>
      <c r="L50" s="60"/>
    </row>
    <row r="51" spans="11:12">
      <c r="K51" s="34"/>
      <c r="L51" s="60"/>
    </row>
    <row r="52" spans="11:12">
      <c r="K52" s="34"/>
      <c r="L52" s="60"/>
    </row>
  </sheetData>
  <phoneticPr fontId="14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AutoLevelingSurveyTransform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Pict="0" macro="[0]!LevelingSurveyDataClear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11"/>
  <sheetViews>
    <sheetView workbookViewId="0">
      <selection activeCell="D1" sqref="D1"/>
    </sheetView>
  </sheetViews>
  <sheetFormatPr defaultColWidth="9" defaultRowHeight="14.25"/>
  <sheetData>
    <row r="1" spans="1:6">
      <c r="B1" t="s">
        <v>22</v>
      </c>
      <c r="C1" t="s">
        <v>23</v>
      </c>
      <c r="E1" t="s">
        <v>22</v>
      </c>
      <c r="F1" t="s">
        <v>23</v>
      </c>
    </row>
    <row r="2" spans="1:6">
      <c r="A2" t="s">
        <v>107</v>
      </c>
      <c r="B2">
        <v>0.97</v>
      </c>
      <c r="C2">
        <v>2.3420000000000001</v>
      </c>
      <c r="D2" t="s">
        <v>107</v>
      </c>
      <c r="E2">
        <v>0.97</v>
      </c>
      <c r="F2">
        <v>2.3420000000000001</v>
      </c>
    </row>
    <row r="3" spans="1:6">
      <c r="A3" t="s">
        <v>116</v>
      </c>
      <c r="B3">
        <v>1.28</v>
      </c>
      <c r="C3">
        <v>3.0790000000000002</v>
      </c>
      <c r="D3" t="s">
        <v>116</v>
      </c>
      <c r="E3">
        <v>1.28</v>
      </c>
      <c r="F3">
        <v>3.0790000000000002</v>
      </c>
    </row>
    <row r="4" spans="1:6">
      <c r="A4" t="s">
        <v>117</v>
      </c>
      <c r="B4">
        <v>1.64</v>
      </c>
      <c r="C4">
        <v>4.008</v>
      </c>
      <c r="D4" t="s">
        <v>117</v>
      </c>
      <c r="E4">
        <v>1.64</v>
      </c>
      <c r="F4">
        <v>4.008</v>
      </c>
    </row>
    <row r="5" spans="1:6">
      <c r="A5" t="s">
        <v>118</v>
      </c>
      <c r="B5">
        <v>2.0299999999999998</v>
      </c>
      <c r="C5">
        <v>5.16</v>
      </c>
      <c r="D5" t="s">
        <v>118</v>
      </c>
      <c r="E5">
        <v>5</v>
      </c>
      <c r="F5">
        <v>5.16</v>
      </c>
    </row>
    <row r="6" spans="1:6">
      <c r="A6" t="s">
        <v>119</v>
      </c>
      <c r="B6">
        <v>2.5</v>
      </c>
      <c r="C6">
        <v>5.9530000000000003</v>
      </c>
      <c r="D6" t="s">
        <v>119</v>
      </c>
      <c r="E6">
        <v>2.5</v>
      </c>
      <c r="F6">
        <v>5.9530000000000003</v>
      </c>
    </row>
    <row r="7" spans="1:6">
      <c r="A7" t="s">
        <v>120</v>
      </c>
      <c r="B7">
        <v>2.8</v>
      </c>
      <c r="C7">
        <v>6.742</v>
      </c>
      <c r="D7" t="s">
        <v>120</v>
      </c>
      <c r="E7">
        <v>2.8</v>
      </c>
      <c r="F7">
        <v>6.742</v>
      </c>
    </row>
    <row r="8" spans="1:6">
      <c r="A8" t="s">
        <v>121</v>
      </c>
      <c r="B8">
        <v>3.28</v>
      </c>
      <c r="C8">
        <v>7.048</v>
      </c>
      <c r="D8" t="s">
        <v>121</v>
      </c>
      <c r="E8">
        <v>3.28</v>
      </c>
      <c r="F8">
        <v>7.048</v>
      </c>
    </row>
    <row r="9" spans="1:6">
      <c r="A9" t="s">
        <v>122</v>
      </c>
      <c r="B9">
        <v>3.1</v>
      </c>
      <c r="C9">
        <v>7.2679999999999998</v>
      </c>
      <c r="D9" t="s">
        <v>122</v>
      </c>
      <c r="E9">
        <v>3.1</v>
      </c>
      <c r="F9">
        <v>7.2679999999999998</v>
      </c>
    </row>
    <row r="10" spans="1:6">
      <c r="A10" t="s">
        <v>123</v>
      </c>
      <c r="B10">
        <v>2.77</v>
      </c>
      <c r="C10">
        <v>6.7930000000000001</v>
      </c>
      <c r="D10" t="s">
        <v>123</v>
      </c>
      <c r="E10">
        <v>2.77</v>
      </c>
      <c r="F10">
        <v>6.7930000000000001</v>
      </c>
    </row>
    <row r="11" spans="1:6">
      <c r="A11" t="s">
        <v>124</v>
      </c>
      <c r="B11">
        <v>2.8</v>
      </c>
      <c r="C11">
        <v>6.702</v>
      </c>
      <c r="D11" t="s">
        <v>124</v>
      </c>
      <c r="E11">
        <v>2.8</v>
      </c>
      <c r="F11">
        <v>6.702</v>
      </c>
    </row>
  </sheetData>
  <phoneticPr fontId="14" type="noConversion"/>
  <pageMargins left="0.75" right="0.75" top="1" bottom="1" header="0.51180555555555596" footer="0.51180555555555596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F42"/>
  <sheetViews>
    <sheetView workbookViewId="0"/>
  </sheetViews>
  <sheetFormatPr defaultColWidth="9" defaultRowHeight="14.25"/>
  <sheetData>
    <row r="1" spans="1:32">
      <c r="A1" t="s">
        <v>40</v>
      </c>
      <c r="B1">
        <v>2</v>
      </c>
    </row>
    <row r="2" spans="1:3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>
      <c r="A3" t="s">
        <v>11</v>
      </c>
      <c r="B3">
        <v>1</v>
      </c>
      <c r="C3" t="s">
        <v>11</v>
      </c>
      <c r="D3">
        <v>2</v>
      </c>
    </row>
    <row r="4" spans="1:32">
      <c r="A4" s="1" t="s">
        <v>41</v>
      </c>
      <c r="B4">
        <v>42.07</v>
      </c>
      <c r="D4">
        <v>44.37</v>
      </c>
    </row>
    <row r="5" spans="1:32">
      <c r="A5" t="s">
        <v>13</v>
      </c>
      <c r="B5">
        <v>0.08</v>
      </c>
      <c r="D5">
        <v>7.0000000000000007E-2</v>
      </c>
    </row>
    <row r="6" spans="1:32">
      <c r="A6" t="s">
        <v>14</v>
      </c>
      <c r="B6">
        <v>0.87</v>
      </c>
      <c r="D6">
        <v>0.65</v>
      </c>
      <c r="J6" s="34"/>
      <c r="S6" s="34"/>
      <c r="U6" s="34" t="s">
        <v>125</v>
      </c>
    </row>
    <row r="7" spans="1:32">
      <c r="A7" s="1" t="s">
        <v>43</v>
      </c>
      <c r="B7" s="2">
        <v>0</v>
      </c>
      <c r="D7" s="2">
        <v>0</v>
      </c>
      <c r="J7" s="34"/>
      <c r="S7" s="34"/>
      <c r="U7" s="34" t="s">
        <v>46</v>
      </c>
    </row>
    <row r="8" spans="1:32">
      <c r="A8" s="1" t="s">
        <v>44</v>
      </c>
      <c r="B8" s="2">
        <v>0.186</v>
      </c>
      <c r="D8" s="2">
        <v>0.1105</v>
      </c>
    </row>
    <row r="9" spans="1:32">
      <c r="B9" s="2"/>
      <c r="D9" s="2"/>
    </row>
    <row r="10" spans="1:32">
      <c r="B10" s="2"/>
      <c r="D10" s="2"/>
    </row>
    <row r="11" spans="1:32" ht="14.25" customHeight="1">
      <c r="A11" s="131" t="s">
        <v>47</v>
      </c>
      <c r="B11" s="131"/>
      <c r="C11" s="131"/>
      <c r="D11" s="131"/>
      <c r="E11" s="131"/>
      <c r="F11" s="131"/>
      <c r="G11" s="131"/>
      <c r="H11" s="131"/>
      <c r="L11" s="133" t="s">
        <v>49</v>
      </c>
      <c r="M11" s="133"/>
      <c r="N11" s="133"/>
      <c r="O11" s="133"/>
      <c r="P11" s="133"/>
      <c r="Q11" s="133"/>
      <c r="R11" s="133"/>
      <c r="S11" s="133"/>
      <c r="T11" s="133"/>
      <c r="U11" s="133"/>
      <c r="Y11" s="133" t="s">
        <v>50</v>
      </c>
      <c r="Z11" s="133"/>
      <c r="AA11" s="133"/>
      <c r="AB11" s="133"/>
      <c r="AC11" s="133"/>
      <c r="AD11" s="133"/>
      <c r="AE11" s="133"/>
      <c r="AF11" s="133"/>
    </row>
    <row r="12" spans="1:32">
      <c r="A12" s="132"/>
      <c r="B12" s="132"/>
      <c r="C12" s="132"/>
      <c r="D12" s="132"/>
      <c r="E12" s="132"/>
      <c r="F12" s="132"/>
      <c r="G12" s="132"/>
      <c r="H12" s="132"/>
      <c r="L12" s="132"/>
      <c r="M12" s="132"/>
      <c r="N12" s="132"/>
      <c r="O12" s="132"/>
      <c r="P12" s="132"/>
      <c r="Q12" s="132"/>
      <c r="R12" s="132"/>
      <c r="S12" s="132"/>
      <c r="T12" s="132"/>
      <c r="U12" s="132"/>
      <c r="Y12" s="132"/>
      <c r="Z12" s="132"/>
      <c r="AA12" s="132"/>
      <c r="AB12" s="132"/>
      <c r="AC12" s="132"/>
      <c r="AD12" s="132"/>
      <c r="AE12" s="132"/>
      <c r="AF12" s="132"/>
    </row>
    <row r="13" spans="1:32" ht="14.25" customHeight="1">
      <c r="A13" s="124" t="s">
        <v>17</v>
      </c>
      <c r="B13" s="124" t="s">
        <v>18</v>
      </c>
      <c r="C13" s="124" t="s">
        <v>51</v>
      </c>
      <c r="D13" s="124"/>
      <c r="E13" s="124" t="s">
        <v>20</v>
      </c>
      <c r="F13" s="124"/>
      <c r="G13" s="124" t="s">
        <v>21</v>
      </c>
      <c r="H13" s="124"/>
      <c r="L13" s="124" t="s">
        <v>17</v>
      </c>
      <c r="M13" s="124" t="s">
        <v>18</v>
      </c>
      <c r="N13" s="136" t="s">
        <v>20</v>
      </c>
      <c r="O13" s="136"/>
      <c r="P13" s="136"/>
      <c r="Q13" s="127" t="s">
        <v>21</v>
      </c>
      <c r="R13" s="128"/>
      <c r="S13" s="129"/>
      <c r="T13" s="136" t="s">
        <v>126</v>
      </c>
      <c r="U13" s="136"/>
      <c r="Y13" s="125" t="s">
        <v>17</v>
      </c>
      <c r="Z13" s="125" t="s">
        <v>18</v>
      </c>
      <c r="AA13" s="124" t="s">
        <v>54</v>
      </c>
      <c r="AB13" s="124"/>
      <c r="AC13" s="124"/>
      <c r="AD13" s="124" t="s">
        <v>52</v>
      </c>
      <c r="AE13" s="124" t="s">
        <v>24</v>
      </c>
      <c r="AF13" s="125" t="s">
        <v>55</v>
      </c>
    </row>
    <row r="14" spans="1:32" ht="30.75">
      <c r="A14" s="124"/>
      <c r="B14" s="124"/>
      <c r="C14" s="3" t="s">
        <v>56</v>
      </c>
      <c r="D14" s="3" t="s">
        <v>57</v>
      </c>
      <c r="E14" s="3" t="s">
        <v>56</v>
      </c>
      <c r="F14" s="3" t="s">
        <v>58</v>
      </c>
      <c r="G14" s="3" t="s">
        <v>56</v>
      </c>
      <c r="H14" s="3" t="s">
        <v>58</v>
      </c>
      <c r="L14" s="124"/>
      <c r="M14" s="124"/>
      <c r="N14" s="35" t="s">
        <v>59</v>
      </c>
      <c r="O14" s="35" t="s">
        <v>60</v>
      </c>
      <c r="P14" s="35" t="s">
        <v>61</v>
      </c>
      <c r="Q14" s="35" t="s">
        <v>59</v>
      </c>
      <c r="R14" s="35" t="s">
        <v>60</v>
      </c>
      <c r="S14" s="35" t="s">
        <v>62</v>
      </c>
      <c r="T14" s="3" t="s">
        <v>127</v>
      </c>
      <c r="U14" s="3" t="s">
        <v>61</v>
      </c>
      <c r="Y14" s="130"/>
      <c r="Z14" s="130"/>
      <c r="AA14" s="3" t="s">
        <v>63</v>
      </c>
      <c r="AB14" s="3" t="s">
        <v>64</v>
      </c>
      <c r="AC14" s="3" t="s">
        <v>62</v>
      </c>
      <c r="AD14" s="124"/>
      <c r="AE14" s="124"/>
      <c r="AF14" s="130"/>
    </row>
    <row r="15" spans="1:32">
      <c r="A15" t="s">
        <v>30</v>
      </c>
      <c r="B15" s="30" t="s">
        <v>75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0"/>
      <c r="M15" s="30"/>
      <c r="N15" s="36">
        <f>E15-C15</f>
        <v>2.6000000000000227</v>
      </c>
      <c r="O15" s="36">
        <f>F15-D15</f>
        <v>-0.30000000000000071</v>
      </c>
      <c r="P15" s="37">
        <f t="shared" ref="P15:P42" si="0">3.7*1.020019*(N15)+1.8*(O15)</f>
        <v>9.2725827800000857</v>
      </c>
      <c r="Q15" s="36">
        <f>G15-C15</f>
        <v>0.60000000000002274</v>
      </c>
      <c r="R15" s="36">
        <f>H15-D15</f>
        <v>-0.30000000000000071</v>
      </c>
      <c r="S15" s="37">
        <f>IF(3.7*1.020019*(Q15)+1.8*(R15)&gt;=0,3.7*1.020019*(Q15)+1.8*(R15),0)</f>
        <v>1.7244421800000849</v>
      </c>
      <c r="T15" s="8">
        <v>0.3</v>
      </c>
      <c r="U15" s="30">
        <f>T15*100/3.45</f>
        <v>8.695652173913043</v>
      </c>
      <c r="Y15" s="30"/>
      <c r="Z15" s="30"/>
      <c r="AA15" s="37">
        <v>9.2725827800000893</v>
      </c>
      <c r="AB15" s="49">
        <v>7.5481406</v>
      </c>
      <c r="AC15" s="49">
        <v>1.72444218000008</v>
      </c>
      <c r="AD15" s="49">
        <v>8.6956521739130395</v>
      </c>
      <c r="AE15" s="50">
        <v>0.86803616900000002</v>
      </c>
      <c r="AF15" s="51">
        <v>0.185972152626074</v>
      </c>
    </row>
    <row r="16" spans="1:32">
      <c r="A16" t="s">
        <v>30</v>
      </c>
      <c r="B16" s="30" t="s">
        <v>83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0"/>
      <c r="M16" s="30"/>
      <c r="N16" s="36">
        <f t="shared" ref="N16:O31" si="1">E16-C16</f>
        <v>1.8000000000000682</v>
      </c>
      <c r="O16" s="36">
        <f t="shared" si="1"/>
        <v>-0.19999999999999929</v>
      </c>
      <c r="P16" s="37">
        <f t="shared" si="0"/>
        <v>6.4333265400002597</v>
      </c>
      <c r="Q16" s="36">
        <f t="shared" ref="Q16:R31" si="2">G16-C16</f>
        <v>0.39999999999997726</v>
      </c>
      <c r="R16" s="36">
        <f t="shared" si="2"/>
        <v>-0.29999999999999716</v>
      </c>
      <c r="S16" s="37">
        <f t="shared" ref="S16:S42" si="3">IF(3.7*1.020019*(Q16)+1.8*(R16)&gt;=0,3.7*1.020019*(Q16)+1.8*(R16),0)</f>
        <v>0.96962811999991949</v>
      </c>
      <c r="T16" s="42">
        <v>0.4</v>
      </c>
      <c r="U16" s="30">
        <f t="shared" ref="U16:U42" si="4">T16*100/3.45</f>
        <v>11.594202898550725</v>
      </c>
      <c r="Y16" s="30"/>
      <c r="Z16" s="30"/>
      <c r="AA16" s="37">
        <v>6.4333265400002597</v>
      </c>
      <c r="AB16" s="49">
        <v>5.4636984200003402</v>
      </c>
      <c r="AC16" s="49">
        <v>0.96962811999991905</v>
      </c>
      <c r="AD16" s="49">
        <v>11.5942028985507</v>
      </c>
      <c r="AE16" s="50">
        <v>0.47124398872502998</v>
      </c>
      <c r="AF16" s="51">
        <v>0.15071955604477699</v>
      </c>
    </row>
    <row r="17" spans="1:32">
      <c r="A17" t="s">
        <v>30</v>
      </c>
      <c r="B17" s="31" t="s">
        <v>84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31"/>
      <c r="M17" s="31"/>
      <c r="N17" s="36">
        <f t="shared" si="1"/>
        <v>2.8999999999999773</v>
      </c>
      <c r="O17" s="36">
        <f t="shared" si="1"/>
        <v>-0.19999999999999929</v>
      </c>
      <c r="P17" s="37">
        <f t="shared" si="0"/>
        <v>10.584803869999917</v>
      </c>
      <c r="Q17" s="36">
        <f t="shared" si="2"/>
        <v>0.60000000000002274</v>
      </c>
      <c r="R17" s="36">
        <f t="shared" si="2"/>
        <v>-0.30000000000000071</v>
      </c>
      <c r="S17" s="37">
        <f t="shared" si="3"/>
        <v>1.7244421800000849</v>
      </c>
      <c r="T17" s="43">
        <v>0.6</v>
      </c>
      <c r="U17" s="31">
        <f t="shared" si="4"/>
        <v>17.391304347826086</v>
      </c>
      <c r="Y17" s="31"/>
      <c r="Z17" s="31"/>
      <c r="AA17" s="37">
        <v>10.584803869999901</v>
      </c>
      <c r="AB17" s="49">
        <v>8.8603616899998308</v>
      </c>
      <c r="AC17" s="49">
        <v>1.72444218000008</v>
      </c>
      <c r="AD17" s="49">
        <v>17.3913043478261</v>
      </c>
      <c r="AE17" s="50">
        <v>0.50947079717499</v>
      </c>
      <c r="AF17" s="51">
        <v>0.162916781565278</v>
      </c>
    </row>
    <row r="18" spans="1:32">
      <c r="A18" t="s">
        <v>30</v>
      </c>
      <c r="B18" s="30" t="s">
        <v>100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0"/>
      <c r="M18" s="30"/>
      <c r="N18" s="36">
        <f t="shared" si="1"/>
        <v>0.80000000000001137</v>
      </c>
      <c r="O18" s="36">
        <f t="shared" si="1"/>
        <v>-0.19999999999999929</v>
      </c>
      <c r="P18" s="37">
        <f t="shared" si="0"/>
        <v>2.6592562400000448</v>
      </c>
      <c r="Q18" s="36">
        <f t="shared" si="2"/>
        <v>-1.8999999999999773</v>
      </c>
      <c r="R18" s="36">
        <f t="shared" si="2"/>
        <v>-0.30000000000000071</v>
      </c>
      <c r="S18" s="37">
        <f t="shared" si="3"/>
        <v>0</v>
      </c>
      <c r="T18" s="44">
        <v>0.8</v>
      </c>
      <c r="U18" s="30">
        <f t="shared" si="4"/>
        <v>23.188405797101449</v>
      </c>
      <c r="Y18" s="30"/>
      <c r="Z18" s="30"/>
      <c r="AA18" s="37">
        <v>2.6592562400000399</v>
      </c>
      <c r="AB18" s="49">
        <v>2.6592562400000399</v>
      </c>
      <c r="AC18" s="49">
        <v>0</v>
      </c>
      <c r="AD18" s="49">
        <v>23.188405797101399</v>
      </c>
      <c r="AE18" s="50">
        <v>0.114680425350002</v>
      </c>
      <c r="AF18" s="51">
        <v>0</v>
      </c>
    </row>
    <row r="19" spans="1:32">
      <c r="A19" t="s">
        <v>30</v>
      </c>
      <c r="B19" s="30" t="s">
        <v>102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0"/>
      <c r="M19" s="30"/>
      <c r="N19" s="36">
        <f t="shared" si="1"/>
        <v>4.1000000000000227</v>
      </c>
      <c r="O19" s="36">
        <f t="shared" si="1"/>
        <v>-0.19999999999999929</v>
      </c>
      <c r="P19" s="37">
        <f t="shared" si="0"/>
        <v>15.113688230000088</v>
      </c>
      <c r="Q19" s="36">
        <f t="shared" si="2"/>
        <v>-1.2000000000000455</v>
      </c>
      <c r="R19" s="36">
        <f t="shared" si="2"/>
        <v>-0.40000000000000213</v>
      </c>
      <c r="S19" s="37">
        <f t="shared" si="3"/>
        <v>0</v>
      </c>
      <c r="T19" s="44">
        <v>1</v>
      </c>
      <c r="U19" s="30">
        <f t="shared" si="4"/>
        <v>28.985507246376809</v>
      </c>
      <c r="Y19" s="30"/>
      <c r="Z19" s="30"/>
      <c r="AA19" s="37">
        <v>15.113688230000101</v>
      </c>
      <c r="AB19" s="49">
        <v>15.113688230000101</v>
      </c>
      <c r="AC19" s="49">
        <v>0</v>
      </c>
      <c r="AD19" s="49">
        <v>28.985507246376802</v>
      </c>
      <c r="AE19" s="50">
        <v>0.52142224393500303</v>
      </c>
      <c r="AF19" s="51">
        <v>0</v>
      </c>
    </row>
    <row r="20" spans="1:32">
      <c r="A20" t="s">
        <v>30</v>
      </c>
      <c r="B20" s="31" t="s">
        <v>104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1"/>
      <c r="M20" s="31"/>
      <c r="N20" s="36">
        <f t="shared" si="1"/>
        <v>4.5</v>
      </c>
      <c r="O20" s="36">
        <f t="shared" si="1"/>
        <v>-0.19999999999999929</v>
      </c>
      <c r="P20" s="37">
        <f t="shared" si="0"/>
        <v>16.623316350000003</v>
      </c>
      <c r="Q20" s="36">
        <f t="shared" si="2"/>
        <v>0.39999999999997726</v>
      </c>
      <c r="R20" s="36">
        <f t="shared" si="2"/>
        <v>-0.30000000000000071</v>
      </c>
      <c r="S20" s="37">
        <f t="shared" si="3"/>
        <v>0.96962811999991316</v>
      </c>
      <c r="T20" s="44">
        <v>1.4</v>
      </c>
      <c r="U20" s="30">
        <f t="shared" si="4"/>
        <v>40.579710144927532</v>
      </c>
      <c r="Y20" s="31"/>
      <c r="Z20" s="31"/>
      <c r="AA20" s="37">
        <v>16.62331635</v>
      </c>
      <c r="AB20" s="49">
        <v>15.6536882300001</v>
      </c>
      <c r="AC20" s="49">
        <v>0.96962811999991305</v>
      </c>
      <c r="AD20" s="49">
        <v>40.579710144927503</v>
      </c>
      <c r="AE20" s="50">
        <v>0.38575160281071702</v>
      </c>
      <c r="AF20" s="51">
        <v>5.8329403085679299E-2</v>
      </c>
    </row>
    <row r="21" spans="1:32">
      <c r="A21" t="s">
        <v>30</v>
      </c>
      <c r="B21" s="30" t="s">
        <v>106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0"/>
      <c r="M21" s="30"/>
      <c r="N21" s="36">
        <f t="shared" si="1"/>
        <v>1.1999999999999886</v>
      </c>
      <c r="O21" s="36">
        <f t="shared" si="1"/>
        <v>-0.19999999999999929</v>
      </c>
      <c r="P21" s="37">
        <f t="shared" si="0"/>
        <v>4.168884359999959</v>
      </c>
      <c r="Q21" s="36">
        <f t="shared" si="2"/>
        <v>-0.19999999999998863</v>
      </c>
      <c r="R21" s="36">
        <f t="shared" si="2"/>
        <v>-0.30000000000000071</v>
      </c>
      <c r="S21" s="37">
        <f t="shared" si="3"/>
        <v>0</v>
      </c>
      <c r="T21" s="45">
        <v>1.9</v>
      </c>
      <c r="U21" s="32">
        <f t="shared" si="4"/>
        <v>55.072463768115938</v>
      </c>
      <c r="Y21" s="30"/>
      <c r="Z21" s="30"/>
      <c r="AA21" s="37">
        <v>4.1688843599999599</v>
      </c>
      <c r="AB21" s="49">
        <v>4.1688843599999599</v>
      </c>
      <c r="AC21" s="49">
        <v>0</v>
      </c>
      <c r="AD21" s="49">
        <v>55.072463768115902</v>
      </c>
      <c r="AE21" s="50">
        <v>7.5698163378946706E-2</v>
      </c>
      <c r="AF21" s="51">
        <v>0</v>
      </c>
    </row>
    <row r="22" spans="1:32">
      <c r="A22" t="s">
        <v>30</v>
      </c>
      <c r="B22" s="30" t="s">
        <v>108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0"/>
      <c r="M22" s="30"/>
      <c r="N22" s="36">
        <f t="shared" si="1"/>
        <v>6.3999999999999773</v>
      </c>
      <c r="O22" s="36">
        <f t="shared" si="1"/>
        <v>-9.9999999999997868E-2</v>
      </c>
      <c r="P22" s="37">
        <f t="shared" si="0"/>
        <v>23.974049919999921</v>
      </c>
      <c r="Q22" s="36">
        <f t="shared" si="2"/>
        <v>0.10000000000002274</v>
      </c>
      <c r="R22" s="36">
        <f t="shared" si="2"/>
        <v>-0.19999999999999929</v>
      </c>
      <c r="S22" s="37">
        <f t="shared" si="3"/>
        <v>1.7407030000087143E-2</v>
      </c>
      <c r="T22" s="44">
        <v>2.9</v>
      </c>
      <c r="U22" s="30">
        <f t="shared" si="4"/>
        <v>84.05797101449275</v>
      </c>
      <c r="Y22" s="30"/>
      <c r="Z22" s="30"/>
      <c r="AA22" s="37">
        <v>23.974049919999899</v>
      </c>
      <c r="AB22" s="49">
        <v>23.956642889999799</v>
      </c>
      <c r="AC22" s="49">
        <v>1.7407030000087101E-2</v>
      </c>
      <c r="AD22" s="49">
        <v>84.057971014492793</v>
      </c>
      <c r="AE22" s="50">
        <v>0.28500144127758398</v>
      </c>
      <c r="AF22" s="51">
        <v>7.2607799091824003E-4</v>
      </c>
    </row>
    <row r="23" spans="1:32">
      <c r="A23" t="s">
        <v>30</v>
      </c>
      <c r="B23" s="30" t="s">
        <v>110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0"/>
      <c r="M23" s="30"/>
      <c r="N23" s="36">
        <f t="shared" si="1"/>
        <v>7.7999999999999545</v>
      </c>
      <c r="O23" s="36">
        <f t="shared" si="1"/>
        <v>-9.9999999999997868E-2</v>
      </c>
      <c r="P23" s="37">
        <f t="shared" si="0"/>
        <v>29.257748339999836</v>
      </c>
      <c r="Q23" s="36">
        <f t="shared" si="2"/>
        <v>0.20000000000004547</v>
      </c>
      <c r="R23" s="36">
        <f t="shared" si="2"/>
        <v>-0.19999999999999929</v>
      </c>
      <c r="S23" s="37">
        <f t="shared" si="3"/>
        <v>0.39481406000017299</v>
      </c>
      <c r="T23" s="44">
        <v>3.2</v>
      </c>
      <c r="U23" s="30">
        <f t="shared" si="4"/>
        <v>92.753623188405797</v>
      </c>
      <c r="Y23" s="30"/>
      <c r="Z23" s="30"/>
      <c r="AA23" s="37">
        <v>29.2577483399998</v>
      </c>
      <c r="AB23" s="49">
        <v>28.862934279999699</v>
      </c>
      <c r="AC23" s="49">
        <v>0.39481406000017299</v>
      </c>
      <c r="AD23" s="49">
        <v>92.753623188405797</v>
      </c>
      <c r="AE23" s="50">
        <v>0.31117851020624598</v>
      </c>
      <c r="AF23" s="51">
        <v>1.3494341923107001E-2</v>
      </c>
    </row>
    <row r="24" spans="1:32">
      <c r="A24" t="s">
        <v>30</v>
      </c>
      <c r="B24" s="32" t="s">
        <v>128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2"/>
      <c r="M24" s="32"/>
      <c r="N24" s="36">
        <f t="shared" si="1"/>
        <v>2.6999999999999318</v>
      </c>
      <c r="O24" s="36">
        <f t="shared" si="1"/>
        <v>-0.19999999999999929</v>
      </c>
      <c r="P24" s="37">
        <f t="shared" si="0"/>
        <v>9.8299898099997449</v>
      </c>
      <c r="Q24" s="36">
        <f t="shared" si="2"/>
        <v>-0.20000000000004547</v>
      </c>
      <c r="R24" s="36">
        <f t="shared" si="2"/>
        <v>-0.19999999999999929</v>
      </c>
      <c r="S24" s="37">
        <f t="shared" si="3"/>
        <v>0</v>
      </c>
      <c r="T24" s="45">
        <v>3.6</v>
      </c>
      <c r="U24" s="32">
        <f t="shared" si="4"/>
        <v>104.34782608695652</v>
      </c>
      <c r="Y24" s="32"/>
      <c r="Z24" s="32"/>
      <c r="AA24" s="37">
        <v>9.8299898099997396</v>
      </c>
      <c r="AB24" s="49">
        <v>9.8299898099997396</v>
      </c>
      <c r="AC24" s="49">
        <v>0</v>
      </c>
      <c r="AD24" s="49">
        <v>104.347826086957</v>
      </c>
      <c r="AE24" s="50">
        <v>9.4204069012497102E-2</v>
      </c>
      <c r="AF24" s="51">
        <v>0</v>
      </c>
    </row>
    <row r="25" spans="1:32">
      <c r="A25" t="s">
        <v>30</v>
      </c>
      <c r="B25" s="30" t="s">
        <v>129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0"/>
      <c r="M25" s="30"/>
      <c r="N25" s="36">
        <f t="shared" si="1"/>
        <v>10.600000000000023</v>
      </c>
      <c r="O25" s="36">
        <f t="shared" si="1"/>
        <v>-9.9999999999997868E-2</v>
      </c>
      <c r="P25" s="37">
        <f t="shared" si="0"/>
        <v>39.825145180000092</v>
      </c>
      <c r="Q25" s="36">
        <f t="shared" si="2"/>
        <v>-0.10000000000002274</v>
      </c>
      <c r="R25" s="36">
        <f t="shared" si="2"/>
        <v>-0.19999999999999929</v>
      </c>
      <c r="S25" s="37">
        <f t="shared" si="3"/>
        <v>0</v>
      </c>
      <c r="T25" s="44">
        <v>3.5</v>
      </c>
      <c r="U25" s="30">
        <f t="shared" si="4"/>
        <v>101.44927536231883</v>
      </c>
      <c r="Y25" s="30"/>
      <c r="Z25" s="30"/>
      <c r="AA25" s="37">
        <v>39.825145180000099</v>
      </c>
      <c r="AB25" s="49">
        <v>39.825145180000099</v>
      </c>
      <c r="AC25" s="49">
        <v>0</v>
      </c>
      <c r="AD25" s="49">
        <v>101.449275362319</v>
      </c>
      <c r="AE25" s="50">
        <v>0.39256214534571499</v>
      </c>
      <c r="AF25" s="51">
        <v>0</v>
      </c>
    </row>
    <row r="26" spans="1:32">
      <c r="A26" t="s">
        <v>30</v>
      </c>
      <c r="B26" s="30" t="s">
        <v>130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0"/>
      <c r="M26" s="30"/>
      <c r="N26" s="36">
        <f t="shared" si="1"/>
        <v>11.5</v>
      </c>
      <c r="O26" s="36">
        <f t="shared" si="1"/>
        <v>-0.10000000000000142</v>
      </c>
      <c r="P26" s="37">
        <f t="shared" si="0"/>
        <v>43.221808450000005</v>
      </c>
      <c r="Q26" s="36">
        <f t="shared" si="2"/>
        <v>0.39999999999997726</v>
      </c>
      <c r="R26" s="36">
        <f t="shared" si="2"/>
        <v>-0.19999999999999929</v>
      </c>
      <c r="S26" s="37">
        <f t="shared" si="3"/>
        <v>1.1496281199999157</v>
      </c>
      <c r="T26" s="44">
        <v>3.6</v>
      </c>
      <c r="U26" s="30">
        <f t="shared" si="4"/>
        <v>104.34782608695652</v>
      </c>
      <c r="Y26" s="30"/>
      <c r="Z26" s="30"/>
      <c r="AA26" s="37">
        <v>43.221808449999997</v>
      </c>
      <c r="AB26" s="49">
        <v>42.072180330000101</v>
      </c>
      <c r="AC26" s="49">
        <v>1.1496281199999201</v>
      </c>
      <c r="AD26" s="49">
        <v>104.347826086957</v>
      </c>
      <c r="AE26" s="50">
        <v>0.40319172816249899</v>
      </c>
      <c r="AF26" s="51">
        <v>2.6598334526650599E-2</v>
      </c>
    </row>
    <row r="27" spans="1:32">
      <c r="A27" t="s">
        <v>30</v>
      </c>
      <c r="B27" s="32" t="s">
        <v>131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2"/>
      <c r="M27" s="32"/>
      <c r="N27" s="36">
        <f t="shared" si="1"/>
        <v>9.0999999999999091</v>
      </c>
      <c r="O27" s="36">
        <f t="shared" si="1"/>
        <v>-0.19999999999999929</v>
      </c>
      <c r="P27" s="37">
        <f t="shared" si="0"/>
        <v>33.984039729999658</v>
      </c>
      <c r="Q27" s="36">
        <f t="shared" si="2"/>
        <v>0.19999999999993179</v>
      </c>
      <c r="R27" s="36">
        <f t="shared" si="2"/>
        <v>-0.30000000000000071</v>
      </c>
      <c r="S27" s="37">
        <f t="shared" si="3"/>
        <v>0.21481405999974135</v>
      </c>
      <c r="T27" s="45">
        <v>3.1</v>
      </c>
      <c r="U27" s="32">
        <f t="shared" si="4"/>
        <v>89.85507246376811</v>
      </c>
      <c r="Y27" s="32"/>
      <c r="Z27" s="32"/>
      <c r="AA27" s="37">
        <v>33.984039729999701</v>
      </c>
      <c r="AB27" s="49">
        <v>33.769225669999898</v>
      </c>
      <c r="AC27" s="49">
        <v>0.21481405999974101</v>
      </c>
      <c r="AD27" s="49">
        <v>89.855072463768096</v>
      </c>
      <c r="AE27" s="50">
        <v>0.37581880181129002</v>
      </c>
      <c r="AF27" s="51">
        <v>6.3210278032400204E-3</v>
      </c>
    </row>
    <row r="28" spans="1:32">
      <c r="A28" t="s">
        <v>30</v>
      </c>
      <c r="B28" s="31" t="s">
        <v>132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31"/>
      <c r="M28" s="31"/>
      <c r="N28" s="38">
        <f t="shared" si="1"/>
        <v>10.799999999999955</v>
      </c>
      <c r="O28" s="38">
        <f t="shared" si="1"/>
        <v>-0.10000000000000142</v>
      </c>
      <c r="P28" s="39">
        <f t="shared" si="0"/>
        <v>40.57995923999983</v>
      </c>
      <c r="Q28" s="38">
        <f t="shared" si="2"/>
        <v>-0.40000000000009095</v>
      </c>
      <c r="R28" s="38">
        <f t="shared" si="2"/>
        <v>-0.19999999999999929</v>
      </c>
      <c r="S28" s="37">
        <f t="shared" si="3"/>
        <v>0</v>
      </c>
      <c r="T28" s="46">
        <v>2.9</v>
      </c>
      <c r="U28" s="31">
        <f t="shared" si="4"/>
        <v>84.05797101449275</v>
      </c>
      <c r="Y28" s="31"/>
      <c r="Z28" s="31"/>
      <c r="AA28" s="52">
        <v>40.579959239999802</v>
      </c>
      <c r="AB28" s="53">
        <v>40.579959239999802</v>
      </c>
      <c r="AC28" s="53">
        <v>0</v>
      </c>
      <c r="AD28" s="53">
        <v>84.057971014492793</v>
      </c>
      <c r="AE28" s="54">
        <v>0.48276158406206698</v>
      </c>
      <c r="AF28" s="55">
        <v>0</v>
      </c>
    </row>
    <row r="29" spans="1:32">
      <c r="A29" t="s">
        <v>35</v>
      </c>
      <c r="B29" s="33" t="s">
        <v>75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3"/>
      <c r="M29" s="33"/>
      <c r="N29" s="40">
        <f t="shared" si="1"/>
        <v>12.100000000000023</v>
      </c>
      <c r="O29" s="40">
        <f t="shared" si="1"/>
        <v>-0.5</v>
      </c>
      <c r="P29" s="41">
        <f t="shared" si="0"/>
        <v>44.766250630000094</v>
      </c>
      <c r="Q29" s="40">
        <f t="shared" si="2"/>
        <v>1</v>
      </c>
      <c r="R29" s="40">
        <f t="shared" si="2"/>
        <v>-0.40000000000000213</v>
      </c>
      <c r="S29" s="47">
        <f t="shared" si="3"/>
        <v>3.0540702999999967</v>
      </c>
      <c r="T29" s="48">
        <v>2.9</v>
      </c>
      <c r="U29" s="33">
        <f t="shared" si="4"/>
        <v>84.05797101449275</v>
      </c>
      <c r="Y29" s="33"/>
      <c r="Z29" s="33"/>
      <c r="AA29" s="56">
        <v>44.766250630000101</v>
      </c>
      <c r="AB29" s="57">
        <v>41.712180330000102</v>
      </c>
      <c r="AC29" s="57">
        <v>3.0540702999999998</v>
      </c>
      <c r="AD29" s="57">
        <v>84.057971014492793</v>
      </c>
      <c r="AE29" s="58">
        <v>0.496231110822415</v>
      </c>
      <c r="AF29" s="59">
        <v>6.82226064729511E-2</v>
      </c>
    </row>
    <row r="30" spans="1:32">
      <c r="A30" t="s">
        <v>35</v>
      </c>
      <c r="B30" s="30" t="s">
        <v>83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0"/>
      <c r="M30" s="30"/>
      <c r="N30" s="36">
        <f t="shared" si="1"/>
        <v>9.8000000000000682</v>
      </c>
      <c r="O30" s="36">
        <f t="shared" si="1"/>
        <v>-0.39999999999999858</v>
      </c>
      <c r="P30" s="37">
        <f t="shared" si="0"/>
        <v>36.265888940000259</v>
      </c>
      <c r="Q30" s="36">
        <f t="shared" si="2"/>
        <v>0.39999999999997726</v>
      </c>
      <c r="R30" s="36">
        <f t="shared" si="2"/>
        <v>-0.29999999999999716</v>
      </c>
      <c r="S30" s="37">
        <f t="shared" si="3"/>
        <v>0.96962811999991949</v>
      </c>
      <c r="T30" s="45">
        <v>3</v>
      </c>
      <c r="U30" s="32">
        <f t="shared" si="4"/>
        <v>86.956521739130437</v>
      </c>
      <c r="Y30" s="30"/>
      <c r="Z30" s="30"/>
      <c r="AA30" s="37">
        <v>36.265888940000302</v>
      </c>
      <c r="AB30" s="49">
        <v>35.296260820000299</v>
      </c>
      <c r="AC30" s="49">
        <v>0.96962811999991905</v>
      </c>
      <c r="AD30" s="49">
        <v>86.956521739130395</v>
      </c>
      <c r="AE30" s="50">
        <v>0.40590699943000402</v>
      </c>
      <c r="AF30" s="51">
        <v>2.67366428437508E-2</v>
      </c>
    </row>
    <row r="31" spans="1:32">
      <c r="A31" t="s">
        <v>35</v>
      </c>
      <c r="B31" s="31" t="s">
        <v>84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1"/>
      <c r="M31" s="31"/>
      <c r="N31" s="36">
        <f t="shared" si="1"/>
        <v>12.600000000000023</v>
      </c>
      <c r="O31" s="36">
        <f t="shared" si="1"/>
        <v>-0.40000000000000213</v>
      </c>
      <c r="P31" s="37">
        <f t="shared" si="0"/>
        <v>46.833285780000082</v>
      </c>
      <c r="Q31" s="36">
        <f t="shared" si="2"/>
        <v>0.70000000000004547</v>
      </c>
      <c r="R31" s="36">
        <f t="shared" si="2"/>
        <v>-0.10000000000000142</v>
      </c>
      <c r="S31" s="37">
        <f t="shared" si="3"/>
        <v>2.4618492100001697</v>
      </c>
      <c r="T31" s="44">
        <v>3.6</v>
      </c>
      <c r="U31" s="30">
        <f t="shared" si="4"/>
        <v>104.34782608695652</v>
      </c>
      <c r="Y31" s="31"/>
      <c r="Z31" s="31"/>
      <c r="AA31" s="37">
        <v>46.833285780000097</v>
      </c>
      <c r="AB31" s="49">
        <v>44.371436569999901</v>
      </c>
      <c r="AC31" s="49">
        <v>2.4618492100001701</v>
      </c>
      <c r="AD31" s="49">
        <v>104.347826086957</v>
      </c>
      <c r="AE31" s="50">
        <v>0.425226267129164</v>
      </c>
      <c r="AF31" s="51">
        <v>5.2566228676858902E-2</v>
      </c>
    </row>
    <row r="32" spans="1:32">
      <c r="A32" t="s">
        <v>35</v>
      </c>
      <c r="B32" s="30" t="s">
        <v>100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0"/>
      <c r="M32" s="30"/>
      <c r="N32" s="36">
        <f t="shared" ref="N32:O42" si="5">E32-C32</f>
        <v>7</v>
      </c>
      <c r="O32" s="36">
        <f t="shared" si="5"/>
        <v>-0.40000000000000213</v>
      </c>
      <c r="P32" s="37">
        <f t="shared" si="0"/>
        <v>25.698492099999999</v>
      </c>
      <c r="Q32" s="36">
        <f t="shared" ref="Q32:R42" si="6">G32-C32</f>
        <v>-3.8999999999999773</v>
      </c>
      <c r="R32" s="36">
        <f t="shared" si="6"/>
        <v>-0.30000000000000071</v>
      </c>
      <c r="S32" s="37">
        <f t="shared" si="3"/>
        <v>0</v>
      </c>
      <c r="T32" s="44">
        <v>3.4</v>
      </c>
      <c r="U32" s="30">
        <f t="shared" si="4"/>
        <v>98.550724637681157</v>
      </c>
      <c r="Y32" s="30"/>
      <c r="Z32" s="30"/>
      <c r="AA32" s="37">
        <v>25.698492099999999</v>
      </c>
      <c r="AB32" s="49">
        <v>25.698492099999999</v>
      </c>
      <c r="AC32" s="49">
        <v>0</v>
      </c>
      <c r="AD32" s="49">
        <v>98.550724637681199</v>
      </c>
      <c r="AE32" s="50">
        <v>0.26076411101470598</v>
      </c>
      <c r="AF32" s="51">
        <v>0</v>
      </c>
    </row>
    <row r="33" spans="1:32">
      <c r="A33" t="s">
        <v>35</v>
      </c>
      <c r="B33" s="30" t="s">
        <v>102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0"/>
      <c r="M33" s="30"/>
      <c r="N33" s="36">
        <f t="shared" si="5"/>
        <v>10.699999999999932</v>
      </c>
      <c r="O33" s="36">
        <f t="shared" si="5"/>
        <v>-0.40000000000000213</v>
      </c>
      <c r="P33" s="37">
        <f t="shared" si="0"/>
        <v>39.662552209999738</v>
      </c>
      <c r="Q33" s="36">
        <f t="shared" si="6"/>
        <v>-2.2000000000000455</v>
      </c>
      <c r="R33" s="36">
        <f t="shared" si="6"/>
        <v>-0.30000000000000071</v>
      </c>
      <c r="S33" s="37">
        <f t="shared" si="3"/>
        <v>0</v>
      </c>
      <c r="T33" s="45">
        <v>3.6</v>
      </c>
      <c r="U33" s="32">
        <f t="shared" si="4"/>
        <v>104.34782608695652</v>
      </c>
      <c r="Y33" s="30"/>
      <c r="Z33" s="30"/>
      <c r="AA33" s="37">
        <v>39.662552209999703</v>
      </c>
      <c r="AB33" s="49">
        <v>39.662552209999703</v>
      </c>
      <c r="AC33" s="49">
        <v>0</v>
      </c>
      <c r="AD33" s="49">
        <v>104.347826086957</v>
      </c>
      <c r="AE33" s="50">
        <v>0.38009945867916201</v>
      </c>
      <c r="AF33" s="51">
        <v>0</v>
      </c>
    </row>
    <row r="34" spans="1:32">
      <c r="A34" t="s">
        <v>35</v>
      </c>
      <c r="B34" s="31" t="s">
        <v>104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1"/>
      <c r="M34" s="31"/>
      <c r="N34" s="36">
        <f t="shared" si="5"/>
        <v>9.6000000000000227</v>
      </c>
      <c r="O34" s="36">
        <f t="shared" si="5"/>
        <v>-0.40000000000000213</v>
      </c>
      <c r="P34" s="37">
        <f t="shared" si="0"/>
        <v>35.511074880000081</v>
      </c>
      <c r="Q34" s="36">
        <f t="shared" si="6"/>
        <v>0.5</v>
      </c>
      <c r="R34" s="36">
        <f t="shared" si="6"/>
        <v>-0.30000000000000071</v>
      </c>
      <c r="S34" s="37">
        <f t="shared" si="3"/>
        <v>1.3470351499999991</v>
      </c>
      <c r="T34" s="44">
        <v>3.2</v>
      </c>
      <c r="U34" s="30">
        <f t="shared" si="4"/>
        <v>92.753623188405797</v>
      </c>
      <c r="Y34" s="31"/>
      <c r="Z34" s="31"/>
      <c r="AA34" s="37">
        <v>35.511074880000102</v>
      </c>
      <c r="AB34" s="49">
        <v>34.164039730000098</v>
      </c>
      <c r="AC34" s="49">
        <v>1.34703515</v>
      </c>
      <c r="AD34" s="49">
        <v>92.753623188405797</v>
      </c>
      <c r="AE34" s="50">
        <v>0.36833105333906302</v>
      </c>
      <c r="AF34" s="51">
        <v>3.7932818270129398E-2</v>
      </c>
    </row>
    <row r="35" spans="1:32">
      <c r="A35" t="s">
        <v>35</v>
      </c>
      <c r="B35" s="30" t="s">
        <v>106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0"/>
      <c r="M35" s="30"/>
      <c r="N35" s="36">
        <f t="shared" si="5"/>
        <v>2.8999999999999773</v>
      </c>
      <c r="O35" s="36">
        <f t="shared" si="5"/>
        <v>-0.40000000000000213</v>
      </c>
      <c r="P35" s="37">
        <f t="shared" si="0"/>
        <v>10.224803869999912</v>
      </c>
      <c r="Q35" s="36">
        <f t="shared" si="6"/>
        <v>-0.39999999999997726</v>
      </c>
      <c r="R35" s="36">
        <f t="shared" si="6"/>
        <v>-0.30000000000000071</v>
      </c>
      <c r="S35" s="37">
        <f t="shared" si="3"/>
        <v>0</v>
      </c>
      <c r="T35" s="44">
        <v>3</v>
      </c>
      <c r="U35" s="30">
        <f t="shared" si="4"/>
        <v>86.956521739130437</v>
      </c>
      <c r="Y35" s="30"/>
      <c r="Z35" s="30"/>
      <c r="AA35" s="37">
        <v>10.224803869999899</v>
      </c>
      <c r="AB35" s="49">
        <v>10.224803869999899</v>
      </c>
      <c r="AC35" s="49">
        <v>0</v>
      </c>
      <c r="AD35" s="49">
        <v>86.956521739130395</v>
      </c>
      <c r="AE35" s="50">
        <v>0.11758524450499901</v>
      </c>
      <c r="AF35" s="51">
        <v>0</v>
      </c>
    </row>
    <row r="36" spans="1:32">
      <c r="A36" t="s">
        <v>35</v>
      </c>
      <c r="B36" s="30" t="s">
        <v>108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0"/>
      <c r="M36" s="30"/>
      <c r="N36" s="36">
        <f t="shared" si="5"/>
        <v>5.1000000000000227</v>
      </c>
      <c r="O36" s="36">
        <f t="shared" si="5"/>
        <v>-0.30000000000000071</v>
      </c>
      <c r="P36" s="37">
        <f t="shared" si="0"/>
        <v>18.707758530000085</v>
      </c>
      <c r="Q36" s="36">
        <f t="shared" si="6"/>
        <v>0.10000000000002274</v>
      </c>
      <c r="R36" s="36">
        <f t="shared" si="6"/>
        <v>-0.19999999999999929</v>
      </c>
      <c r="S36" s="37">
        <f t="shared" si="3"/>
        <v>1.7407030000087143E-2</v>
      </c>
      <c r="T36" s="45">
        <v>2</v>
      </c>
      <c r="U36" s="32">
        <f t="shared" si="4"/>
        <v>57.971014492753618</v>
      </c>
      <c r="Y36" s="30"/>
      <c r="Z36" s="30"/>
      <c r="AA36" s="37">
        <v>18.707758530000099</v>
      </c>
      <c r="AB36" s="49">
        <v>18.690351499999998</v>
      </c>
      <c r="AC36" s="49">
        <v>1.7407030000087101E-2</v>
      </c>
      <c r="AD36" s="49">
        <v>57.971014492753604</v>
      </c>
      <c r="AE36" s="50">
        <v>0.32240856337500001</v>
      </c>
      <c r="AF36" s="51">
        <v>9.3047117174261795E-4</v>
      </c>
    </row>
    <row r="37" spans="1:32">
      <c r="A37" t="s">
        <v>35</v>
      </c>
      <c r="B37" s="30" t="s">
        <v>110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0"/>
      <c r="M37" s="30"/>
      <c r="N37" s="36">
        <f t="shared" si="5"/>
        <v>4.8999999999999773</v>
      </c>
      <c r="O37" s="36">
        <f t="shared" si="5"/>
        <v>-0.30000000000000071</v>
      </c>
      <c r="P37" s="37">
        <f t="shared" si="0"/>
        <v>17.952944469999913</v>
      </c>
      <c r="Q37" s="36">
        <f t="shared" si="6"/>
        <v>0.20000000000004547</v>
      </c>
      <c r="R37" s="36">
        <f t="shared" si="6"/>
        <v>-0.19999999999999929</v>
      </c>
      <c r="S37" s="37">
        <f t="shared" si="3"/>
        <v>0.39481406000017299</v>
      </c>
      <c r="T37" s="44">
        <v>1.4</v>
      </c>
      <c r="U37" s="30">
        <f t="shared" si="4"/>
        <v>40.579710144927532</v>
      </c>
      <c r="Y37" s="30"/>
      <c r="Z37" s="30"/>
      <c r="AA37" s="37">
        <v>17.952944469999899</v>
      </c>
      <c r="AB37" s="49">
        <v>17.558130409999698</v>
      </c>
      <c r="AC37" s="49">
        <v>0.39481406000017299</v>
      </c>
      <c r="AD37" s="49">
        <v>40.579710144927503</v>
      </c>
      <c r="AE37" s="50">
        <v>0.43268249938928</v>
      </c>
      <c r="AF37" s="51">
        <v>2.1991604812231402E-2</v>
      </c>
    </row>
    <row r="38" spans="1:32">
      <c r="A38" t="s">
        <v>35</v>
      </c>
      <c r="B38" s="32" t="s">
        <v>128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2"/>
      <c r="M38" s="32"/>
      <c r="N38" s="36">
        <f t="shared" si="5"/>
        <v>0.79999999999995453</v>
      </c>
      <c r="O38" s="36">
        <f t="shared" si="5"/>
        <v>-0.40000000000000213</v>
      </c>
      <c r="P38" s="37">
        <f t="shared" si="0"/>
        <v>2.2992562399998251</v>
      </c>
      <c r="Q38" s="36">
        <f t="shared" si="6"/>
        <v>-0.30000000000006821</v>
      </c>
      <c r="R38" s="36">
        <f t="shared" si="6"/>
        <v>-0.30000000000000071</v>
      </c>
      <c r="S38" s="37">
        <f t="shared" si="3"/>
        <v>0</v>
      </c>
      <c r="T38" s="44">
        <v>1.1000000000000001</v>
      </c>
      <c r="U38" s="30">
        <f t="shared" si="4"/>
        <v>31.884057971014496</v>
      </c>
      <c r="Y38" s="32"/>
      <c r="Z38" s="32"/>
      <c r="AA38" s="37">
        <v>2.2992562399998202</v>
      </c>
      <c r="AB38" s="49">
        <v>2.2992562399998202</v>
      </c>
      <c r="AC38" s="49">
        <v>0</v>
      </c>
      <c r="AD38" s="49">
        <v>31.884057971014499</v>
      </c>
      <c r="AE38" s="50">
        <v>7.2113036618176293E-2</v>
      </c>
      <c r="AF38" s="51">
        <v>0</v>
      </c>
    </row>
    <row r="39" spans="1:32">
      <c r="A39" t="s">
        <v>35</v>
      </c>
      <c r="B39" s="30" t="s">
        <v>129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0"/>
      <c r="M39" s="30"/>
      <c r="N39" s="36">
        <f t="shared" si="5"/>
        <v>2.3000000000000682</v>
      </c>
      <c r="O39" s="36">
        <f t="shared" si="5"/>
        <v>-0.30000000000000071</v>
      </c>
      <c r="P39" s="37">
        <f t="shared" si="0"/>
        <v>8.1403616900002582</v>
      </c>
      <c r="Q39" s="36">
        <f t="shared" si="6"/>
        <v>-0.19999999999993179</v>
      </c>
      <c r="R39" s="36">
        <f t="shared" si="6"/>
        <v>-0.19999999999999929</v>
      </c>
      <c r="S39" s="37">
        <f t="shared" si="3"/>
        <v>0</v>
      </c>
      <c r="T39" s="45">
        <v>0.8</v>
      </c>
      <c r="U39" s="32">
        <f t="shared" si="4"/>
        <v>23.188405797101449</v>
      </c>
      <c r="Y39" s="30"/>
      <c r="Z39" s="30"/>
      <c r="AA39" s="37">
        <v>8.14036169000026</v>
      </c>
      <c r="AB39" s="49">
        <v>8.14036169000026</v>
      </c>
      <c r="AC39" s="49">
        <v>0</v>
      </c>
      <c r="AD39" s="49">
        <v>23.188405797101399</v>
      </c>
      <c r="AE39" s="50">
        <v>0.35105309788126199</v>
      </c>
      <c r="AF39" s="51">
        <v>0</v>
      </c>
    </row>
    <row r="40" spans="1:32">
      <c r="A40" t="s">
        <v>35</v>
      </c>
      <c r="B40" s="30" t="s">
        <v>130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0"/>
      <c r="M40" s="30"/>
      <c r="N40" s="36">
        <f t="shared" si="5"/>
        <v>2.8999999999999773</v>
      </c>
      <c r="O40" s="36">
        <f t="shared" si="5"/>
        <v>-0.30000000000000071</v>
      </c>
      <c r="P40" s="37">
        <f t="shared" si="0"/>
        <v>10.404803869999915</v>
      </c>
      <c r="Q40" s="36">
        <f t="shared" si="6"/>
        <v>0.39999999999997726</v>
      </c>
      <c r="R40" s="36">
        <f t="shared" si="6"/>
        <v>-0.19999999999999929</v>
      </c>
      <c r="S40" s="37">
        <f t="shared" si="3"/>
        <v>1.1496281199999157</v>
      </c>
      <c r="T40" s="44">
        <v>0.6</v>
      </c>
      <c r="U40" s="30">
        <f t="shared" si="4"/>
        <v>17.391304347826086</v>
      </c>
      <c r="Y40" s="30"/>
      <c r="Z40" s="30"/>
      <c r="AA40" s="37">
        <v>10.404803869999901</v>
      </c>
      <c r="AB40" s="49">
        <v>9.2551757499999994</v>
      </c>
      <c r="AC40" s="49">
        <v>1.1496281199999201</v>
      </c>
      <c r="AD40" s="49">
        <v>17.3913043478261</v>
      </c>
      <c r="AE40" s="50">
        <v>0.53217260562500002</v>
      </c>
      <c r="AF40" s="51">
        <v>0.110490128825458</v>
      </c>
    </row>
    <row r="41" spans="1:32">
      <c r="A41" t="s">
        <v>35</v>
      </c>
      <c r="B41" s="32" t="s">
        <v>131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2"/>
      <c r="M41" s="32"/>
      <c r="N41" s="36">
        <f t="shared" si="5"/>
        <v>2</v>
      </c>
      <c r="O41" s="36">
        <f t="shared" si="5"/>
        <v>-0.30000000000000071</v>
      </c>
      <c r="P41" s="37">
        <f t="shared" si="0"/>
        <v>7.0081405999999999</v>
      </c>
      <c r="Q41" s="36">
        <f t="shared" si="6"/>
        <v>9.9999999999909051E-2</v>
      </c>
      <c r="R41" s="36">
        <f t="shared" si="6"/>
        <v>-0.30000000000000071</v>
      </c>
      <c r="S41" s="37">
        <f t="shared" si="3"/>
        <v>0</v>
      </c>
      <c r="T41" s="44">
        <v>0.4</v>
      </c>
      <c r="U41" s="30">
        <f t="shared" si="4"/>
        <v>11.594202898550725</v>
      </c>
      <c r="Y41" s="32"/>
      <c r="Z41" s="32"/>
      <c r="AA41" s="37">
        <v>7.0081405999999999</v>
      </c>
      <c r="AB41" s="49">
        <v>7.0081405999999999</v>
      </c>
      <c r="AC41" s="49">
        <v>0</v>
      </c>
      <c r="AD41" s="49">
        <v>11.5942028985507</v>
      </c>
      <c r="AE41" s="50">
        <v>0.60445212675000104</v>
      </c>
      <c r="AF41" s="51">
        <v>0</v>
      </c>
    </row>
    <row r="42" spans="1:32">
      <c r="A42" t="s">
        <v>35</v>
      </c>
      <c r="B42" s="30" t="s">
        <v>132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31"/>
      <c r="M42" s="31"/>
      <c r="N42" s="36">
        <f t="shared" si="5"/>
        <v>1.5999999999999091</v>
      </c>
      <c r="O42" s="36">
        <f t="shared" si="5"/>
        <v>-0.19999999999999929</v>
      </c>
      <c r="P42" s="37">
        <f t="shared" si="0"/>
        <v>5.6785124799996591</v>
      </c>
      <c r="Q42" s="36">
        <f t="shared" si="6"/>
        <v>-0.40000000000009095</v>
      </c>
      <c r="R42" s="36">
        <f t="shared" si="6"/>
        <v>-0.30000000000000071</v>
      </c>
      <c r="S42" s="37">
        <f t="shared" si="3"/>
        <v>0</v>
      </c>
      <c r="T42" s="45">
        <v>0.3</v>
      </c>
      <c r="U42" s="32">
        <f t="shared" si="4"/>
        <v>8.695652173913043</v>
      </c>
      <c r="Y42" s="31"/>
      <c r="Z42" s="31"/>
      <c r="AA42" s="37">
        <v>5.67851247999966</v>
      </c>
      <c r="AB42" s="49">
        <v>5.67851247999966</v>
      </c>
      <c r="AC42" s="49">
        <v>0</v>
      </c>
      <c r="AD42" s="49">
        <v>8.6956521739130395</v>
      </c>
      <c r="AE42" s="50">
        <v>0.65302893519996097</v>
      </c>
      <c r="AF42" s="51">
        <v>0</v>
      </c>
    </row>
  </sheetData>
  <mergeCells count="19"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  <mergeCell ref="N13:P13"/>
    <mergeCell ref="Q13:S13"/>
  </mergeCells>
  <phoneticPr fontId="14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S40"/>
  <sheetViews>
    <sheetView workbookViewId="0">
      <selection activeCell="K20" sqref="K20"/>
    </sheetView>
  </sheetViews>
  <sheetFormatPr defaultColWidth="9" defaultRowHeight="14.25"/>
  <sheetData>
    <row r="1" spans="1:19">
      <c r="A1" t="s">
        <v>0</v>
      </c>
      <c r="B1">
        <v>1</v>
      </c>
    </row>
    <row r="2" spans="1:19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2</v>
      </c>
    </row>
    <row r="4" spans="1:19">
      <c r="A4" s="1" t="s">
        <v>12</v>
      </c>
      <c r="B4">
        <v>3.28</v>
      </c>
    </row>
    <row r="5" spans="1:19">
      <c r="A5" t="s">
        <v>13</v>
      </c>
      <c r="B5">
        <v>0.39</v>
      </c>
    </row>
    <row r="6" spans="1:19">
      <c r="A6" t="s">
        <v>14</v>
      </c>
      <c r="B6">
        <v>0.93</v>
      </c>
    </row>
    <row r="7" spans="1:19">
      <c r="A7" s="1" t="s">
        <v>15</v>
      </c>
      <c r="B7" s="2">
        <v>2.4400000000000002E-2</v>
      </c>
    </row>
    <row r="8" spans="1:19">
      <c r="A8" t="s">
        <v>16</v>
      </c>
      <c r="B8" s="2">
        <v>0</v>
      </c>
      <c r="D8" s="2"/>
    </row>
    <row r="11" spans="1:19">
      <c r="A11" s="122" t="s">
        <v>17</v>
      </c>
      <c r="B11" s="122" t="s">
        <v>18</v>
      </c>
      <c r="C11" s="124" t="s">
        <v>19</v>
      </c>
      <c r="D11" s="124" t="s">
        <v>20</v>
      </c>
      <c r="E11" s="124"/>
      <c r="F11" s="124" t="s">
        <v>21</v>
      </c>
      <c r="G11" s="124"/>
      <c r="H11" s="124"/>
      <c r="I11" s="124" t="s">
        <v>22</v>
      </c>
      <c r="J11" s="124" t="s">
        <v>23</v>
      </c>
      <c r="K11" s="124" t="s">
        <v>24</v>
      </c>
      <c r="L11" s="124" t="s">
        <v>25</v>
      </c>
    </row>
    <row r="12" spans="1:19">
      <c r="A12" s="122"/>
      <c r="B12" s="123"/>
      <c r="C12" s="125"/>
      <c r="D12" s="3" t="s">
        <v>26</v>
      </c>
      <c r="E12" s="3" t="s">
        <v>27</v>
      </c>
      <c r="F12" s="3" t="s">
        <v>26</v>
      </c>
      <c r="G12" s="3" t="s">
        <v>28</v>
      </c>
      <c r="H12" s="3" t="s">
        <v>29</v>
      </c>
      <c r="I12" s="124"/>
      <c r="J12" s="124"/>
      <c r="K12" s="124"/>
      <c r="L12" s="124"/>
    </row>
    <row r="13" spans="1:19">
      <c r="A13" s="4" t="s">
        <v>30</v>
      </c>
      <c r="B13" s="5" t="s">
        <v>96</v>
      </c>
      <c r="C13" s="6">
        <v>8.74</v>
      </c>
      <c r="D13" s="6">
        <v>9.18</v>
      </c>
      <c r="E13" s="7">
        <v>0.44</v>
      </c>
      <c r="F13" s="6">
        <v>8.65</v>
      </c>
      <c r="G13" s="7">
        <v>-0.52999999999999903</v>
      </c>
      <c r="H13" s="8">
        <v>0</v>
      </c>
      <c r="I13" s="18">
        <v>0.44</v>
      </c>
      <c r="J13" s="19">
        <v>0.47299999999999998</v>
      </c>
      <c r="K13" s="18">
        <v>0.93023255813953398</v>
      </c>
      <c r="L13" s="20">
        <v>0</v>
      </c>
    </row>
    <row r="14" spans="1:19">
      <c r="A14" s="4" t="s">
        <v>30</v>
      </c>
      <c r="B14" s="5" t="s">
        <v>97</v>
      </c>
      <c r="C14" s="6">
        <v>1.29</v>
      </c>
      <c r="D14" s="6">
        <v>1.8</v>
      </c>
      <c r="E14" s="7">
        <v>0.51</v>
      </c>
      <c r="F14" s="6">
        <v>1.1499999999999999</v>
      </c>
      <c r="G14" s="7">
        <v>-0.65</v>
      </c>
      <c r="H14" s="8">
        <v>0</v>
      </c>
      <c r="I14" s="18">
        <v>0.51</v>
      </c>
      <c r="J14" s="19">
        <v>0.82499999999999996</v>
      </c>
      <c r="K14" s="18">
        <v>0.61818181818181805</v>
      </c>
      <c r="L14" s="20">
        <v>0</v>
      </c>
    </row>
    <row r="15" spans="1:19">
      <c r="A15" s="4" t="s">
        <v>30</v>
      </c>
      <c r="B15" s="5" t="s">
        <v>98</v>
      </c>
      <c r="C15" s="6">
        <v>8.0399999999999991</v>
      </c>
      <c r="D15" s="6">
        <v>8.74</v>
      </c>
      <c r="E15" s="7">
        <v>0.70000000000000095</v>
      </c>
      <c r="F15" s="6">
        <v>7.95</v>
      </c>
      <c r="G15" s="7">
        <v>-0.79</v>
      </c>
      <c r="H15" s="8">
        <v>0</v>
      </c>
      <c r="I15" s="18">
        <v>0.70000000000000095</v>
      </c>
      <c r="J15" s="19">
        <v>1.2450000000000001</v>
      </c>
      <c r="K15" s="18">
        <v>0.56224899598393696</v>
      </c>
      <c r="L15" s="20">
        <v>0</v>
      </c>
    </row>
    <row r="16" spans="1:19">
      <c r="A16" s="4" t="s">
        <v>30</v>
      </c>
      <c r="B16" s="5" t="s">
        <v>105</v>
      </c>
      <c r="C16" s="9">
        <v>2.23</v>
      </c>
      <c r="D16" s="9">
        <v>3</v>
      </c>
      <c r="E16" s="7">
        <v>0.77</v>
      </c>
      <c r="F16" s="9">
        <v>2.2000000000000002</v>
      </c>
      <c r="G16" s="7">
        <v>-0.8</v>
      </c>
      <c r="H16" s="8">
        <v>0</v>
      </c>
      <c r="I16" s="18">
        <v>0.77</v>
      </c>
      <c r="J16" s="19">
        <v>1.7430000000000001</v>
      </c>
      <c r="K16" s="18">
        <v>0.44176706827309198</v>
      </c>
      <c r="L16" s="20">
        <v>0</v>
      </c>
    </row>
    <row r="17" spans="1:12">
      <c r="A17" s="4" t="s">
        <v>30</v>
      </c>
      <c r="B17" s="5" t="s">
        <v>107</v>
      </c>
      <c r="C17" s="6">
        <v>4.05</v>
      </c>
      <c r="D17" s="6">
        <v>5.0199999999999996</v>
      </c>
      <c r="E17" s="7">
        <v>0.97</v>
      </c>
      <c r="F17" s="6">
        <v>3.93</v>
      </c>
      <c r="G17" s="7">
        <v>-1.0900000000000001</v>
      </c>
      <c r="H17" s="8">
        <v>0</v>
      </c>
      <c r="I17" s="18">
        <v>0.97</v>
      </c>
      <c r="J17" s="19">
        <v>2.3420000000000001</v>
      </c>
      <c r="K17" s="18">
        <v>0.414175918018787</v>
      </c>
      <c r="L17" s="20">
        <v>0</v>
      </c>
    </row>
    <row r="18" spans="1:12">
      <c r="A18" s="4" t="s">
        <v>30</v>
      </c>
      <c r="B18" s="5" t="s">
        <v>116</v>
      </c>
      <c r="C18" s="6">
        <v>6.32</v>
      </c>
      <c r="D18" s="6">
        <v>7.6</v>
      </c>
      <c r="E18" s="7">
        <v>1.28</v>
      </c>
      <c r="F18" s="10">
        <v>6.24</v>
      </c>
      <c r="G18" s="7">
        <v>-1.36</v>
      </c>
      <c r="H18" s="8">
        <v>0</v>
      </c>
      <c r="I18" s="18">
        <v>1.28</v>
      </c>
      <c r="J18" s="19">
        <v>3.0790000000000002</v>
      </c>
      <c r="K18" s="18">
        <v>0.41571938941214698</v>
      </c>
      <c r="L18" s="20">
        <v>0</v>
      </c>
    </row>
    <row r="19" spans="1:12">
      <c r="A19" s="4" t="s">
        <v>30</v>
      </c>
      <c r="B19" s="5" t="s">
        <v>117</v>
      </c>
      <c r="C19" s="6">
        <v>7.98</v>
      </c>
      <c r="D19" s="6">
        <v>9.6199999999999992</v>
      </c>
      <c r="E19" s="7">
        <v>1.64</v>
      </c>
      <c r="F19" s="10">
        <v>7.91</v>
      </c>
      <c r="G19" s="7">
        <v>-1.71</v>
      </c>
      <c r="H19" s="8">
        <v>0</v>
      </c>
      <c r="I19" s="18">
        <v>1.64</v>
      </c>
      <c r="J19" s="19">
        <v>4.008</v>
      </c>
      <c r="K19" s="18">
        <v>0.409181636726547</v>
      </c>
      <c r="L19" s="20">
        <v>0</v>
      </c>
    </row>
    <row r="20" spans="1:12">
      <c r="A20" s="4" t="s">
        <v>30</v>
      </c>
      <c r="B20" s="5" t="s">
        <v>118</v>
      </c>
      <c r="C20" s="6">
        <v>14.28</v>
      </c>
      <c r="D20" s="6">
        <v>16.309999999999999</v>
      </c>
      <c r="E20" s="7">
        <v>2.0299999999999998</v>
      </c>
      <c r="F20" s="10">
        <v>14.19</v>
      </c>
      <c r="G20" s="7">
        <v>-2.12</v>
      </c>
      <c r="H20" s="8">
        <v>0</v>
      </c>
      <c r="I20" s="18">
        <v>2.0299999999999998</v>
      </c>
      <c r="J20" s="19">
        <v>5.16</v>
      </c>
      <c r="K20" s="18">
        <v>0.39341085271317799</v>
      </c>
      <c r="L20" s="20">
        <v>0</v>
      </c>
    </row>
    <row r="21" spans="1:12">
      <c r="A21" s="4" t="s">
        <v>30</v>
      </c>
      <c r="B21" s="5" t="s">
        <v>119</v>
      </c>
      <c r="C21" s="6">
        <v>12.58</v>
      </c>
      <c r="D21" s="6">
        <v>15.08</v>
      </c>
      <c r="E21" s="7">
        <v>2.5</v>
      </c>
      <c r="F21" s="10">
        <v>12.55</v>
      </c>
      <c r="G21" s="7">
        <v>-2.5299999999999998</v>
      </c>
      <c r="H21" s="8">
        <v>0</v>
      </c>
      <c r="I21" s="18">
        <v>2.5</v>
      </c>
      <c r="J21" s="19">
        <v>5.9530000000000003</v>
      </c>
      <c r="K21" s="18">
        <v>0.41995632454224802</v>
      </c>
      <c r="L21" s="20">
        <v>0</v>
      </c>
    </row>
    <row r="22" spans="1:12">
      <c r="A22" s="4" t="s">
        <v>30</v>
      </c>
      <c r="B22" s="5" t="s">
        <v>120</v>
      </c>
      <c r="C22" s="6">
        <v>6.85</v>
      </c>
      <c r="D22" s="6">
        <v>9.65</v>
      </c>
      <c r="E22" s="7">
        <v>2.8</v>
      </c>
      <c r="F22" s="10">
        <v>6.8</v>
      </c>
      <c r="G22" s="7">
        <v>-2.85</v>
      </c>
      <c r="H22" s="8">
        <v>0</v>
      </c>
      <c r="I22" s="18">
        <v>2.8</v>
      </c>
      <c r="J22" s="19">
        <v>6.742</v>
      </c>
      <c r="K22" s="18">
        <v>0.415307030554732</v>
      </c>
      <c r="L22" s="20">
        <v>0</v>
      </c>
    </row>
    <row r="23" spans="1:12">
      <c r="A23" s="4" t="s">
        <v>30</v>
      </c>
      <c r="B23" s="5" t="s">
        <v>121</v>
      </c>
      <c r="C23" s="6">
        <v>11.92</v>
      </c>
      <c r="D23" s="6">
        <v>15.21</v>
      </c>
      <c r="E23" s="7">
        <v>3.29</v>
      </c>
      <c r="F23" s="10">
        <v>11.93</v>
      </c>
      <c r="G23" s="7">
        <v>-3.28</v>
      </c>
      <c r="H23" s="8">
        <v>9.9999999999997903E-3</v>
      </c>
      <c r="I23" s="18">
        <v>3.28</v>
      </c>
      <c r="J23" s="19">
        <v>7.048</v>
      </c>
      <c r="K23" s="18">
        <v>0.46538024971623199</v>
      </c>
      <c r="L23" s="20">
        <v>3.0395136778114799E-3</v>
      </c>
    </row>
    <row r="24" spans="1:12">
      <c r="A24" s="4" t="s">
        <v>30</v>
      </c>
      <c r="B24" s="5" t="s">
        <v>122</v>
      </c>
      <c r="C24" s="6">
        <v>16.899999999999999</v>
      </c>
      <c r="D24" s="6">
        <v>20</v>
      </c>
      <c r="E24" s="7">
        <v>3.1</v>
      </c>
      <c r="F24" s="10">
        <v>16.78</v>
      </c>
      <c r="G24" s="7">
        <v>-3.22</v>
      </c>
      <c r="H24" s="8">
        <v>0</v>
      </c>
      <c r="I24" s="18">
        <v>3.1</v>
      </c>
      <c r="J24" s="19">
        <v>7.2679999999999998</v>
      </c>
      <c r="K24" s="18">
        <v>0.42652724270775999</v>
      </c>
      <c r="L24" s="20">
        <v>0</v>
      </c>
    </row>
    <row r="25" spans="1:12">
      <c r="A25" s="4" t="s">
        <v>30</v>
      </c>
      <c r="B25" s="5" t="s">
        <v>123</v>
      </c>
      <c r="C25" s="6">
        <v>12.43</v>
      </c>
      <c r="D25" s="6">
        <v>15.34</v>
      </c>
      <c r="E25" s="7">
        <v>2.91</v>
      </c>
      <c r="F25" s="10">
        <v>12.57</v>
      </c>
      <c r="G25" s="7">
        <v>-2.77</v>
      </c>
      <c r="H25" s="8">
        <v>0.14000000000000101</v>
      </c>
      <c r="I25" s="18">
        <v>2.77</v>
      </c>
      <c r="J25" s="19">
        <v>6.7930000000000001</v>
      </c>
      <c r="K25" s="18">
        <v>0.40777270719858699</v>
      </c>
      <c r="L25" s="20">
        <v>4.8109965635739001E-2</v>
      </c>
    </row>
    <row r="26" spans="1:12">
      <c r="A26" s="4" t="s">
        <v>30</v>
      </c>
      <c r="B26" s="11" t="s">
        <v>124</v>
      </c>
      <c r="C26" s="12">
        <v>13.65</v>
      </c>
      <c r="D26" s="12">
        <v>16.52</v>
      </c>
      <c r="E26" s="7">
        <v>2.87</v>
      </c>
      <c r="F26" s="13">
        <v>13.72</v>
      </c>
      <c r="G26" s="7">
        <v>-2.8</v>
      </c>
      <c r="H26" s="8">
        <v>7.0000000000000298E-2</v>
      </c>
      <c r="I26" s="18">
        <v>2.8</v>
      </c>
      <c r="J26" s="19">
        <v>6.702</v>
      </c>
      <c r="K26" s="18">
        <v>0.41778573560131299</v>
      </c>
      <c r="L26" s="20">
        <v>2.4390243902439102E-2</v>
      </c>
    </row>
    <row r="27" spans="1:12">
      <c r="A27" s="4"/>
      <c r="B27" s="5" t="s">
        <v>96</v>
      </c>
      <c r="C27" s="6">
        <v>8.74</v>
      </c>
      <c r="D27" s="14">
        <v>11.47</v>
      </c>
      <c r="E27" s="15">
        <v>2.73</v>
      </c>
      <c r="F27" s="14">
        <v>8.6999999999999993</v>
      </c>
      <c r="G27" s="15">
        <v>-2.77</v>
      </c>
      <c r="H27" s="8">
        <v>0</v>
      </c>
      <c r="I27" s="21">
        <v>2.73</v>
      </c>
      <c r="J27" s="22">
        <v>6.6319999999999997</v>
      </c>
      <c r="K27" s="21">
        <v>0.41164053075995199</v>
      </c>
      <c r="L27" s="23">
        <v>0</v>
      </c>
    </row>
    <row r="28" spans="1:12">
      <c r="A28" s="4"/>
      <c r="B28" s="5" t="s">
        <v>97</v>
      </c>
      <c r="C28" s="6">
        <v>1.29</v>
      </c>
      <c r="D28" s="6">
        <v>4.1900000000000004</v>
      </c>
      <c r="E28" s="7">
        <v>2.9</v>
      </c>
      <c r="F28" s="6">
        <v>1.23</v>
      </c>
      <c r="G28" s="7">
        <v>-2.96</v>
      </c>
      <c r="H28" s="8">
        <v>0</v>
      </c>
      <c r="I28" s="18">
        <v>2.9</v>
      </c>
      <c r="J28" s="19">
        <v>6.7249999999999996</v>
      </c>
      <c r="K28" s="18">
        <v>0.43122676579925701</v>
      </c>
      <c r="L28" s="20">
        <v>0</v>
      </c>
    </row>
    <row r="29" spans="1:12">
      <c r="A29" s="4"/>
      <c r="B29" s="5" t="s">
        <v>98</v>
      </c>
      <c r="C29" s="6">
        <v>8.0399999999999991</v>
      </c>
      <c r="D29" s="6">
        <v>11.15</v>
      </c>
      <c r="E29" s="16">
        <v>3.11</v>
      </c>
      <c r="F29" s="6">
        <v>8</v>
      </c>
      <c r="G29" s="7">
        <v>-3.15</v>
      </c>
      <c r="H29" s="8">
        <v>0</v>
      </c>
      <c r="I29" s="24">
        <v>3.11</v>
      </c>
      <c r="J29" s="25">
        <v>7.1950000000000003</v>
      </c>
      <c r="K29" s="24">
        <v>0.43224461431549699</v>
      </c>
      <c r="L29" s="26">
        <v>0</v>
      </c>
    </row>
    <row r="30" spans="1:12">
      <c r="A30" s="4"/>
      <c r="B30" s="5" t="s">
        <v>105</v>
      </c>
      <c r="C30" s="9">
        <v>2.23</v>
      </c>
      <c r="D30" s="9">
        <v>5.35</v>
      </c>
      <c r="E30" s="7">
        <v>3.12</v>
      </c>
      <c r="F30" s="9">
        <v>2.25</v>
      </c>
      <c r="G30" s="17">
        <v>-3.1</v>
      </c>
      <c r="H30" s="8">
        <v>0.02</v>
      </c>
      <c r="I30" s="18">
        <v>3.1</v>
      </c>
      <c r="J30" s="19">
        <v>7</v>
      </c>
      <c r="K30" s="18">
        <v>0.442857142857143</v>
      </c>
      <c r="L30" s="20">
        <v>6.4102564102564196E-3</v>
      </c>
    </row>
    <row r="31" spans="1:12">
      <c r="A31" s="4"/>
      <c r="B31" s="5" t="s">
        <v>107</v>
      </c>
      <c r="C31" s="6">
        <v>4.05</v>
      </c>
      <c r="D31" s="6">
        <v>6.97</v>
      </c>
      <c r="E31" s="7">
        <v>2.92</v>
      </c>
      <c r="F31" s="6">
        <v>3.96</v>
      </c>
      <c r="G31" s="7">
        <v>-3.01</v>
      </c>
      <c r="H31" s="8">
        <v>0</v>
      </c>
      <c r="I31" s="18">
        <v>2.92</v>
      </c>
      <c r="J31" s="19">
        <v>6.7279999999999998</v>
      </c>
      <c r="K31" s="18">
        <v>0.43400713436385302</v>
      </c>
      <c r="L31" s="20">
        <v>0</v>
      </c>
    </row>
    <row r="32" spans="1:12">
      <c r="A32" s="4"/>
      <c r="B32" s="5" t="s">
        <v>116</v>
      </c>
      <c r="C32" s="6">
        <v>6.32</v>
      </c>
      <c r="D32" s="6">
        <v>8.7100000000000009</v>
      </c>
      <c r="E32" s="7">
        <v>2.39</v>
      </c>
      <c r="F32" s="10">
        <v>6.25</v>
      </c>
      <c r="G32" s="7">
        <v>-2.46</v>
      </c>
      <c r="H32" s="8">
        <v>0</v>
      </c>
      <c r="I32" s="18">
        <v>2.39</v>
      </c>
      <c r="J32" s="19">
        <v>5.9749999999999996</v>
      </c>
      <c r="K32" s="18">
        <v>0.4</v>
      </c>
      <c r="L32" s="20">
        <v>0</v>
      </c>
    </row>
    <row r="33" spans="1:12">
      <c r="A33" s="4"/>
      <c r="B33" s="5" t="s">
        <v>117</v>
      </c>
      <c r="C33" s="6">
        <v>7.98</v>
      </c>
      <c r="D33" s="6">
        <v>10.17</v>
      </c>
      <c r="E33" s="17">
        <v>2.19</v>
      </c>
      <c r="F33" s="10">
        <v>7.92</v>
      </c>
      <c r="G33" s="7">
        <v>-2.25</v>
      </c>
      <c r="H33" s="8">
        <v>0</v>
      </c>
      <c r="I33" s="27">
        <v>2.19</v>
      </c>
      <c r="J33" s="28">
        <v>5.2030000000000003</v>
      </c>
      <c r="K33" s="27">
        <v>0.42091101287718602</v>
      </c>
      <c r="L33" s="29">
        <v>0</v>
      </c>
    </row>
    <row r="34" spans="1:12">
      <c r="A34" s="4"/>
      <c r="B34" s="5" t="s">
        <v>118</v>
      </c>
      <c r="C34" s="6">
        <v>14.28</v>
      </c>
      <c r="D34" s="6">
        <v>15.97</v>
      </c>
      <c r="E34" s="7">
        <v>1.69</v>
      </c>
      <c r="F34" s="10">
        <v>14.17</v>
      </c>
      <c r="G34" s="7">
        <v>-1.8</v>
      </c>
      <c r="H34" s="8">
        <v>0</v>
      </c>
      <c r="I34" s="18">
        <v>1.69</v>
      </c>
      <c r="J34" s="19">
        <v>4.0430000000000001</v>
      </c>
      <c r="K34" s="18">
        <v>0.41800643086816802</v>
      </c>
      <c r="L34" s="20">
        <v>0</v>
      </c>
    </row>
    <row r="35" spans="1:12">
      <c r="A35" s="4"/>
      <c r="B35" s="5" t="s">
        <v>119</v>
      </c>
      <c r="C35" s="6">
        <v>12.58</v>
      </c>
      <c r="D35" s="6">
        <v>13.91</v>
      </c>
      <c r="E35" s="16">
        <v>1.33</v>
      </c>
      <c r="F35" s="10">
        <v>12.53</v>
      </c>
      <c r="G35" s="7">
        <v>-1.38</v>
      </c>
      <c r="H35" s="8">
        <v>0</v>
      </c>
      <c r="I35" s="24">
        <v>1.33</v>
      </c>
      <c r="J35" s="25">
        <v>3.11</v>
      </c>
      <c r="K35" s="24">
        <v>0.42765273311897101</v>
      </c>
      <c r="L35" s="26">
        <v>0</v>
      </c>
    </row>
    <row r="36" spans="1:12">
      <c r="A36" s="4"/>
      <c r="B36" s="5" t="s">
        <v>120</v>
      </c>
      <c r="C36" s="6">
        <v>6.85</v>
      </c>
      <c r="D36" s="6">
        <v>7.72</v>
      </c>
      <c r="E36" s="7">
        <v>0.87</v>
      </c>
      <c r="F36" s="10">
        <v>6.78</v>
      </c>
      <c r="G36" s="7">
        <v>-0.94</v>
      </c>
      <c r="H36" s="8">
        <v>0</v>
      </c>
      <c r="I36" s="18">
        <v>0.87</v>
      </c>
      <c r="J36" s="19">
        <v>2.3690000000000002</v>
      </c>
      <c r="K36" s="18">
        <v>0.36724356268467701</v>
      </c>
      <c r="L36" s="20">
        <v>0</v>
      </c>
    </row>
    <row r="37" spans="1:12">
      <c r="A37" s="4"/>
      <c r="B37" s="5" t="s">
        <v>121</v>
      </c>
      <c r="C37" s="6">
        <v>11.92</v>
      </c>
      <c r="D37" s="6">
        <v>12.73</v>
      </c>
      <c r="E37" s="7">
        <v>0.81</v>
      </c>
      <c r="F37" s="10">
        <v>11.9</v>
      </c>
      <c r="G37" s="7">
        <v>-0.83</v>
      </c>
      <c r="H37" s="8">
        <v>0</v>
      </c>
      <c r="I37" s="18">
        <v>0.81</v>
      </c>
      <c r="J37" s="19">
        <v>1.7689999999999999</v>
      </c>
      <c r="K37" s="18">
        <v>0.457885811192765</v>
      </c>
      <c r="L37" s="20">
        <v>0</v>
      </c>
    </row>
    <row r="38" spans="1:12">
      <c r="A38" s="4"/>
      <c r="B38" s="5" t="s">
        <v>122</v>
      </c>
      <c r="C38" s="6">
        <v>16.899999999999999</v>
      </c>
      <c r="D38" s="6">
        <v>17.41</v>
      </c>
      <c r="E38" s="7">
        <v>0.51000000000000201</v>
      </c>
      <c r="F38" s="10">
        <v>16.739999999999998</v>
      </c>
      <c r="G38" s="7">
        <v>-0.67000000000000204</v>
      </c>
      <c r="H38" s="8">
        <v>0</v>
      </c>
      <c r="I38" s="18">
        <v>0.51000000000000201</v>
      </c>
      <c r="J38" s="19">
        <v>1.2709999999999999</v>
      </c>
      <c r="K38" s="18">
        <v>0.401258851298192</v>
      </c>
      <c r="L38" s="20">
        <v>0</v>
      </c>
    </row>
    <row r="39" spans="1:12">
      <c r="A39" s="4"/>
      <c r="B39" s="5" t="s">
        <v>123</v>
      </c>
      <c r="C39" s="6">
        <v>12.43</v>
      </c>
      <c r="D39" s="6">
        <v>12.84</v>
      </c>
      <c r="E39" s="17">
        <v>0.41</v>
      </c>
      <c r="F39" s="10">
        <v>12.5</v>
      </c>
      <c r="G39" s="7">
        <v>-0.34</v>
      </c>
      <c r="H39" s="8">
        <v>7.0000000000000298E-2</v>
      </c>
      <c r="I39" s="27">
        <v>0.34</v>
      </c>
      <c r="J39" s="28">
        <v>0.85199999999999998</v>
      </c>
      <c r="K39" s="27">
        <v>0.39906103286384997</v>
      </c>
      <c r="L39" s="29">
        <v>0.17073170731707399</v>
      </c>
    </row>
    <row r="40" spans="1:12">
      <c r="A40" s="4"/>
      <c r="B40" s="11" t="s">
        <v>124</v>
      </c>
      <c r="C40" s="12">
        <v>13.65</v>
      </c>
      <c r="D40" s="6">
        <v>14.18</v>
      </c>
      <c r="E40" s="7">
        <v>0.52999999999999903</v>
      </c>
      <c r="F40" s="10">
        <v>13.68</v>
      </c>
      <c r="G40" s="7">
        <v>-0.5</v>
      </c>
      <c r="H40" s="8">
        <v>2.9999999999999399E-2</v>
      </c>
      <c r="I40" s="18">
        <v>0.5</v>
      </c>
      <c r="J40" s="19">
        <v>0.499</v>
      </c>
      <c r="K40" s="18">
        <v>1.00200400801603</v>
      </c>
      <c r="L40" s="20">
        <v>5.6603773584904503E-2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14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2019-02-25T00:14:37Z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