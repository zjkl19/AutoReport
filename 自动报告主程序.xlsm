
<file path=[Content_Types].xml><?xml version="1.0" encoding="utf-8"?>
<Types xmlns="http://schemas.openxmlformats.org/package/2006/content-types">
  <Default Extension="vml" ContentType="application/vnd.openxmlformats-officedocument.vmlDrawing"/>
  <Default Extension="png" ContentType="image/png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olors1.xml" ContentType="application/vnd.ms-office.chartcolorstyle+xml"/>
  <Override PartName="/xl/charts/colors2.xml" ContentType="application/vnd.ms-office.chartcolorstyle+xml"/>
  <Override PartName="/xl/charts/colors3.xml" ContentType="application/vnd.ms-office.chartcolorstyle+xml"/>
  <Override PartName="/xl/charts/style1.xml" ContentType="application/vnd.ms-office.chartstyle+xml"/>
  <Override PartName="/xl/charts/style2.xml" ContentType="application/vnd.ms-office.chartstyle+xml"/>
  <Override PartName="/xl/charts/style3.xml" ContentType="application/vnd.ms-office.chartstyle+xml"/>
  <Override PartName="/xl/ctrlProps/ctrlProp1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.xml" ContentType="application/vnd.ms-excel.controlproperties+xml"/>
  <Override PartName="/xl/ctrlProps/ctrlProp30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4135" windowHeight="12645" activeTab="2"/>
  </bookViews>
  <sheets>
    <sheet name="首页" sheetId="8" r:id="rId1"/>
    <sheet name="挠度" sheetId="1" r:id="rId2"/>
    <sheet name="应变" sheetId="2" r:id="rId3"/>
    <sheet name="栏杆推力" sheetId="9" r:id="rId4"/>
    <sheet name="生成Word报告" sheetId="4" r:id="rId5"/>
    <sheet name="水准测量转换" sheetId="7" r:id="rId6"/>
    <sheet name="草稿" sheetId="3" r:id="rId7"/>
    <sheet name="应变测试" sheetId="6" state="hidden" r:id="rId8"/>
    <sheet name="挠度测试" sheetId="5" state="hidden" r:id="rId9"/>
  </sheets>
  <calcPr calcId="144525" concurrentCalc="0"/>
</workbook>
</file>

<file path=xl/sharedStrings.xml><?xml version="1.0" encoding="utf-8"?>
<sst xmlns="http://schemas.openxmlformats.org/spreadsheetml/2006/main" count="132">
  <si>
    <t>挠度工况数</t>
  </si>
  <si>
    <t>工况1测点数</t>
  </si>
  <si>
    <t>工况2测点数</t>
  </si>
  <si>
    <t>工况3测点数</t>
  </si>
  <si>
    <t>工况4测点数</t>
  </si>
  <si>
    <t>工况5测点数</t>
  </si>
  <si>
    <t>工况6测点数</t>
  </si>
  <si>
    <t>工况7测点数</t>
  </si>
  <si>
    <t>工况8测点数</t>
  </si>
  <si>
    <t>工况9测点数</t>
  </si>
  <si>
    <t>工况10测点数</t>
  </si>
  <si>
    <t>报告工况</t>
  </si>
  <si>
    <t>最大弹性位移</t>
  </si>
  <si>
    <t>最小校验系数</t>
  </si>
  <si>
    <t>最大校验系数</t>
  </si>
  <si>
    <t>最小相对残余变形</t>
  </si>
  <si>
    <t>最大相对残余变形</t>
  </si>
  <si>
    <t>工况</t>
  </si>
  <si>
    <t>测点</t>
  </si>
  <si>
    <t>初读</t>
  </si>
  <si>
    <t>满载</t>
  </si>
  <si>
    <t>卸载</t>
  </si>
  <si>
    <t>弹性变形</t>
  </si>
  <si>
    <t>理论</t>
  </si>
  <si>
    <t>校验系数</t>
  </si>
  <si>
    <t>相对残余</t>
  </si>
  <si>
    <t>读数</t>
  </si>
  <si>
    <t>总变形</t>
  </si>
  <si>
    <t>增量</t>
  </si>
  <si>
    <t>残余变形</t>
  </si>
  <si>
    <t>一</t>
  </si>
  <si>
    <t>A-1</t>
  </si>
  <si>
    <t>A-2</t>
  </si>
  <si>
    <t>A-3</t>
  </si>
  <si>
    <t>A-4</t>
  </si>
  <si>
    <t>二</t>
  </si>
  <si>
    <t>C-1</t>
  </si>
  <si>
    <t>C-2</t>
  </si>
  <si>
    <t>C-3</t>
  </si>
  <si>
    <t>C-4</t>
  </si>
  <si>
    <t>应变工况数</t>
  </si>
  <si>
    <t>最大弹性应变</t>
  </si>
  <si>
    <t>应变计算公式</t>
  </si>
  <si>
    <t>最小相对残余应变</t>
  </si>
  <si>
    <t>其中G=3.7，C=1.020019</t>
  </si>
  <si>
    <t>最大相对残余应变</t>
  </si>
  <si>
    <t>报告工况指报告中对应的工况号</t>
  </si>
  <si>
    <t>试验数据</t>
  </si>
  <si>
    <t>理论数据</t>
  </si>
  <si>
    <t>应变计算</t>
  </si>
  <si>
    <t>报告数据</t>
  </si>
  <si>
    <t>初始读数</t>
  </si>
  <si>
    <t>满载理论值(με)</t>
  </si>
  <si>
    <t>仪器类型</t>
  </si>
  <si>
    <t>实测值(με)</t>
  </si>
  <si>
    <t>相对残余应变</t>
  </si>
  <si>
    <t>模数R</t>
  </si>
  <si>
    <t>温度</t>
  </si>
  <si>
    <t>温度T</t>
  </si>
  <si>
    <t>模数计算</t>
  </si>
  <si>
    <t>温度计算</t>
  </si>
  <si>
    <t>应变</t>
  </si>
  <si>
    <t>残余应变</t>
  </si>
  <si>
    <t>总应变</t>
  </si>
  <si>
    <t>弹性应变</t>
  </si>
  <si>
    <t>B-1</t>
  </si>
  <si>
    <t>B-2</t>
  </si>
  <si>
    <t>B-3</t>
  </si>
  <si>
    <t>B-4</t>
  </si>
  <si>
    <t>测点数</t>
  </si>
  <si>
    <t>加载级数</t>
  </si>
  <si>
    <t>分级</t>
  </si>
  <si>
    <t>实测值(mm)</t>
  </si>
  <si>
    <t>残余变形(mm)</t>
  </si>
  <si>
    <t>相对残余变形</t>
  </si>
  <si>
    <t>1#</t>
  </si>
  <si>
    <t>1级</t>
  </si>
  <si>
    <t>/</t>
  </si>
  <si>
    <t>2级</t>
  </si>
  <si>
    <t>3级</t>
  </si>
  <si>
    <t>4级</t>
  </si>
  <si>
    <t>5级</t>
  </si>
  <si>
    <t>退载</t>
  </si>
  <si>
    <t>2#</t>
  </si>
  <si>
    <t>3#</t>
  </si>
  <si>
    <t>请先计算位移和应变，再导出Word报告</t>
  </si>
  <si>
    <t>后视点</t>
  </si>
  <si>
    <t>前示读数（m)</t>
  </si>
  <si>
    <t>后示读数（m)</t>
  </si>
  <si>
    <t>高程（m)</t>
  </si>
  <si>
    <t>换算百分表读数（mm）</t>
  </si>
  <si>
    <t>输入示例：</t>
  </si>
  <si>
    <t>前示读数</t>
  </si>
  <si>
    <t>后示读数</t>
  </si>
  <si>
    <t>JD1</t>
  </si>
  <si>
    <t>JD</t>
  </si>
  <si>
    <t>Z1</t>
  </si>
  <si>
    <t>Z2</t>
  </si>
  <si>
    <t>Z3</t>
  </si>
  <si>
    <t>Y1</t>
  </si>
  <si>
    <t>4#</t>
  </si>
  <si>
    <t>Y2</t>
  </si>
  <si>
    <t>5#</t>
  </si>
  <si>
    <t>Y3</t>
  </si>
  <si>
    <t>6#</t>
  </si>
  <si>
    <t>Z4</t>
  </si>
  <si>
    <t>7#</t>
  </si>
  <si>
    <t>Z5</t>
  </si>
  <si>
    <t>8#</t>
  </si>
  <si>
    <t>Y4</t>
  </si>
  <si>
    <t>9#</t>
  </si>
  <si>
    <r>
      <rPr>
        <sz val="11"/>
        <color theme="1"/>
        <rFont val="宋体"/>
        <charset val="134"/>
      </rPr>
      <t>1</t>
    </r>
    <r>
      <rPr>
        <sz val="11"/>
        <color theme="1"/>
        <rFont val="等线"/>
        <charset val="134"/>
      </rPr>
      <t>0#</t>
    </r>
  </si>
  <si>
    <r>
      <rPr>
        <sz val="11"/>
        <color theme="1"/>
        <rFont val="宋体"/>
        <charset val="134"/>
      </rPr>
      <t>1</t>
    </r>
    <r>
      <rPr>
        <sz val="11"/>
        <color theme="1"/>
        <rFont val="等线"/>
        <charset val="134"/>
      </rPr>
      <t>1#</t>
    </r>
  </si>
  <si>
    <r>
      <rPr>
        <sz val="11"/>
        <color theme="1"/>
        <rFont val="宋体"/>
        <charset val="134"/>
      </rPr>
      <t>Z</t>
    </r>
    <r>
      <rPr>
        <sz val="11"/>
        <color theme="1"/>
        <rFont val="等线"/>
        <charset val="134"/>
      </rPr>
      <t>D1</t>
    </r>
  </si>
  <si>
    <r>
      <rPr>
        <sz val="11"/>
        <color theme="1"/>
        <rFont val="等线"/>
        <charset val="134"/>
      </rPr>
      <t>9</t>
    </r>
    <r>
      <rPr>
        <sz val="11"/>
        <color theme="1"/>
        <rFont val="等线"/>
        <charset val="134"/>
      </rPr>
      <t>#</t>
    </r>
  </si>
  <si>
    <r>
      <rPr>
        <sz val="11"/>
        <color theme="1"/>
        <rFont val="宋体"/>
        <charset val="134"/>
      </rPr>
      <t>1</t>
    </r>
    <r>
      <rPr>
        <sz val="11"/>
        <color theme="1"/>
        <rFont val="等线"/>
        <charset val="134"/>
      </rPr>
      <t>2#</t>
    </r>
  </si>
  <si>
    <t>Z6</t>
  </si>
  <si>
    <t>Z7</t>
  </si>
  <si>
    <t>Z8</t>
  </si>
  <si>
    <t>Z9</t>
  </si>
  <si>
    <t>Z10</t>
  </si>
  <si>
    <t>Z11</t>
  </si>
  <si>
    <t>Z12</t>
  </si>
  <si>
    <t>Z13</t>
  </si>
  <si>
    <t>Z14</t>
  </si>
  <si>
    <t>理论计算值</t>
  </si>
  <si>
    <r>
      <rPr>
        <sz val="12"/>
        <color indexed="16"/>
        <rFont val="宋体"/>
        <charset val="134"/>
      </rPr>
      <t>应力(N/mm</t>
    </r>
    <r>
      <rPr>
        <u/>
        <vertAlign val="superscript"/>
        <sz val="12"/>
        <color indexed="16"/>
        <rFont val="宋体"/>
        <charset val="134"/>
      </rPr>
      <t>2</t>
    </r>
    <r>
      <rPr>
        <sz val="12"/>
        <color indexed="16"/>
        <rFont val="宋体"/>
        <charset val="134"/>
      </rPr>
      <t>)</t>
    </r>
  </si>
  <si>
    <t>10#</t>
  </si>
  <si>
    <t>11#</t>
  </si>
  <si>
    <t>12#</t>
  </si>
  <si>
    <t>13#</t>
  </si>
  <si>
    <t>14#</t>
  </si>
</sst>
</file>

<file path=xl/styles.xml><?xml version="1.0" encoding="utf-8"?>
<styleSheet xmlns="http://schemas.openxmlformats.org/spreadsheetml/2006/main">
  <numFmts count="7">
    <numFmt numFmtId="44" formatCode="_ &quot;￥&quot;* #,##0.00_ ;_ &quot;￥&quot;* \-#,##0.00_ ;_ &quot;￥&quot;* &quot;-&quot;??_ ;_ @_ "/>
    <numFmt numFmtId="42" formatCode="_ &quot;￥&quot;* #,##0_ ;_ &quot;￥&quot;* \-#,##0_ ;_ &quot;￥&quot;* &quot;-&quot;_ ;_ @_ "/>
    <numFmt numFmtId="41" formatCode="_ * #,##0_ ;_ * \-#,##0_ ;_ * &quot;-&quot;_ ;_ @_ "/>
    <numFmt numFmtId="43" formatCode="_ * #,##0.00_ ;_ * \-#,##0.00_ ;_ * &quot;-&quot;??_ ;_ @_ "/>
    <numFmt numFmtId="176" formatCode="0.00_ "/>
    <numFmt numFmtId="177" formatCode="0_ "/>
    <numFmt numFmtId="178" formatCode="0.0_ "/>
  </numFmts>
  <fonts count="27">
    <font>
      <sz val="11"/>
      <color theme="1"/>
      <name val="等线"/>
      <charset val="134"/>
      <scheme val="minor"/>
    </font>
    <font>
      <sz val="12"/>
      <color indexed="60"/>
      <name val="宋体"/>
      <charset val="134"/>
    </font>
    <font>
      <sz val="12"/>
      <color indexed="16"/>
      <name val="宋体"/>
      <charset val="134"/>
    </font>
    <font>
      <sz val="12"/>
      <color theme="5" tint="-0.499984740745262"/>
      <name val="宋体"/>
      <charset val="134"/>
    </font>
    <font>
      <sz val="12"/>
      <color theme="1"/>
      <name val="楷体_GB2312"/>
      <charset val="134"/>
    </font>
    <font>
      <sz val="11"/>
      <color theme="1"/>
      <name val="等线"/>
      <charset val="0"/>
      <scheme val="minor"/>
    </font>
    <font>
      <b/>
      <sz val="11"/>
      <color rgb="FFFFFFFF"/>
      <name val="等线"/>
      <charset val="0"/>
      <scheme val="minor"/>
    </font>
    <font>
      <b/>
      <sz val="13"/>
      <color theme="3"/>
      <name val="等线"/>
      <charset val="134"/>
      <scheme val="minor"/>
    </font>
    <font>
      <sz val="11"/>
      <color rgb="FFFF0000"/>
      <name val="等线"/>
      <charset val="0"/>
      <scheme val="minor"/>
    </font>
    <font>
      <i/>
      <sz val="11"/>
      <color rgb="FF7F7F7F"/>
      <name val="等线"/>
      <charset val="0"/>
      <scheme val="minor"/>
    </font>
    <font>
      <b/>
      <sz val="11"/>
      <color theme="3"/>
      <name val="等线"/>
      <charset val="134"/>
      <scheme val="minor"/>
    </font>
    <font>
      <u/>
      <sz val="11"/>
      <color rgb="FF800080"/>
      <name val="等线"/>
      <charset val="0"/>
      <scheme val="minor"/>
    </font>
    <font>
      <sz val="11"/>
      <color rgb="FF9C0006"/>
      <name val="等线"/>
      <charset val="0"/>
      <scheme val="minor"/>
    </font>
    <font>
      <sz val="11"/>
      <color theme="0"/>
      <name val="等线"/>
      <charset val="0"/>
      <scheme val="minor"/>
    </font>
    <font>
      <b/>
      <sz val="11"/>
      <color rgb="FF3F3F3F"/>
      <name val="等线"/>
      <charset val="0"/>
      <scheme val="minor"/>
    </font>
    <font>
      <b/>
      <sz val="15"/>
      <color theme="3"/>
      <name val="等线"/>
      <charset val="134"/>
      <scheme val="minor"/>
    </font>
    <font>
      <b/>
      <sz val="11"/>
      <color theme="1"/>
      <name val="等线"/>
      <charset val="0"/>
      <scheme val="minor"/>
    </font>
    <font>
      <b/>
      <sz val="18"/>
      <color theme="3"/>
      <name val="等线"/>
      <charset val="134"/>
      <scheme val="minor"/>
    </font>
    <font>
      <u/>
      <sz val="11"/>
      <color rgb="FF0000FF"/>
      <name val="等线"/>
      <charset val="0"/>
      <scheme val="minor"/>
    </font>
    <font>
      <sz val="11"/>
      <color rgb="FF9C6500"/>
      <name val="等线"/>
      <charset val="0"/>
      <scheme val="minor"/>
    </font>
    <font>
      <sz val="11"/>
      <color rgb="FF3F3F76"/>
      <name val="等线"/>
      <charset val="0"/>
      <scheme val="minor"/>
    </font>
    <font>
      <b/>
      <sz val="11"/>
      <color rgb="FFFA7D00"/>
      <name val="等线"/>
      <charset val="0"/>
      <scheme val="minor"/>
    </font>
    <font>
      <sz val="11"/>
      <color rgb="FFFA7D00"/>
      <name val="等线"/>
      <charset val="0"/>
      <scheme val="minor"/>
    </font>
    <font>
      <sz val="11"/>
      <color rgb="FF006100"/>
      <name val="等线"/>
      <charset val="0"/>
      <scheme val="minor"/>
    </font>
    <font>
      <u/>
      <vertAlign val="superscript"/>
      <sz val="12"/>
      <color indexed="16"/>
      <name val="宋体"/>
      <charset val="134"/>
    </font>
    <font>
      <sz val="11"/>
      <color theme="1"/>
      <name val="宋体"/>
      <charset val="134"/>
    </font>
    <font>
      <sz val="11"/>
      <color theme="1"/>
      <name val="等线"/>
      <charset val="134"/>
    </font>
  </fonts>
  <fills count="37">
    <fill>
      <patternFill patternType="none"/>
    </fill>
    <fill>
      <patternFill patternType="gray125"/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599993896298105"/>
        <bgColor indexed="64"/>
      </patternFill>
    </fill>
  </fills>
  <borders count="2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ck">
        <color auto="1"/>
      </left>
      <right style="medium">
        <color auto="1"/>
      </right>
      <top style="thick">
        <color auto="1"/>
      </top>
      <bottom style="medium">
        <color auto="1"/>
      </bottom>
      <diagonal/>
    </border>
    <border>
      <left/>
      <right/>
      <top style="thin">
        <color auto="1"/>
      </top>
      <bottom/>
      <diagonal/>
    </border>
    <border>
      <left style="thick">
        <color auto="1"/>
      </left>
      <right style="medium">
        <color auto="1"/>
      </right>
      <top/>
      <bottom style="medium">
        <color auto="1"/>
      </bottom>
      <diagonal/>
    </border>
    <border>
      <left style="thick">
        <color auto="1"/>
      </left>
      <right style="medium">
        <color auto="1"/>
      </right>
      <top/>
      <bottom style="thick">
        <color auto="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medium">
        <color theme="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rgb="FFFF8001"/>
      </bottom>
      <diagonal/>
    </border>
  </borders>
  <cellStyleXfs count="49">
    <xf numFmtId="0" fontId="0" fillId="0" borderId="0"/>
    <xf numFmtId="42" fontId="0" fillId="0" borderId="0" applyFont="0" applyFill="0" applyBorder="0" applyAlignment="0" applyProtection="0">
      <alignment vertical="center"/>
    </xf>
    <xf numFmtId="0" fontId="5" fillId="22" borderId="0" applyNumberFormat="0" applyBorder="0" applyAlignment="0" applyProtection="0">
      <alignment vertical="center"/>
    </xf>
    <xf numFmtId="0" fontId="20" fillId="20" borderId="21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12" fillId="11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0" fillId="15" borderId="18" applyNumberFormat="0" applyFont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5" fillId="0" borderId="16" applyNumberFormat="0" applyFill="0" applyAlignment="0" applyProtection="0">
      <alignment vertical="center"/>
    </xf>
    <xf numFmtId="0" fontId="7" fillId="0" borderId="16" applyNumberFormat="0" applyFill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0" fillId="0" borderId="20" applyNumberFormat="0" applyFill="0" applyAlignment="0" applyProtection="0">
      <alignment vertical="center"/>
    </xf>
    <xf numFmtId="0" fontId="13" fillId="26" borderId="0" applyNumberFormat="0" applyBorder="0" applyAlignment="0" applyProtection="0">
      <alignment vertical="center"/>
    </xf>
    <xf numFmtId="0" fontId="14" fillId="14" borderId="17" applyNumberFormat="0" applyAlignment="0" applyProtection="0">
      <alignment vertical="center"/>
    </xf>
    <xf numFmtId="0" fontId="21" fillId="14" borderId="21" applyNumberFormat="0" applyAlignment="0" applyProtection="0">
      <alignment vertical="center"/>
    </xf>
    <xf numFmtId="0" fontId="6" fillId="7" borderId="15" applyNumberFormat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22" fillId="0" borderId="22" applyNumberFormat="0" applyFill="0" applyAlignment="0" applyProtection="0">
      <alignment vertical="center"/>
    </xf>
    <xf numFmtId="0" fontId="16" fillId="0" borderId="19" applyNumberFormat="0" applyFill="0" applyAlignment="0" applyProtection="0">
      <alignment vertical="center"/>
    </xf>
    <xf numFmtId="0" fontId="23" fillId="30" borderId="0" applyNumberFormat="0" applyBorder="0" applyAlignment="0" applyProtection="0">
      <alignment vertical="center"/>
    </xf>
    <xf numFmtId="0" fontId="19" fillId="18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5" fillId="21" borderId="0" applyNumberFormat="0" applyBorder="0" applyAlignment="0" applyProtection="0">
      <alignment vertical="center"/>
    </xf>
    <xf numFmtId="0" fontId="5" fillId="6" borderId="0" applyNumberFormat="0" applyBorder="0" applyAlignment="0" applyProtection="0">
      <alignment vertical="center"/>
    </xf>
    <xf numFmtId="0" fontId="5" fillId="29" borderId="0" applyNumberFormat="0" applyBorder="0" applyAlignment="0" applyProtection="0">
      <alignment vertical="center"/>
    </xf>
    <xf numFmtId="0" fontId="5" fillId="10" borderId="0" applyNumberFormat="0" applyBorder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13" fillId="16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5" fillId="9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5" fillId="33" borderId="0" applyNumberFormat="0" applyBorder="0" applyAlignment="0" applyProtection="0">
      <alignment vertical="center"/>
    </xf>
    <xf numFmtId="0" fontId="13" fillId="34" borderId="0" applyNumberFormat="0" applyBorder="0" applyAlignment="0" applyProtection="0">
      <alignment vertical="center"/>
    </xf>
    <xf numFmtId="0" fontId="13" fillId="35" borderId="0" applyNumberFormat="0" applyBorder="0" applyAlignment="0" applyProtection="0">
      <alignment vertical="center"/>
    </xf>
    <xf numFmtId="0" fontId="5" fillId="36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</cellStyleXfs>
  <cellXfs count="139">
    <xf numFmtId="0" fontId="0" fillId="0" borderId="0" xfId="0"/>
    <xf numFmtId="0" fontId="0" fillId="0" borderId="0" xfId="0" applyFont="1"/>
    <xf numFmtId="10" fontId="0" fillId="0" borderId="0" xfId="0" applyNumberFormat="1"/>
    <xf numFmtId="0" fontId="1" fillId="0" borderId="1" xfId="0" applyFont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center" wrapText="1"/>
    </xf>
    <xf numFmtId="0" fontId="1" fillId="0" borderId="2" xfId="0" applyFont="1" applyBorder="1" applyAlignment="1">
      <alignment horizontal="center" vertical="center" wrapText="1"/>
    </xf>
    <xf numFmtId="0" fontId="2" fillId="0" borderId="2" xfId="0" applyFont="1" applyBorder="1" applyAlignment="1">
      <alignment horizontal="center" vertical="center" wrapText="1"/>
    </xf>
    <xf numFmtId="0" fontId="0" fillId="2" borderId="0" xfId="0" applyFill="1" applyAlignment="1">
      <alignment horizontal="center"/>
    </xf>
    <xf numFmtId="177" fontId="0" fillId="2" borderId="1" xfId="0" applyNumberFormat="1" applyFill="1" applyBorder="1" applyAlignment="1">
      <alignment horizontal="center" vertical="center" wrapText="1"/>
    </xf>
    <xf numFmtId="176" fontId="0" fillId="2" borderId="1" xfId="0" applyNumberFormat="1" applyFill="1" applyBorder="1" applyAlignment="1">
      <alignment horizontal="center" vertical="center" wrapText="1"/>
    </xf>
    <xf numFmtId="176" fontId="0" fillId="3" borderId="1" xfId="0" applyNumberFormat="1" applyFill="1" applyBorder="1" applyAlignment="1">
      <alignment horizontal="center" vertical="center" wrapText="1"/>
    </xf>
    <xf numFmtId="176" fontId="0" fillId="0" borderId="1" xfId="0" applyNumberFormat="1" applyBorder="1" applyAlignment="1">
      <alignment horizontal="center" vertical="center" wrapText="1"/>
    </xf>
    <xf numFmtId="176" fontId="0" fillId="2" borderId="3" xfId="0" applyNumberFormat="1" applyFill="1" applyBorder="1" applyAlignment="1">
      <alignment horizontal="center" vertical="center" wrapText="1"/>
    </xf>
    <xf numFmtId="0" fontId="0" fillId="2" borderId="1" xfId="0" applyFill="1" applyBorder="1" applyAlignment="1">
      <alignment horizontal="center"/>
    </xf>
    <xf numFmtId="177" fontId="0" fillId="2" borderId="4" xfId="0" applyNumberFormat="1" applyFill="1" applyBorder="1" applyAlignment="1">
      <alignment horizontal="center" vertical="center" wrapText="1"/>
    </xf>
    <xf numFmtId="176" fontId="0" fillId="2" borderId="4" xfId="0" applyNumberFormat="1" applyFill="1" applyBorder="1" applyAlignment="1">
      <alignment horizontal="center" vertical="center" wrapText="1"/>
    </xf>
    <xf numFmtId="0" fontId="0" fillId="2" borderId="4" xfId="0" applyFill="1" applyBorder="1" applyAlignment="1">
      <alignment horizontal="center"/>
    </xf>
    <xf numFmtId="176" fontId="0" fillId="2" borderId="5" xfId="0" applyNumberFormat="1" applyFill="1" applyBorder="1" applyAlignment="1">
      <alignment horizontal="center" vertical="center" wrapText="1"/>
    </xf>
    <xf numFmtId="176" fontId="0" fillId="3" borderId="5" xfId="0" applyNumberFormat="1" applyFill="1" applyBorder="1" applyAlignment="1">
      <alignment horizontal="center" vertical="center" wrapText="1"/>
    </xf>
    <xf numFmtId="176" fontId="0" fillId="3" borderId="2" xfId="0" applyNumberFormat="1" applyFill="1" applyBorder="1" applyAlignment="1">
      <alignment horizontal="center" vertical="center" wrapText="1"/>
    </xf>
    <xf numFmtId="176" fontId="0" fillId="3" borderId="3" xfId="0" applyNumberFormat="1" applyFill="1" applyBorder="1" applyAlignment="1">
      <alignment horizontal="center" vertical="center" wrapText="1"/>
    </xf>
    <xf numFmtId="176" fontId="0" fillId="0" borderId="1" xfId="0" applyNumberFormat="1" applyBorder="1"/>
    <xf numFmtId="0" fontId="0" fillId="2" borderId="1" xfId="0" applyFill="1" applyBorder="1"/>
    <xf numFmtId="10" fontId="0" fillId="0" borderId="1" xfId="0" applyNumberFormat="1" applyBorder="1"/>
    <xf numFmtId="176" fontId="0" fillId="0" borderId="5" xfId="0" applyNumberFormat="1" applyBorder="1"/>
    <xf numFmtId="0" fontId="0" fillId="2" borderId="5" xfId="0" applyFill="1" applyBorder="1"/>
    <xf numFmtId="10" fontId="0" fillId="0" borderId="5" xfId="0" applyNumberFormat="1" applyBorder="1"/>
    <xf numFmtId="176" fontId="0" fillId="0" borderId="2" xfId="0" applyNumberFormat="1" applyBorder="1"/>
    <xf numFmtId="0" fontId="0" fillId="2" borderId="2" xfId="0" applyFill="1" applyBorder="1"/>
    <xf numFmtId="10" fontId="0" fillId="0" borderId="2" xfId="0" applyNumberFormat="1" applyBorder="1"/>
    <xf numFmtId="176" fontId="0" fillId="0" borderId="3" xfId="0" applyNumberFormat="1" applyBorder="1"/>
    <xf numFmtId="0" fontId="0" fillId="2" borderId="3" xfId="0" applyFill="1" applyBorder="1"/>
    <xf numFmtId="10" fontId="0" fillId="0" borderId="3" xfId="0" applyNumberFormat="1" applyBorder="1"/>
    <xf numFmtId="0" fontId="0" fillId="4" borderId="0" xfId="0" applyFill="1" applyBorder="1" applyAlignment="1">
      <alignment horizontal="center" vertical="center" wrapText="1"/>
    </xf>
    <xf numFmtId="0" fontId="0" fillId="4" borderId="6" xfId="0" applyFill="1" applyBorder="1" applyAlignment="1">
      <alignment horizontal="center" vertical="center" wrapText="1"/>
    </xf>
    <xf numFmtId="177" fontId="0" fillId="0" borderId="1" xfId="0" applyNumberFormat="1" applyBorder="1" applyAlignment="1">
      <alignment horizontal="center" vertical="center" wrapText="1"/>
    </xf>
    <xf numFmtId="177" fontId="0" fillId="0" borderId="2" xfId="0" applyNumberFormat="1" applyBorder="1" applyAlignment="1">
      <alignment horizontal="center" vertical="center" wrapText="1"/>
    </xf>
    <xf numFmtId="177" fontId="0" fillId="0" borderId="3" xfId="0" applyNumberFormat="1" applyBorder="1" applyAlignment="1">
      <alignment horizontal="center" vertical="center" wrapText="1"/>
    </xf>
    <xf numFmtId="177" fontId="0" fillId="0" borderId="5" xfId="0" applyNumberFormat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0" fillId="4" borderId="0" xfId="0" applyFill="1" applyAlignment="1">
      <alignment horizontal="center" vertical="center" wrapText="1"/>
    </xf>
    <xf numFmtId="0" fontId="2" fillId="0" borderId="1" xfId="0" applyFont="1" applyFill="1" applyBorder="1" applyAlignment="1">
      <alignment horizontal="center" vertical="center" wrapText="1"/>
    </xf>
    <xf numFmtId="178" fontId="0" fillId="0" borderId="1" xfId="0" applyNumberFormat="1" applyFont="1" applyBorder="1" applyAlignment="1">
      <alignment horizontal="center" vertical="center" wrapText="1"/>
    </xf>
    <xf numFmtId="177" fontId="0" fillId="0" borderId="1" xfId="0" applyNumberFormat="1" applyFont="1" applyBorder="1" applyAlignment="1">
      <alignment horizontal="center" vertical="center" wrapText="1"/>
    </xf>
    <xf numFmtId="178" fontId="0" fillId="0" borderId="2" xfId="0" applyNumberFormat="1" applyFont="1" applyBorder="1" applyAlignment="1">
      <alignment horizontal="center" vertical="center" wrapText="1"/>
    </xf>
    <xf numFmtId="177" fontId="0" fillId="0" borderId="2" xfId="0" applyNumberFormat="1" applyFont="1" applyBorder="1" applyAlignment="1">
      <alignment horizontal="center" vertical="center" wrapText="1"/>
    </xf>
    <xf numFmtId="178" fontId="0" fillId="0" borderId="5" xfId="0" applyNumberFormat="1" applyFont="1" applyBorder="1" applyAlignment="1">
      <alignment horizontal="center" vertical="center" wrapText="1"/>
    </xf>
    <xf numFmtId="177" fontId="0" fillId="0" borderId="5" xfId="0" applyNumberFormat="1" applyFont="1" applyBorder="1" applyAlignment="1">
      <alignment horizontal="center" vertical="center" wrapText="1"/>
    </xf>
    <xf numFmtId="0" fontId="2" fillId="0" borderId="7" xfId="0" applyFont="1" applyFill="1" applyBorder="1" applyAlignment="1">
      <alignment horizontal="center" vertical="center" wrapText="1"/>
    </xf>
    <xf numFmtId="0" fontId="2" fillId="0" borderId="8" xfId="0" applyFont="1" applyFill="1" applyBorder="1" applyAlignment="1">
      <alignment horizontal="center" vertical="center" wrapText="1"/>
    </xf>
    <xf numFmtId="0" fontId="2" fillId="0" borderId="9" xfId="0" applyFont="1" applyFill="1" applyBorder="1" applyAlignment="1">
      <alignment horizontal="center" vertical="center" wrapText="1"/>
    </xf>
    <xf numFmtId="176" fontId="0" fillId="0" borderId="1" xfId="0" applyNumberFormat="1" applyBorder="1" applyAlignment="1">
      <alignment horizontal="center" vertical="center"/>
    </xf>
    <xf numFmtId="176" fontId="0" fillId="0" borderId="2" xfId="0" applyNumberFormat="1" applyBorder="1" applyAlignment="1">
      <alignment horizontal="center" vertical="center"/>
    </xf>
    <xf numFmtId="176" fontId="0" fillId="0" borderId="1" xfId="0" applyNumberFormat="1" applyFill="1" applyBorder="1" applyAlignment="1">
      <alignment horizontal="center" vertical="center"/>
    </xf>
    <xf numFmtId="176" fontId="0" fillId="0" borderId="3" xfId="0" applyNumberFormat="1" applyFill="1" applyBorder="1" applyAlignment="1">
      <alignment horizontal="center" vertical="center"/>
    </xf>
    <xf numFmtId="176" fontId="0" fillId="0" borderId="2" xfId="0" applyNumberFormat="1" applyFill="1" applyBorder="1" applyAlignment="1">
      <alignment horizontal="center" vertical="center"/>
    </xf>
    <xf numFmtId="177" fontId="0" fillId="0" borderId="10" xfId="0" applyNumberFormat="1" applyFont="1" applyBorder="1" applyAlignment="1">
      <alignment horizontal="center" vertical="center" wrapText="1"/>
    </xf>
    <xf numFmtId="176" fontId="0" fillId="0" borderId="5" xfId="0" applyNumberFormat="1" applyFill="1" applyBorder="1" applyAlignment="1">
      <alignment horizontal="center" vertical="center"/>
    </xf>
    <xf numFmtId="0" fontId="2" fillId="0" borderId="3" xfId="0" applyFont="1" applyBorder="1" applyAlignment="1">
      <alignment horizontal="center" vertical="center" wrapText="1"/>
    </xf>
    <xf numFmtId="177" fontId="0" fillId="0" borderId="1" xfId="0" applyNumberFormat="1" applyFont="1" applyFill="1" applyBorder="1" applyAlignment="1">
      <alignment horizontal="center" vertical="center" wrapText="1"/>
    </xf>
    <xf numFmtId="176" fontId="0" fillId="0" borderId="1" xfId="0" applyNumberFormat="1" applyFont="1" applyFill="1" applyBorder="1" applyAlignment="1">
      <alignment horizontal="center" vertical="center" wrapText="1"/>
    </xf>
    <xf numFmtId="10" fontId="0" fillId="0" borderId="1" xfId="0" applyNumberFormat="1" applyFont="1" applyFill="1" applyBorder="1" applyAlignment="1">
      <alignment horizontal="center" vertical="center" wrapText="1"/>
    </xf>
    <xf numFmtId="177" fontId="0" fillId="0" borderId="4" xfId="0" applyNumberFormat="1" applyFont="1" applyBorder="1" applyAlignment="1">
      <alignment horizontal="center" vertical="center" wrapText="1"/>
    </xf>
    <xf numFmtId="177" fontId="0" fillId="0" borderId="4" xfId="0" applyNumberFormat="1" applyFont="1" applyFill="1" applyBorder="1" applyAlignment="1">
      <alignment horizontal="center" vertical="center" wrapText="1"/>
    </xf>
    <xf numFmtId="176" fontId="0" fillId="0" borderId="4" xfId="0" applyNumberFormat="1" applyFont="1" applyFill="1" applyBorder="1" applyAlignment="1">
      <alignment horizontal="center" vertical="center" wrapText="1"/>
    </xf>
    <xf numFmtId="10" fontId="0" fillId="0" borderId="4" xfId="0" applyNumberFormat="1" applyFont="1" applyFill="1" applyBorder="1" applyAlignment="1">
      <alignment horizontal="center" vertical="center" wrapText="1"/>
    </xf>
    <xf numFmtId="177" fontId="0" fillId="0" borderId="3" xfId="0" applyNumberFormat="1" applyFont="1" applyBorder="1" applyAlignment="1">
      <alignment horizontal="center" vertical="center" wrapText="1"/>
    </xf>
    <xf numFmtId="177" fontId="0" fillId="0" borderId="3" xfId="0" applyNumberFormat="1" applyFont="1" applyFill="1" applyBorder="1" applyAlignment="1">
      <alignment horizontal="center" vertical="center" wrapText="1"/>
    </xf>
    <xf numFmtId="176" fontId="0" fillId="0" borderId="3" xfId="0" applyNumberFormat="1" applyFont="1" applyFill="1" applyBorder="1" applyAlignment="1">
      <alignment horizontal="center" vertical="center" wrapText="1"/>
    </xf>
    <xf numFmtId="10" fontId="0" fillId="0" borderId="3" xfId="0" applyNumberFormat="1" applyFont="1" applyFill="1" applyBorder="1" applyAlignment="1">
      <alignment horizontal="center" vertical="center" wrapText="1"/>
    </xf>
    <xf numFmtId="0" fontId="0" fillId="0" borderId="0" xfId="0" applyFont="1" applyAlignment="1">
      <alignment horizontal="center"/>
    </xf>
    <xf numFmtId="0" fontId="3" fillId="0" borderId="7" xfId="0" applyFont="1" applyBorder="1" applyAlignment="1">
      <alignment horizontal="center" vertical="center" wrapText="1"/>
    </xf>
    <xf numFmtId="0" fontId="3" fillId="0" borderId="9" xfId="0" applyFont="1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 wrapText="1"/>
    </xf>
    <xf numFmtId="0" fontId="3" fillId="0" borderId="1" xfId="0" applyFont="1" applyBorder="1" applyAlignment="1">
      <alignment horizontal="center" vertical="center" wrapText="1"/>
    </xf>
    <xf numFmtId="0" fontId="3" fillId="0" borderId="3" xfId="0" applyFont="1" applyBorder="1" applyAlignment="1">
      <alignment horizontal="center" vertical="center" wrapText="1"/>
    </xf>
    <xf numFmtId="0" fontId="0" fillId="2" borderId="0" xfId="0" applyFill="1"/>
    <xf numFmtId="0" fontId="4" fillId="2" borderId="11" xfId="0" applyFont="1" applyFill="1" applyBorder="1" applyAlignment="1">
      <alignment horizontal="center" vertical="center" wrapText="1"/>
    </xf>
    <xf numFmtId="0" fontId="0" fillId="5" borderId="0" xfId="0" applyFill="1" applyAlignment="1">
      <alignment horizontal="center"/>
    </xf>
    <xf numFmtId="0" fontId="0" fillId="5" borderId="12" xfId="0" applyFill="1" applyBorder="1" applyAlignment="1">
      <alignment horizontal="center" vertical="center"/>
    </xf>
    <xf numFmtId="10" fontId="0" fillId="5" borderId="12" xfId="0" applyNumberFormat="1" applyFill="1" applyBorder="1" applyAlignment="1">
      <alignment horizontal="center" vertical="center"/>
    </xf>
    <xf numFmtId="0" fontId="4" fillId="2" borderId="13" xfId="0" applyFont="1" applyFill="1" applyBorder="1" applyAlignment="1">
      <alignment horizontal="center" vertical="center" wrapText="1"/>
    </xf>
    <xf numFmtId="0" fontId="0" fillId="5" borderId="0" xfId="0" applyFill="1" applyAlignment="1">
      <alignment horizontal="center" vertical="center"/>
    </xf>
    <xf numFmtId="10" fontId="0" fillId="5" borderId="0" xfId="0" applyNumberFormat="1" applyFill="1" applyAlignment="1">
      <alignment horizontal="center" vertical="center"/>
    </xf>
    <xf numFmtId="0" fontId="4" fillId="2" borderId="14" xfId="0" applyFont="1" applyFill="1" applyBorder="1" applyAlignment="1">
      <alignment horizontal="center" vertical="center" wrapText="1"/>
    </xf>
    <xf numFmtId="2" fontId="0" fillId="2" borderId="1" xfId="0" applyNumberFormat="1" applyFill="1" applyBorder="1" applyAlignment="1">
      <alignment horizontal="center" vertical="center" wrapText="1"/>
    </xf>
    <xf numFmtId="2" fontId="0" fillId="2" borderId="2" xfId="0" applyNumberFormat="1" applyFill="1" applyBorder="1" applyAlignment="1">
      <alignment horizontal="center" vertical="center" wrapText="1"/>
    </xf>
    <xf numFmtId="2" fontId="0" fillId="2" borderId="3" xfId="0" applyNumberFormat="1" applyFill="1" applyBorder="1" applyAlignment="1">
      <alignment horizontal="center" vertical="center" wrapText="1"/>
    </xf>
    <xf numFmtId="0" fontId="0" fillId="5" borderId="0" xfId="0" applyFill="1"/>
    <xf numFmtId="177" fontId="0" fillId="5" borderId="3" xfId="0" applyNumberFormat="1" applyFill="1" applyBorder="1" applyAlignment="1">
      <alignment horizontal="center" vertical="center" wrapText="1"/>
    </xf>
    <xf numFmtId="177" fontId="0" fillId="5" borderId="2" xfId="0" applyNumberFormat="1" applyFill="1" applyBorder="1" applyAlignment="1">
      <alignment horizontal="center" vertical="center" wrapText="1"/>
    </xf>
    <xf numFmtId="177" fontId="0" fillId="5" borderId="5" xfId="0" applyNumberFormat="1" applyFill="1" applyBorder="1" applyAlignment="1">
      <alignment horizontal="center" vertical="center" wrapText="1"/>
    </xf>
    <xf numFmtId="177" fontId="0" fillId="5" borderId="1" xfId="0" applyNumberFormat="1" applyFill="1" applyBorder="1" applyAlignment="1">
      <alignment horizontal="center" vertical="center" wrapText="1"/>
    </xf>
    <xf numFmtId="0" fontId="0" fillId="4" borderId="0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6" xfId="0" applyBorder="1" applyAlignment="1">
      <alignment horizontal="center" vertical="center" wrapText="1"/>
    </xf>
    <xf numFmtId="177" fontId="0" fillId="2" borderId="1" xfId="0" applyNumberFormat="1" applyFont="1" applyFill="1" applyBorder="1" applyAlignment="1">
      <alignment horizontal="center" vertical="center" wrapText="1"/>
    </xf>
    <xf numFmtId="178" fontId="0" fillId="5" borderId="1" xfId="0" applyNumberFormat="1" applyFont="1" applyFill="1" applyBorder="1" applyAlignment="1">
      <alignment horizontal="center" vertical="center" wrapText="1"/>
    </xf>
    <xf numFmtId="176" fontId="0" fillId="5" borderId="1" xfId="0" applyNumberFormat="1" applyFont="1" applyFill="1" applyBorder="1" applyAlignment="1">
      <alignment horizontal="center" vertical="center" wrapText="1"/>
    </xf>
    <xf numFmtId="178" fontId="0" fillId="5" borderId="2" xfId="0" applyNumberFormat="1" applyFont="1" applyFill="1" applyBorder="1" applyAlignment="1">
      <alignment horizontal="center" vertical="center" wrapText="1"/>
    </xf>
    <xf numFmtId="176" fontId="0" fillId="5" borderId="2" xfId="0" applyNumberFormat="1" applyFont="1" applyFill="1" applyBorder="1" applyAlignment="1">
      <alignment horizontal="center" vertical="center" wrapText="1"/>
    </xf>
    <xf numFmtId="178" fontId="0" fillId="5" borderId="5" xfId="0" applyNumberFormat="1" applyFont="1" applyFill="1" applyBorder="1" applyAlignment="1">
      <alignment horizontal="center" vertical="center" wrapText="1"/>
    </xf>
    <xf numFmtId="176" fontId="0" fillId="5" borderId="5" xfId="0" applyNumberFormat="1" applyFont="1" applyFill="1" applyBorder="1" applyAlignment="1">
      <alignment horizontal="center" vertical="center" wrapText="1"/>
    </xf>
    <xf numFmtId="0" fontId="0" fillId="0" borderId="0" xfId="0" applyFill="1" applyAlignment="1">
      <alignment horizontal="center" vertical="center" wrapText="1"/>
    </xf>
    <xf numFmtId="0" fontId="0" fillId="0" borderId="6" xfId="0" applyFill="1" applyBorder="1" applyAlignment="1">
      <alignment horizontal="center" vertical="center" wrapText="1"/>
    </xf>
    <xf numFmtId="176" fontId="0" fillId="5" borderId="1" xfId="0" applyNumberFormat="1" applyFill="1" applyBorder="1" applyAlignment="1">
      <alignment horizontal="center" vertical="center" wrapText="1"/>
    </xf>
    <xf numFmtId="176" fontId="0" fillId="5" borderId="1" xfId="0" applyNumberFormat="1" applyFill="1" applyBorder="1" applyAlignment="1">
      <alignment horizontal="center" vertical="center"/>
    </xf>
    <xf numFmtId="176" fontId="0" fillId="5" borderId="2" xfId="0" applyNumberFormat="1" applyFill="1" applyBorder="1" applyAlignment="1">
      <alignment horizontal="center" vertical="center"/>
    </xf>
    <xf numFmtId="176" fontId="0" fillId="5" borderId="3" xfId="0" applyNumberFormat="1" applyFill="1" applyBorder="1" applyAlignment="1">
      <alignment horizontal="center" vertical="center"/>
    </xf>
    <xf numFmtId="176" fontId="0" fillId="5" borderId="10" xfId="0" applyNumberFormat="1" applyFont="1" applyFill="1" applyBorder="1" applyAlignment="1">
      <alignment horizontal="center" vertical="center" wrapText="1"/>
    </xf>
    <xf numFmtId="176" fontId="0" fillId="5" borderId="5" xfId="0" applyNumberFormat="1" applyFill="1" applyBorder="1" applyAlignment="1">
      <alignment horizontal="center" vertical="center"/>
    </xf>
    <xf numFmtId="177" fontId="0" fillId="5" borderId="1" xfId="0" applyNumberFormat="1" applyFont="1" applyFill="1" applyBorder="1" applyAlignment="1">
      <alignment horizontal="center" vertical="center" wrapText="1"/>
    </xf>
    <xf numFmtId="10" fontId="0" fillId="5" borderId="1" xfId="0" applyNumberFormat="1" applyFont="1" applyFill="1" applyBorder="1" applyAlignment="1">
      <alignment horizontal="center" vertical="center" wrapText="1"/>
    </xf>
    <xf numFmtId="177" fontId="0" fillId="5" borderId="4" xfId="0" applyNumberFormat="1" applyFont="1" applyFill="1" applyBorder="1" applyAlignment="1">
      <alignment horizontal="center" vertical="center" wrapText="1"/>
    </xf>
    <xf numFmtId="176" fontId="0" fillId="5" borderId="4" xfId="0" applyNumberFormat="1" applyFont="1" applyFill="1" applyBorder="1" applyAlignment="1">
      <alignment horizontal="center" vertical="center" wrapText="1"/>
    </xf>
    <xf numFmtId="10" fontId="0" fillId="5" borderId="4" xfId="0" applyNumberFormat="1" applyFont="1" applyFill="1" applyBorder="1" applyAlignment="1">
      <alignment horizontal="center" vertical="center" wrapText="1"/>
    </xf>
    <xf numFmtId="177" fontId="0" fillId="5" borderId="3" xfId="0" applyNumberFormat="1" applyFont="1" applyFill="1" applyBorder="1" applyAlignment="1">
      <alignment horizontal="center" vertical="center" wrapText="1"/>
    </xf>
    <xf numFmtId="176" fontId="0" fillId="5" borderId="3" xfId="0" applyNumberFormat="1" applyFont="1" applyFill="1" applyBorder="1" applyAlignment="1">
      <alignment horizontal="center" vertical="center" wrapText="1"/>
    </xf>
    <xf numFmtId="10" fontId="0" fillId="5" borderId="3" xfId="0" applyNumberFormat="1" applyFont="1" applyFill="1" applyBorder="1" applyAlignment="1">
      <alignment horizontal="center" vertical="center" wrapText="1"/>
    </xf>
    <xf numFmtId="2" fontId="0" fillId="2" borderId="0" xfId="0" applyNumberFormat="1" applyFill="1" applyAlignment="1">
      <alignment horizontal="center"/>
    </xf>
    <xf numFmtId="0" fontId="0" fillId="5" borderId="1" xfId="0" applyFill="1" applyBorder="1"/>
    <xf numFmtId="0" fontId="0" fillId="5" borderId="1" xfId="0" applyFill="1" applyBorder="1" applyAlignment="1">
      <alignment horizontal="center"/>
    </xf>
    <xf numFmtId="177" fontId="0" fillId="5" borderId="4" xfId="0" applyNumberFormat="1" applyFill="1" applyBorder="1" applyAlignment="1">
      <alignment horizontal="center" vertical="center" wrapText="1"/>
    </xf>
    <xf numFmtId="176" fontId="0" fillId="5" borderId="4" xfId="0" applyNumberFormat="1" applyFill="1" applyBorder="1" applyAlignment="1">
      <alignment horizontal="center" vertical="center" wrapText="1"/>
    </xf>
    <xf numFmtId="0" fontId="0" fillId="5" borderId="4" xfId="0" applyFill="1" applyBorder="1" applyAlignment="1">
      <alignment horizontal="center"/>
    </xf>
    <xf numFmtId="176" fontId="0" fillId="5" borderId="5" xfId="0" applyNumberFormat="1" applyFill="1" applyBorder="1" applyAlignment="1">
      <alignment horizontal="center" vertical="center" wrapText="1"/>
    </xf>
    <xf numFmtId="176" fontId="0" fillId="5" borderId="2" xfId="0" applyNumberFormat="1" applyFill="1" applyBorder="1" applyAlignment="1">
      <alignment horizontal="center" vertical="center" wrapText="1"/>
    </xf>
    <xf numFmtId="176" fontId="0" fillId="5" borderId="3" xfId="0" applyNumberFormat="1" applyFill="1" applyBorder="1" applyAlignment="1">
      <alignment horizontal="center" vertical="center" wrapText="1"/>
    </xf>
    <xf numFmtId="176" fontId="0" fillId="5" borderId="1" xfId="0" applyNumberFormat="1" applyFill="1" applyBorder="1"/>
    <xf numFmtId="10" fontId="0" fillId="5" borderId="1" xfId="0" applyNumberFormat="1" applyFill="1" applyBorder="1"/>
    <xf numFmtId="176" fontId="0" fillId="5" borderId="5" xfId="0" applyNumberFormat="1" applyFill="1" applyBorder="1"/>
    <xf numFmtId="0" fontId="0" fillId="5" borderId="5" xfId="0" applyFill="1" applyBorder="1"/>
    <xf numFmtId="10" fontId="0" fillId="5" borderId="5" xfId="0" applyNumberFormat="1" applyFill="1" applyBorder="1"/>
    <xf numFmtId="176" fontId="0" fillId="5" borderId="2" xfId="0" applyNumberFormat="1" applyFill="1" applyBorder="1"/>
    <xf numFmtId="0" fontId="0" fillId="5" borderId="2" xfId="0" applyFill="1" applyBorder="1"/>
    <xf numFmtId="10" fontId="0" fillId="5" borderId="2" xfId="0" applyNumberFormat="1" applyFill="1" applyBorder="1"/>
    <xf numFmtId="176" fontId="0" fillId="5" borderId="3" xfId="0" applyNumberFormat="1" applyFill="1" applyBorder="1"/>
    <xf numFmtId="0" fontId="0" fillId="5" borderId="3" xfId="0" applyFill="1" applyBorder="1"/>
    <xf numFmtId="10" fontId="0" fillId="5" borderId="3" xfId="0" applyNumberFormat="1" applyFill="1" applyBorder="1"/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8" Type="http://schemas.openxmlformats.org/officeDocument/2006/relationships/worksheet" Target="worksheets/sheet8.xml"/><Relationship Id="rId7" Type="http://schemas.openxmlformats.org/officeDocument/2006/relationships/worksheet" Target="worksheets/sheet7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3" Type="http://schemas.microsoft.com/office/2006/relationships/vbaProject" Target="vbaProject.bin"/><Relationship Id="rId12" Type="http://schemas.openxmlformats.org/officeDocument/2006/relationships/sharedStrings" Target="sharedStrings.xml"/><Relationship Id="rId11" Type="http://schemas.openxmlformats.org/officeDocument/2006/relationships/styles" Target="styles.xml"/><Relationship Id="rId10" Type="http://schemas.openxmlformats.org/officeDocument/2006/relationships/theme" Target="theme/theme1.xml"/><Relationship Id="rId1" Type="http://schemas.openxmlformats.org/officeDocument/2006/relationships/worksheet" Target="worksheets/sheet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草稿!$B$1</c:f>
              <c:strCache>
                <c:ptCount val="1"/>
                <c:pt idx="0">
                  <c:v>弹性变形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xVal>
            <c:strRef>
              <c:f>草稿!$A$2:$A$11</c:f>
              <c:strCache>
                <c:ptCount val="10"/>
                <c:pt idx="0">
                  <c:v>Z5</c:v>
                </c:pt>
                <c:pt idx="1">
                  <c:v>Z6</c:v>
                </c:pt>
                <c:pt idx="2">
                  <c:v>Z7</c:v>
                </c:pt>
                <c:pt idx="3">
                  <c:v>Z8</c:v>
                </c:pt>
                <c:pt idx="4">
                  <c:v>Z9</c:v>
                </c:pt>
                <c:pt idx="5">
                  <c:v>Z10</c:v>
                </c:pt>
                <c:pt idx="6">
                  <c:v>Z11</c:v>
                </c:pt>
                <c:pt idx="7">
                  <c:v>Z12</c:v>
                </c:pt>
                <c:pt idx="8">
                  <c:v>Z13</c:v>
                </c:pt>
                <c:pt idx="9">
                  <c:v>Z14</c:v>
                </c:pt>
              </c:strCache>
            </c:strRef>
          </c:xVal>
          <c:yVal>
            <c:numRef>
              <c:f>草稿!$B$2:$B$11</c:f>
              <c:numCache>
                <c:formatCode>General</c:formatCode>
                <c:ptCount val="10"/>
                <c:pt idx="0">
                  <c:v>0.97</c:v>
                </c:pt>
                <c:pt idx="1">
                  <c:v>1.28</c:v>
                </c:pt>
                <c:pt idx="2">
                  <c:v>1.64</c:v>
                </c:pt>
                <c:pt idx="3">
                  <c:v>2.03</c:v>
                </c:pt>
                <c:pt idx="4">
                  <c:v>2.5</c:v>
                </c:pt>
                <c:pt idx="5">
                  <c:v>2.8</c:v>
                </c:pt>
                <c:pt idx="6">
                  <c:v>3.28</c:v>
                </c:pt>
                <c:pt idx="7">
                  <c:v>3.1</c:v>
                </c:pt>
                <c:pt idx="8">
                  <c:v>2.77</c:v>
                </c:pt>
                <c:pt idx="9">
                  <c:v>2.8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草稿!$C$1</c:f>
              <c:strCache>
                <c:ptCount val="1"/>
                <c:pt idx="0">
                  <c:v>理论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xVal>
            <c:strRef>
              <c:f>草稿!$A$2:$A$11</c:f>
              <c:strCache>
                <c:ptCount val="10"/>
                <c:pt idx="0">
                  <c:v>Z5</c:v>
                </c:pt>
                <c:pt idx="1">
                  <c:v>Z6</c:v>
                </c:pt>
                <c:pt idx="2">
                  <c:v>Z7</c:v>
                </c:pt>
                <c:pt idx="3">
                  <c:v>Z8</c:v>
                </c:pt>
                <c:pt idx="4">
                  <c:v>Z9</c:v>
                </c:pt>
                <c:pt idx="5">
                  <c:v>Z10</c:v>
                </c:pt>
                <c:pt idx="6">
                  <c:v>Z11</c:v>
                </c:pt>
                <c:pt idx="7">
                  <c:v>Z12</c:v>
                </c:pt>
                <c:pt idx="8">
                  <c:v>Z13</c:v>
                </c:pt>
                <c:pt idx="9">
                  <c:v>Z14</c:v>
                </c:pt>
              </c:strCache>
            </c:strRef>
          </c:xVal>
          <c:yVal>
            <c:numRef>
              <c:f>草稿!$C$2:$C$11</c:f>
              <c:numCache>
                <c:formatCode>General</c:formatCode>
                <c:ptCount val="10"/>
                <c:pt idx="0">
                  <c:v>2.342</c:v>
                </c:pt>
                <c:pt idx="1">
                  <c:v>3.079</c:v>
                </c:pt>
                <c:pt idx="2">
                  <c:v>4.008</c:v>
                </c:pt>
                <c:pt idx="3">
                  <c:v>5.16</c:v>
                </c:pt>
                <c:pt idx="4">
                  <c:v>5.953</c:v>
                </c:pt>
                <c:pt idx="5">
                  <c:v>6.742</c:v>
                </c:pt>
                <c:pt idx="6">
                  <c:v>7.048</c:v>
                </c:pt>
                <c:pt idx="7">
                  <c:v>7.268</c:v>
                </c:pt>
                <c:pt idx="8">
                  <c:v>6.793</c:v>
                </c:pt>
                <c:pt idx="9">
                  <c:v>6.702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83717025"/>
        <c:axId val="771006398"/>
      </c:scatterChart>
      <c:valAx>
        <c:axId val="68371702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测点号</a:t>
                </a:r>
                <a:endParaRPr lang="zh-CN" altLang="en-US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771006398"/>
        <c:crosses val="autoZero"/>
        <c:crossBetween val="midCat"/>
      </c:valAx>
      <c:valAx>
        <c:axId val="77100639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挠度值（</a:t>
                </a:r>
                <a:r>
                  <a:rPr lang="en-US" altLang="zh-CN"/>
                  <a:t>mm</a:t>
                </a:r>
                <a:r>
                  <a:rPr lang="en-US" altLang="en-US">
                    <a:ea typeface="宋体" panose="02010600030101010101" pitchFamily="7" charset="-122"/>
                  </a:rPr>
                  <a:t>）</a:t>
                </a:r>
                <a:endParaRPr lang="en-US" altLang="en-US">
                  <a:ea typeface="宋体" panose="02010600030101010101" pitchFamily="7" charset="-122"/>
                </a:endParaRP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#,##0.00_ 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68371702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184444444444444"/>
          <c:y val="0.0927083333333333"/>
        </c:manualLayout>
      </c:layout>
      <c:overlay val="1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草稿!$B$1</c:f>
              <c:strCache>
                <c:ptCount val="1"/>
                <c:pt idx="0">
                  <c:v>弹性变形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xVal>
            <c:strRef>
              <c:f>草稿!$A$2:$A$11</c:f>
              <c:strCache>
                <c:ptCount val="10"/>
                <c:pt idx="0">
                  <c:v>Z5</c:v>
                </c:pt>
                <c:pt idx="1">
                  <c:v>Z6</c:v>
                </c:pt>
                <c:pt idx="2">
                  <c:v>Z7</c:v>
                </c:pt>
                <c:pt idx="3">
                  <c:v>Z8</c:v>
                </c:pt>
                <c:pt idx="4">
                  <c:v>Z9</c:v>
                </c:pt>
                <c:pt idx="5">
                  <c:v>Z10</c:v>
                </c:pt>
                <c:pt idx="6">
                  <c:v>Z11</c:v>
                </c:pt>
                <c:pt idx="7">
                  <c:v>Z12</c:v>
                </c:pt>
                <c:pt idx="8">
                  <c:v>Z13</c:v>
                </c:pt>
                <c:pt idx="9">
                  <c:v>Z14</c:v>
                </c:pt>
              </c:strCache>
            </c:strRef>
          </c:xVal>
          <c:yVal>
            <c:numRef>
              <c:f>草稿!$B$2:$B$11</c:f>
              <c:numCache>
                <c:formatCode>General</c:formatCode>
                <c:ptCount val="10"/>
                <c:pt idx="0">
                  <c:v>0.97</c:v>
                </c:pt>
                <c:pt idx="1">
                  <c:v>1.28</c:v>
                </c:pt>
                <c:pt idx="2">
                  <c:v>1.64</c:v>
                </c:pt>
                <c:pt idx="3">
                  <c:v>2.03</c:v>
                </c:pt>
                <c:pt idx="4">
                  <c:v>2.5</c:v>
                </c:pt>
                <c:pt idx="5">
                  <c:v>2.8</c:v>
                </c:pt>
                <c:pt idx="6">
                  <c:v>3.28</c:v>
                </c:pt>
                <c:pt idx="7">
                  <c:v>3.1</c:v>
                </c:pt>
                <c:pt idx="8">
                  <c:v>2.77</c:v>
                </c:pt>
                <c:pt idx="9">
                  <c:v>2.8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草稿!$C$1</c:f>
              <c:strCache>
                <c:ptCount val="1"/>
                <c:pt idx="0">
                  <c:v>理论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xVal>
            <c:strRef>
              <c:f>草稿!$A$2:$A$11</c:f>
              <c:strCache>
                <c:ptCount val="10"/>
                <c:pt idx="0">
                  <c:v>Z5</c:v>
                </c:pt>
                <c:pt idx="1">
                  <c:v>Z6</c:v>
                </c:pt>
                <c:pt idx="2">
                  <c:v>Z7</c:v>
                </c:pt>
                <c:pt idx="3">
                  <c:v>Z8</c:v>
                </c:pt>
                <c:pt idx="4">
                  <c:v>Z9</c:v>
                </c:pt>
                <c:pt idx="5">
                  <c:v>Z10</c:v>
                </c:pt>
                <c:pt idx="6">
                  <c:v>Z11</c:v>
                </c:pt>
                <c:pt idx="7">
                  <c:v>Z12</c:v>
                </c:pt>
                <c:pt idx="8">
                  <c:v>Z13</c:v>
                </c:pt>
                <c:pt idx="9">
                  <c:v>Z14</c:v>
                </c:pt>
              </c:strCache>
            </c:strRef>
          </c:xVal>
          <c:yVal>
            <c:numRef>
              <c:f>草稿!$C$2:$C$11</c:f>
              <c:numCache>
                <c:formatCode>General</c:formatCode>
                <c:ptCount val="10"/>
                <c:pt idx="0">
                  <c:v>2.342</c:v>
                </c:pt>
                <c:pt idx="1">
                  <c:v>3.079</c:v>
                </c:pt>
                <c:pt idx="2">
                  <c:v>4.008</c:v>
                </c:pt>
                <c:pt idx="3">
                  <c:v>5.16</c:v>
                </c:pt>
                <c:pt idx="4">
                  <c:v>5.953</c:v>
                </c:pt>
                <c:pt idx="5">
                  <c:v>6.742</c:v>
                </c:pt>
                <c:pt idx="6">
                  <c:v>7.048</c:v>
                </c:pt>
                <c:pt idx="7">
                  <c:v>7.268</c:v>
                </c:pt>
                <c:pt idx="8">
                  <c:v>6.793</c:v>
                </c:pt>
                <c:pt idx="9">
                  <c:v>6.702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92926960"/>
        <c:axId val="604775472"/>
      </c:scatterChart>
      <c:valAx>
        <c:axId val="5929269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测点号</a:t>
                </a:r>
                <a:endParaRPr lang="zh-CN" altLang="en-US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604775472"/>
        <c:crosses val="autoZero"/>
        <c:crossBetween val="midCat"/>
      </c:valAx>
      <c:valAx>
        <c:axId val="6047754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挠度值（</a:t>
                </a:r>
                <a:r>
                  <a:rPr lang="en-US" altLang="zh-CN"/>
                  <a:t>mm</a:t>
                </a:r>
                <a:r>
                  <a:rPr lang="zh-CN" altLang="en-US"/>
                  <a:t>）</a:t>
                </a:r>
                <a:endParaRPr lang="zh-CN" altLang="en-US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59292696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175"/>
          <c:y val="0.204200933216681"/>
          <c:w val="0.183333333333333"/>
          <c:h val="0.156251093613298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草稿!$E$1</c:f>
              <c:strCache>
                <c:ptCount val="1"/>
                <c:pt idx="0">
                  <c:v>弹性变形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strRef>
              <c:f>草稿!$D$2:$D$11</c:f>
              <c:strCache>
                <c:ptCount val="10"/>
                <c:pt idx="0">
                  <c:v>Z5</c:v>
                </c:pt>
                <c:pt idx="1">
                  <c:v>Z6</c:v>
                </c:pt>
                <c:pt idx="2">
                  <c:v>Z7</c:v>
                </c:pt>
                <c:pt idx="3">
                  <c:v>Z8</c:v>
                </c:pt>
                <c:pt idx="4">
                  <c:v>Z9</c:v>
                </c:pt>
                <c:pt idx="5">
                  <c:v>Z10</c:v>
                </c:pt>
                <c:pt idx="6">
                  <c:v>Z11</c:v>
                </c:pt>
                <c:pt idx="7">
                  <c:v>Z12</c:v>
                </c:pt>
                <c:pt idx="8">
                  <c:v>Z13</c:v>
                </c:pt>
                <c:pt idx="9">
                  <c:v>Z14</c:v>
                </c:pt>
              </c:strCache>
            </c:strRef>
          </c:cat>
          <c:val>
            <c:numRef>
              <c:f>草稿!$E$2:$E$11</c:f>
              <c:numCache>
                <c:formatCode>General</c:formatCode>
                <c:ptCount val="10"/>
                <c:pt idx="0">
                  <c:v>0.97</c:v>
                </c:pt>
                <c:pt idx="1">
                  <c:v>1.28</c:v>
                </c:pt>
                <c:pt idx="2">
                  <c:v>1.64</c:v>
                </c:pt>
                <c:pt idx="3">
                  <c:v>5</c:v>
                </c:pt>
                <c:pt idx="4">
                  <c:v>2.5</c:v>
                </c:pt>
                <c:pt idx="5">
                  <c:v>2.8</c:v>
                </c:pt>
                <c:pt idx="6">
                  <c:v>3.28</c:v>
                </c:pt>
                <c:pt idx="7">
                  <c:v>3.1</c:v>
                </c:pt>
                <c:pt idx="8">
                  <c:v>2.77</c:v>
                </c:pt>
                <c:pt idx="9">
                  <c:v>2.8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草稿!$F$1</c:f>
              <c:strCache>
                <c:ptCount val="1"/>
                <c:pt idx="0">
                  <c:v>理论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cat>
            <c:strRef>
              <c:f>草稿!$D$2:$D$11</c:f>
              <c:strCache>
                <c:ptCount val="10"/>
                <c:pt idx="0">
                  <c:v>Z5</c:v>
                </c:pt>
                <c:pt idx="1">
                  <c:v>Z6</c:v>
                </c:pt>
                <c:pt idx="2">
                  <c:v>Z7</c:v>
                </c:pt>
                <c:pt idx="3">
                  <c:v>Z8</c:v>
                </c:pt>
                <c:pt idx="4">
                  <c:v>Z9</c:v>
                </c:pt>
                <c:pt idx="5">
                  <c:v>Z10</c:v>
                </c:pt>
                <c:pt idx="6">
                  <c:v>Z11</c:v>
                </c:pt>
                <c:pt idx="7">
                  <c:v>Z12</c:v>
                </c:pt>
                <c:pt idx="8">
                  <c:v>Z13</c:v>
                </c:pt>
                <c:pt idx="9">
                  <c:v>Z14</c:v>
                </c:pt>
              </c:strCache>
            </c:strRef>
          </c:cat>
          <c:val>
            <c:numRef>
              <c:f>草稿!$F$2:$F$11</c:f>
              <c:numCache>
                <c:formatCode>General</c:formatCode>
                <c:ptCount val="10"/>
                <c:pt idx="0">
                  <c:v>2.342</c:v>
                </c:pt>
                <c:pt idx="1">
                  <c:v>3.079</c:v>
                </c:pt>
                <c:pt idx="2">
                  <c:v>4.008</c:v>
                </c:pt>
                <c:pt idx="3">
                  <c:v>5.16</c:v>
                </c:pt>
                <c:pt idx="4">
                  <c:v>5.953</c:v>
                </c:pt>
                <c:pt idx="5">
                  <c:v>6.742</c:v>
                </c:pt>
                <c:pt idx="6">
                  <c:v>7.048</c:v>
                </c:pt>
                <c:pt idx="7">
                  <c:v>7.268</c:v>
                </c:pt>
                <c:pt idx="8">
                  <c:v>6.793</c:v>
                </c:pt>
                <c:pt idx="9">
                  <c:v>6.702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4156077"/>
        <c:axId val="124674535"/>
      </c:lineChart>
      <c:catAx>
        <c:axId val="374156077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124674535"/>
        <c:crosses val="autoZero"/>
        <c:auto val="1"/>
        <c:lblAlgn val="ctr"/>
        <c:lblOffset val="100"/>
        <c:noMultiLvlLbl val="0"/>
      </c:catAx>
      <c:valAx>
        <c:axId val="1246745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37415607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0802083333333333"/>
          <c:y val="0.169212962962963"/>
        </c:manualLayout>
      </c:layout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val="0"/>
</file>

<file path=xl/ctrlProps/ctrlProp2.xml><?xml version="1.0" encoding="utf-8"?>
<formControlPr xmlns="http://schemas.microsoft.com/office/spreadsheetml/2009/9/main" objectType="Button" val="0"/>
</file>

<file path=xl/ctrlProps/ctrlProp3.xml><?xml version="1.0" encoding="utf-8"?>
<formControlPr xmlns="http://schemas.microsoft.com/office/spreadsheetml/2009/9/main" objectType="Radio" checked="Checked" noThreeD="1" val="0"/>
</file>

<file path=xl/ctrlProps/ctrlProp4.xml><?xml version="1.0" encoding="utf-8"?>
<formControlPr xmlns="http://schemas.microsoft.com/office/spreadsheetml/2009/9/main" objectType="GBox" noThreeD="1" val="0"/>
</file>

<file path=xl/ctrlProps/ctrlProp5.xml><?xml version="1.0" encoding="utf-8"?>
<formControlPr xmlns="http://schemas.microsoft.com/office/spreadsheetml/2009/9/main" objectType="Radio" noThreeD="1" val="0"/>
</file>

<file path=xl/ctrlProps/ctrlProp6.xml><?xml version="1.0" encoding="utf-8"?>
<formControlPr xmlns="http://schemas.microsoft.com/office/spreadsheetml/2009/9/main" objectType="Label" val="0"/>
</file>

<file path=xl/ctrlProps/ctrlProp7.xml><?xml version="1.0" encoding="utf-8"?>
<formControlPr xmlns="http://schemas.microsoft.com/office/spreadsheetml/2009/9/main" objectType="Label" val="0"/>
</file>

<file path=xl/ctrlProps/ctrlProp8.xml><?xml version="1.0" encoding="utf-8"?>
<formControlPr xmlns="http://schemas.microsoft.com/office/spreadsheetml/2009/9/main" objectType="Label" val="0"/>
</file>

<file path=xl/ctrlProps/ctrlProp9.xml><?xml version="1.0" encoding="utf-8"?>
<formControlPr xmlns="http://schemas.microsoft.com/office/spreadsheetml/2009/9/main" objectType="Button" val="0"/>
</file>

<file path=xl/ctrlProps/ctrlProp10.xml><?xml version="1.0" encoding="utf-8"?>
<formControlPr xmlns="http://schemas.microsoft.com/office/spreadsheetml/2009/9/main" objectType="Button" val="0"/>
</file>

<file path=xl/ctrlProps/ctrlProp11.xml><?xml version="1.0" encoding="utf-8"?>
<formControlPr xmlns="http://schemas.microsoft.com/office/spreadsheetml/2009/9/main" objectType="Button" val="0"/>
</file>

<file path=xl/ctrlProps/ctrlProp12.xml><?xml version="1.0" encoding="utf-8"?>
<formControlPr xmlns="http://schemas.microsoft.com/office/spreadsheetml/2009/9/main" objectType="Button" val="0"/>
</file>

<file path=xl/ctrlProps/ctrlProp13.xml><?xml version="1.0" encoding="utf-8"?>
<formControlPr xmlns="http://schemas.microsoft.com/office/spreadsheetml/2009/9/main" objectType="Button" val="0"/>
</file>

<file path=xl/ctrlProps/ctrlProp14.xml><?xml version="1.0" encoding="utf-8"?>
<formControlPr xmlns="http://schemas.microsoft.com/office/spreadsheetml/2009/9/main" objectType="GBox" noThreeD="1" val="0"/>
</file>

<file path=xl/ctrlProps/ctrlProp15.xml><?xml version="1.0" encoding="utf-8"?>
<formControlPr xmlns="http://schemas.microsoft.com/office/spreadsheetml/2009/9/main" objectType="Button" val="0"/>
</file>

<file path=xl/ctrlProps/ctrlProp16.xml><?xml version="1.0" encoding="utf-8"?>
<formControlPr xmlns="http://schemas.microsoft.com/office/spreadsheetml/2009/9/main" objectType="Button" val="0"/>
</file>

<file path=xl/ctrlProps/ctrlProp17.xml><?xml version="1.0" encoding="utf-8"?>
<formControlPr xmlns="http://schemas.microsoft.com/office/spreadsheetml/2009/9/main" objectType="Button" val="0"/>
</file>

<file path=xl/ctrlProps/ctrlProp18.xml><?xml version="1.0" encoding="utf-8"?>
<formControlPr xmlns="http://schemas.microsoft.com/office/spreadsheetml/2009/9/main" objectType="Button" val="0"/>
</file>

<file path=xl/ctrlProps/ctrlProp19.xml><?xml version="1.0" encoding="utf-8"?>
<formControlPr xmlns="http://schemas.microsoft.com/office/spreadsheetml/2009/9/main" objectType="Button" val="0"/>
</file>

<file path=xl/ctrlProps/ctrlProp20.xml><?xml version="1.0" encoding="utf-8"?>
<formControlPr xmlns="http://schemas.microsoft.com/office/spreadsheetml/2009/9/main" objectType="GBox" noThreeD="1" val="0"/>
</file>

<file path=xl/ctrlProps/ctrlProp21.xml><?xml version="1.0" encoding="utf-8"?>
<formControlPr xmlns="http://schemas.microsoft.com/office/spreadsheetml/2009/9/main" objectType="Button" val="0"/>
</file>

<file path=xl/ctrlProps/ctrlProp22.xml><?xml version="1.0" encoding="utf-8"?>
<formControlPr xmlns="http://schemas.microsoft.com/office/spreadsheetml/2009/9/main" objectType="Button" val="0"/>
</file>

<file path=xl/ctrlProps/ctrlProp23.xml><?xml version="1.0" encoding="utf-8"?>
<formControlPr xmlns="http://schemas.microsoft.com/office/spreadsheetml/2009/9/main" objectType="Button" val="0"/>
</file>

<file path=xl/ctrlProps/ctrlProp24.xml><?xml version="1.0" encoding="utf-8"?>
<formControlPr xmlns="http://schemas.microsoft.com/office/spreadsheetml/2009/9/main" objectType="Button" val="0"/>
</file>

<file path=xl/ctrlProps/ctrlProp25.xml><?xml version="1.0" encoding="utf-8"?>
<formControlPr xmlns="http://schemas.microsoft.com/office/spreadsheetml/2009/9/main" objectType="Button" val="0"/>
</file>

<file path=xl/ctrlProps/ctrlProp26.xml><?xml version="1.0" encoding="utf-8"?>
<formControlPr xmlns="http://schemas.microsoft.com/office/spreadsheetml/2009/9/main" objectType="Button" val="0"/>
</file>

<file path=xl/ctrlProps/ctrlProp27.xml><?xml version="1.0" encoding="utf-8"?>
<formControlPr xmlns="http://schemas.microsoft.com/office/spreadsheetml/2009/9/main" objectType="Button" val="0"/>
</file>

<file path=xl/ctrlProps/ctrlProp28.xml><?xml version="1.0" encoding="utf-8"?>
<formControlPr xmlns="http://schemas.microsoft.com/office/spreadsheetml/2009/9/main" objectType="Button" val="0"/>
</file>

<file path=xl/ctrlProps/ctrlProp29.xml><?xml version="1.0" encoding="utf-8"?>
<formControlPr xmlns="http://schemas.microsoft.com/office/spreadsheetml/2009/9/main" objectType="Button" val="0"/>
</file>

<file path=xl/ctrlProps/ctrlProp30.xml><?xml version="1.0" encoding="utf-8"?>
<formControlPr xmlns="http://schemas.microsoft.com/office/spreadsheetml/2009/9/main" objectType="Button" val="0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28575</xdr:colOff>
          <xdr:row>10</xdr:row>
          <xdr:rowOff>123825</xdr:rowOff>
        </xdr:from>
        <xdr:to>
          <xdr:col>8</xdr:col>
          <xdr:colOff>276225</xdr:colOff>
          <xdr:row>12</xdr:row>
          <xdr:rowOff>0</xdr:rowOff>
        </xdr:to>
        <xdr:sp macro="[0]!instructions_Click">
          <xdr:nvSpPr>
            <xdr:cNvPr id="7175" name="Button 7" hidden="1">
              <a:extLst>
                <a:ext uri="{63B3BB69-23CF-44E3-9099-C40C66FF867C}">
                  <a14:compatExt spid="_x0000_s7175"/>
                </a:ext>
              </a:extLst>
            </xdr:cNvPr>
            <xdr:cNvSpPr/>
          </xdr:nvSpPr>
          <xdr:spPr>
            <a:xfrm>
              <a:off x="4829175" y="1838325"/>
              <a:ext cx="933450" cy="219075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使用说明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38100</xdr:colOff>
      <xdr:row>7</xdr:row>
      <xdr:rowOff>104775</xdr:rowOff>
    </xdr:from>
    <xdr:to>
      <xdr:col>6</xdr:col>
      <xdr:colOff>76200</xdr:colOff>
      <xdr:row>11</xdr:row>
      <xdr:rowOff>123825</xdr:rowOff>
    </xdr:to>
    <xdr:grpSp>
      <xdr:nvGrpSpPr>
        <xdr:cNvPr id="2" name="组合 1"/>
        <xdr:cNvGrpSpPr/>
      </xdr:nvGrpSpPr>
      <xdr:grpSpPr>
        <a:xfrm>
          <a:off x="2095500" y="1304925"/>
          <a:ext cx="2095500" cy="704850"/>
          <a:chOff x="4124325" y="1209676"/>
          <a:chExt cx="2095500" cy="742950"/>
        </a:xfrm>
      </xdr:grpSpPr>
      <mc:AlternateContent xmlns:mc="http://schemas.openxmlformats.org/markup-compatibility/2006">
        <mc:Choice xmlns:a14="http://schemas.microsoft.com/office/drawing/2010/main" Requires="a14">
          <xdr:sp macro="[0]!CheckUpdate">
            <xdr:nvSpPr>
              <xdr:cNvPr id="7177" name="Button 9" hidden="1">
                <a:extLst>
                  <a:ext uri="{63B3BB69-23CF-44E3-9099-C40C66FF867C}">
                    <a14:compatExt spid="_x0000_s7177"/>
                  </a:ext>
                </a:extLst>
              </xdr:cNvPr>
              <xdr:cNvSpPr/>
            </xdr:nvSpPr>
            <xdr:spPr>
              <a:xfrm>
                <a:off x="4324350" y="1685925"/>
                <a:ext cx="895350" cy="209550"/>
              </a:xfrm>
              <a:prstGeom prst="rect">
                <a:avLst/>
              </a:prstGeom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等线"/>
                    <a:ea typeface="等线"/>
                  </a:rPr>
                  <a:t>检查更新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>
            <xdr:nvSpPr>
              <xdr:cNvPr id="7178" name="op1" hidden="1">
                <a:extLst>
                  <a:ext uri="{63B3BB69-23CF-44E3-9099-C40C66FF867C}">
                    <a14:compatExt spid="_x0000_s7178"/>
                  </a:ext>
                </a:extLst>
              </xdr:cNvPr>
              <xdr:cNvSpPr/>
            </xdr:nvSpPr>
            <xdr:spPr>
              <a:xfrm>
                <a:off x="4286250" y="1371600"/>
                <a:ext cx="695325" cy="276225"/>
              </a:xfrm>
              <a:prstGeom prst="rect">
                <a:avLst/>
              </a:prstGeom>
            </xdr:spPr>
            <xdr:txBody>
              <a:bodyPr vertOverflow="clip" wrap="square" lIns="27432" tIns="32004" rIns="0" bIns="32004" anchor="ctr" upright="1"/>
              <a:lstStyle/>
              <a:p>
                <a:pPr algn="l" rtl="0">
                  <a:defRPr sz="1000"/>
                </a:pPr>
                <a:r>
                  <a:rPr lang="zh-CN" altLang="en-US" sz="900" b="0" i="0" u="none" strike="noStrike" baseline="0">
                    <a:solidFill>
                      <a:srgbClr val="000000"/>
                    </a:solidFill>
                    <a:latin typeface="Microsoft YaHei UI" panose="020B0503020204020204" charset="-122"/>
                    <a:ea typeface="Microsoft YaHei UI" panose="020B0503020204020204" charset="-122"/>
                  </a:rPr>
                  <a:t>单位内网</a:t>
                </a:r>
                <a:endParaRPr lang="zh-CN" altLang="en-US" sz="900" b="0" i="0" u="none" strike="noStrike" baseline="0">
                  <a:solidFill>
                    <a:srgbClr val="000000"/>
                  </a:solidFill>
                  <a:latin typeface="Microsoft YaHei UI" panose="020B0503020204020204" charset="-122"/>
                  <a:ea typeface="Microsoft YaHei UI" panose="020B0503020204020204" charset="-122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>
            <xdr:nvSpPr>
              <xdr:cNvPr id="7180" name="Group Box 12" hidden="1">
                <a:extLst>
                  <a:ext uri="{63B3BB69-23CF-44E3-9099-C40C66FF867C}">
                    <a14:compatExt spid="_x0000_s7180"/>
                  </a:ext>
                </a:extLst>
              </xdr:cNvPr>
              <xdr:cNvSpPr/>
            </xdr:nvSpPr>
            <xdr:spPr>
              <a:xfrm>
                <a:off x="4124325" y="1209676"/>
                <a:ext cx="2095500" cy="742950"/>
              </a:xfrm>
              <a:prstGeom prst="rect">
                <a:avLst/>
              </a:prstGeom>
            </xdr:spPr>
            <xdr:txBody>
              <a:bodyPr vertOverflow="clip" wrap="none" lIns="27432" tIns="32004" rIns="0" bIns="0" anchor="t" upright="1"/>
              <a:lstStyle/>
              <a:p>
                <a:pPr algn="l" rtl="0">
                  <a:defRPr sz="1000"/>
                </a:pPr>
                <a:r>
                  <a:rPr lang="zh-CN" altLang="en-US" sz="900" b="0" i="0" u="none" strike="noStrike" baseline="0">
                    <a:solidFill>
                      <a:srgbClr val="000000"/>
                    </a:solidFill>
                    <a:latin typeface="Microsoft YaHei UI" panose="020B0503020204020204" charset="-122"/>
                    <a:ea typeface="Microsoft YaHei UI" panose="020B0503020204020204" charset="-122"/>
                  </a:rPr>
                  <a:t>当前网络</a:t>
                </a:r>
                <a:endParaRPr lang="zh-CN" altLang="en-US" sz="900" b="0" i="0" u="none" strike="noStrike" baseline="0">
                  <a:solidFill>
                    <a:srgbClr val="000000"/>
                  </a:solidFill>
                  <a:latin typeface="Microsoft YaHei UI" panose="020B0503020204020204" charset="-122"/>
                  <a:ea typeface="Microsoft YaHei UI" panose="020B0503020204020204" charset="-122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>
            <xdr:nvSpPr>
              <xdr:cNvPr id="7181" name="op2" hidden="1">
                <a:extLst>
                  <a:ext uri="{63B3BB69-23CF-44E3-9099-C40C66FF867C}">
                    <a14:compatExt spid="_x0000_s7181"/>
                  </a:ext>
                </a:extLst>
              </xdr:cNvPr>
              <xdr:cNvSpPr/>
            </xdr:nvSpPr>
            <xdr:spPr>
              <a:xfrm>
                <a:off x="5153025" y="1362075"/>
                <a:ext cx="923925" cy="276225"/>
              </a:xfrm>
              <a:prstGeom prst="rect">
                <a:avLst/>
              </a:prstGeom>
            </xdr:spPr>
            <xdr:txBody>
              <a:bodyPr vertOverflow="clip" wrap="square" lIns="27432" tIns="32004" rIns="0" bIns="32004" anchor="ctr" upright="1"/>
              <a:lstStyle/>
              <a:p>
                <a:pPr algn="l" rtl="0">
                  <a:defRPr sz="1000"/>
                </a:pPr>
                <a:r>
                  <a:rPr lang="zh-CN" altLang="en-US" sz="900" b="0" i="0" u="none" strike="noStrike" baseline="0">
                    <a:solidFill>
                      <a:srgbClr val="000000"/>
                    </a:solidFill>
                    <a:latin typeface="Microsoft YaHei UI" panose="020B0503020204020204" charset="-122"/>
                    <a:ea typeface="Microsoft YaHei UI" panose="020B0503020204020204" charset="-122"/>
                  </a:rPr>
                  <a:t>外网</a:t>
                </a:r>
                <a:endParaRPr lang="zh-CN" altLang="en-US" sz="900" b="0" i="0" u="none" strike="noStrike" baseline="0">
                  <a:solidFill>
                    <a:srgbClr val="000000"/>
                  </a:solidFill>
                  <a:latin typeface="Microsoft YaHei UI" panose="020B0503020204020204" charset="-122"/>
                  <a:ea typeface="Microsoft YaHei UI" panose="020B0503020204020204" charset="-122"/>
                </a:endParaRPr>
              </a:p>
            </xdr:txBody>
          </xdr:sp>
        </mc:Choice>
        <mc:Fallback/>
      </mc:AlternateContent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13</xdr:row>
          <xdr:rowOff>9525</xdr:rowOff>
        </xdr:from>
        <xdr:to>
          <xdr:col>9</xdr:col>
          <xdr:colOff>466725</xdr:colOff>
          <xdr:row>14</xdr:row>
          <xdr:rowOff>152400</xdr:rowOff>
        </xdr:to>
        <xdr:sp>
          <xdr:nvSpPr>
            <xdr:cNvPr id="7182" name="label1" hidden="1">
              <a:extLst>
                <a:ext uri="{63B3BB69-23CF-44E3-9099-C40C66FF867C}">
                  <a14:compatExt spid="_x0000_s7182"/>
                </a:ext>
              </a:extLst>
            </xdr:cNvPr>
            <xdr:cNvSpPr/>
          </xdr:nvSpPr>
          <xdr:spPr>
            <a:xfrm>
              <a:off x="2066925" y="2238375"/>
              <a:ext cx="4572000" cy="314325"/>
            </a:xfrm>
            <a:prstGeom prst="rect">
              <a:avLst/>
            </a:prstGeom>
          </xdr:spPr>
          <xdr:txBody>
            <a:bodyPr vertOverflow="clip" wrap="square" lIns="27432" tIns="32004" rIns="0" bIns="0" anchor="t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 panose="020B0503020204020204" charset="-122"/>
                  <a:ea typeface="Microsoft YaHei UI" panose="020B0503020204020204" charset="-122"/>
                </a:rPr>
                <a:t>CopyRight 2019 - 福建省建筑科学研究院 - 福建省建筑工程质量检测中心有限公司</a:t>
              </a:r>
              <a:endParaRPr lang="zh-CN" altLang="en-US" sz="900" b="0" i="0" u="none" strike="noStrike" baseline="0">
                <a:solidFill>
                  <a:srgbClr val="000000"/>
                </a:solidFill>
                <a:latin typeface="Microsoft YaHei UI" panose="020B0503020204020204" charset="-122"/>
                <a:ea typeface="Microsoft YaHei UI" panose="020B0503020204020204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14</xdr:row>
          <xdr:rowOff>114300</xdr:rowOff>
        </xdr:from>
        <xdr:to>
          <xdr:col>4</xdr:col>
          <xdr:colOff>228600</xdr:colOff>
          <xdr:row>16</xdr:row>
          <xdr:rowOff>76200</xdr:rowOff>
        </xdr:to>
        <xdr:sp>
          <xdr:nvSpPr>
            <xdr:cNvPr id="7183" name="VersionPrompt" hidden="1">
              <a:extLst>
                <a:ext uri="{63B3BB69-23CF-44E3-9099-C40C66FF867C}">
                  <a14:compatExt spid="_x0000_s7183"/>
                </a:ext>
              </a:extLst>
            </xdr:cNvPr>
            <xdr:cNvSpPr/>
          </xdr:nvSpPr>
          <xdr:spPr>
            <a:xfrm>
              <a:off x="2095500" y="2514600"/>
              <a:ext cx="876300" cy="304800"/>
            </a:xfrm>
            <a:prstGeom prst="rect">
              <a:avLst/>
            </a:prstGeom>
          </xdr:spPr>
          <xdr:txBody>
            <a:bodyPr vertOverflow="clip" wrap="square" lIns="27432" tIns="32004" rIns="0" bIns="0" anchor="t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 panose="020B0503020204020204" charset="-122"/>
                  <a:ea typeface="Microsoft YaHei UI" panose="020B0503020204020204" charset="-122"/>
                </a:rPr>
                <a:t>当前版本：</a:t>
              </a:r>
              <a:endParaRPr lang="zh-CN" altLang="en-US" sz="900" b="0" i="0" u="none" strike="noStrike" baseline="0">
                <a:solidFill>
                  <a:srgbClr val="000000"/>
                </a:solidFill>
                <a:latin typeface="Microsoft YaHei UI" panose="020B0503020204020204" charset="-122"/>
                <a:ea typeface="Microsoft YaHei UI" panose="020B0503020204020204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14</xdr:row>
          <xdr:rowOff>114300</xdr:rowOff>
        </xdr:from>
        <xdr:to>
          <xdr:col>5</xdr:col>
          <xdr:colOff>276225</xdr:colOff>
          <xdr:row>16</xdr:row>
          <xdr:rowOff>76200</xdr:rowOff>
        </xdr:to>
        <xdr:sp>
          <xdr:nvSpPr>
            <xdr:cNvPr id="7184" name="Version" hidden="1">
              <a:extLst>
                <a:ext uri="{63B3BB69-23CF-44E3-9099-C40C66FF867C}">
                  <a14:compatExt spid="_x0000_s7184"/>
                </a:ext>
              </a:extLst>
            </xdr:cNvPr>
            <xdr:cNvSpPr/>
          </xdr:nvSpPr>
          <xdr:spPr>
            <a:xfrm>
              <a:off x="2752725" y="2514600"/>
              <a:ext cx="952500" cy="304800"/>
            </a:xfrm>
            <a:prstGeom prst="rect">
              <a:avLst/>
            </a:prstGeom>
          </xdr:spPr>
          <xdr:txBody>
            <a:bodyPr vertOverflow="clip" wrap="square" lIns="27432" tIns="32004" rIns="0" bIns="0" anchor="t" upright="1"/>
            <a:lstStyle/>
            <a:p>
              <a:pPr algn="l" rtl="0">
                <a:defRPr sz="1000"/>
              </a:pPr>
              <a:r>
                <a:rPr lang="zh-CN" altLang="en-US" sz="900">
                  <a:solidFill>
                    <a:srgbClr val="000000"/>
                  </a:solidFill>
                  <a:latin typeface="Microsoft YaHei UI" panose="020B0503020204020204" charset="-122"/>
                  <a:ea typeface="Microsoft YaHei UI" panose="020B0503020204020204" charset="-122"/>
                  <a:cs typeface="Microsoft YaHei UI" panose="020B0503020204020204" charset="-122"/>
                  <a:sym typeface="Microsoft YaHei UI" panose="020B0503020204020204" charset="-122"/>
                </a:rPr>
                <a:t>v1.01</a:t>
              </a:r>
              <a:endParaRPr lang="zh-CN" altLang="en-US" sz="900">
                <a:solidFill>
                  <a:srgbClr val="000000"/>
                </a:solidFill>
                <a:latin typeface="Microsoft YaHei UI" panose="020B0503020204020204" charset="-122"/>
                <a:ea typeface="Microsoft YaHei UI" panose="020B0503020204020204" charset="-122"/>
                <a:cs typeface="Microsoft YaHei UI" panose="020B0503020204020204" charset="-122"/>
                <a:sym typeface="Microsoft YaHei UI" panose="020B0503020204020204" charset="-122"/>
              </a:endParaRP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13</xdr:col>
      <xdr:colOff>266700</xdr:colOff>
      <xdr:row>7</xdr:row>
      <xdr:rowOff>75565</xdr:rowOff>
    </xdr:from>
    <xdr:to>
      <xdr:col>17</xdr:col>
      <xdr:colOff>371475</xdr:colOff>
      <xdr:row>18</xdr:row>
      <xdr:rowOff>123191</xdr:rowOff>
    </xdr:to>
    <xdr:grpSp>
      <xdr:nvGrpSpPr>
        <xdr:cNvPr id="15" name="组合 14"/>
        <xdr:cNvGrpSpPr/>
      </xdr:nvGrpSpPr>
      <xdr:grpSpPr>
        <a:xfrm>
          <a:off x="9401175" y="1275715"/>
          <a:ext cx="2847975" cy="1952625"/>
          <a:chOff x="10801350" y="1590674"/>
          <a:chExt cx="2847975" cy="2038351"/>
        </a:xfrm>
      </xdr:grpSpPr>
      <mc:AlternateContent xmlns:mc="http://schemas.openxmlformats.org/markup-compatibility/2006">
        <mc:Choice xmlns:a14="http://schemas.microsoft.com/office/drawing/2010/main" Requires="a14">
          <xdr:sp macro="[0]!AutoDisp_Click">
            <xdr:nvSpPr>
              <xdr:cNvPr id="1025" name="Button 1" hidden="1">
                <a:extLst>
                  <a:ext uri="{63B3BB69-23CF-44E3-9099-C40C66FF867C}">
                    <a14:compatExt spid="_x0000_s1025"/>
                  </a:ext>
                </a:extLst>
              </xdr:cNvPr>
              <xdr:cNvSpPr/>
            </xdr:nvSpPr>
            <xdr:spPr>
              <a:xfrm>
                <a:off x="11010900" y="2200275"/>
                <a:ext cx="981075" cy="295275"/>
              </a:xfrm>
              <a:prstGeom prst="rect">
                <a:avLst/>
              </a:prstGeom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等线"/>
                    <a:ea typeface="等线"/>
                  </a:rPr>
                  <a:t>自动计算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[0]!GenerateRows_Click">
            <xdr:nvSpPr>
              <xdr:cNvPr id="1026" name="Button 2" hidden="1">
                <a:extLst>
                  <a:ext uri="{63B3BB69-23CF-44E3-9099-C40C66FF867C}">
                    <a14:compatExt spid="_x0000_s1026"/>
                  </a:ext>
                </a:extLst>
              </xdr:cNvPr>
              <xdr:cNvSpPr/>
            </xdr:nvSpPr>
            <xdr:spPr>
              <a:xfrm>
                <a:off x="12401550" y="1771650"/>
                <a:ext cx="962025" cy="285750"/>
              </a:xfrm>
              <a:prstGeom prst="rect">
                <a:avLst/>
              </a:prstGeom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等线"/>
                    <a:ea typeface="等线"/>
                  </a:rPr>
                  <a:t>生成输入行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[0]!AutoGraph_Click">
            <xdr:nvSpPr>
              <xdr:cNvPr id="1027" name="Button 3" hidden="1">
                <a:extLst>
                  <a:ext uri="{63B3BB69-23CF-44E3-9099-C40C66FF867C}">
                    <a14:compatExt spid="_x0000_s1027"/>
                  </a:ext>
                </a:extLst>
              </xdr:cNvPr>
              <xdr:cNvSpPr/>
            </xdr:nvSpPr>
            <xdr:spPr>
              <a:xfrm>
                <a:off x="12411075" y="2209800"/>
                <a:ext cx="971550" cy="276225"/>
              </a:xfrm>
              <a:prstGeom prst="rect">
                <a:avLst/>
              </a:prstGeom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等线"/>
                    <a:ea typeface="等线"/>
                  </a:rPr>
                  <a:t>自动作图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[0]!DeleteAllCharts">
            <xdr:nvSpPr>
              <xdr:cNvPr id="1028" name="Button 4" hidden="1">
                <a:extLst>
                  <a:ext uri="{63B3BB69-23CF-44E3-9099-C40C66FF867C}">
                    <a14:compatExt spid="_x0000_s1028"/>
                  </a:ext>
                </a:extLst>
              </xdr:cNvPr>
              <xdr:cNvSpPr/>
            </xdr:nvSpPr>
            <xdr:spPr>
              <a:xfrm>
                <a:off x="11010900" y="2676524"/>
                <a:ext cx="1381125" cy="295275"/>
              </a:xfrm>
              <a:prstGeom prst="rect">
                <a:avLst/>
              </a:prstGeom>
            </xdr:spPr>
            <xdr:txBody>
              <a:bodyPr vertOverflow="clip" wrap="square" lIns="27432" tIns="18288" rIns="27432" bIns="18288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宋体" panose="02010600030101010101" pitchFamily="7" charset="-122"/>
                    <a:ea typeface="宋体" panose="02010600030101010101" pitchFamily="7" charset="-122"/>
                  </a:rPr>
                  <a:t>删除本页所有图表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[0]!DispDataClear">
            <xdr:nvSpPr>
              <xdr:cNvPr id="1029" name="Button 5" hidden="1">
                <a:extLst>
                  <a:ext uri="{63B3BB69-23CF-44E3-9099-C40C66FF867C}">
                    <a14:compatExt spid="_x0000_s1029"/>
                  </a:ext>
                </a:extLst>
              </xdr:cNvPr>
              <xdr:cNvSpPr/>
            </xdr:nvSpPr>
            <xdr:spPr>
              <a:xfrm>
                <a:off x="10991850" y="1781175"/>
                <a:ext cx="1152525" cy="276225"/>
              </a:xfrm>
              <a:prstGeom prst="rect">
                <a:avLst/>
              </a:prstGeom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等线"/>
                    <a:ea typeface="等线"/>
                  </a:rPr>
                  <a:t>清空输入数据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>
            <xdr:nvSpPr>
              <xdr:cNvPr id="1030" name="Group Box 6" hidden="1">
                <a:extLst>
                  <a:ext uri="{63B3BB69-23CF-44E3-9099-C40C66FF867C}">
                    <a14:compatExt spid="_x0000_s1030"/>
                  </a:ext>
                </a:extLst>
              </xdr:cNvPr>
              <xdr:cNvSpPr/>
            </xdr:nvSpPr>
            <xdr:spPr>
              <a:xfrm>
                <a:off x="10801350" y="1590674"/>
                <a:ext cx="2847975" cy="2038351"/>
              </a:xfrm>
              <a:prstGeom prst="rect">
                <a:avLst/>
              </a:prstGeom>
            </xdr:spPr>
            <xdr:txBody>
              <a:bodyPr vertOverflow="clip" wrap="square" lIns="27432" tIns="32004" rIns="0" bIns="0" anchor="t" upright="1"/>
              <a:lstStyle/>
              <a:p>
                <a:pPr algn="l" rtl="0">
                  <a:defRPr sz="1000"/>
                </a:pPr>
                <a:r>
                  <a:rPr lang="zh-CN" altLang="en-US" sz="900" b="0" i="0" u="none" strike="noStrike" baseline="0">
                    <a:solidFill>
                      <a:srgbClr val="000000"/>
                    </a:solidFill>
                    <a:latin typeface="Microsoft YaHei UI" panose="020B0503020204020204" charset="-122"/>
                    <a:ea typeface="Microsoft YaHei UI" panose="020B0503020204020204" charset="-122"/>
                  </a:rPr>
                  <a:t>挠度功能区</a:t>
                </a:r>
                <a:endParaRPr lang="zh-CN" altLang="en-US" sz="900" b="0" i="0" u="none" strike="noStrike" baseline="0">
                  <a:solidFill>
                    <a:srgbClr val="000000"/>
                  </a:solidFill>
                  <a:latin typeface="Microsoft YaHei UI" panose="020B0503020204020204" charset="-122"/>
                  <a:ea typeface="Microsoft YaHei UI" panose="020B0503020204020204" charset="-122"/>
                </a:endParaRPr>
              </a:p>
            </xdr:txBody>
          </xdr:sp>
        </mc:Choice>
        <mc:Fallback/>
      </mc:AlternateContent>
    </xdr:grpSp>
    <xdr:clientData/>
  </xdr:twoCellAnchor>
  <xdr:twoCellAnchor>
    <xdr:from>
      <xdr:col>13</xdr:col>
      <xdr:colOff>170815</xdr:colOff>
      <xdr:row>21</xdr:row>
      <xdr:rowOff>47625</xdr:rowOff>
    </xdr:from>
    <xdr:to>
      <xdr:col>18</xdr:col>
      <xdr:colOff>523875</xdr:colOff>
      <xdr:row>33</xdr:row>
      <xdr:rowOff>142240</xdr:rowOff>
    </xdr:to>
    <xdr:sp>
      <xdr:nvSpPr>
        <xdr:cNvPr id="6" name="文本框 5"/>
        <xdr:cNvSpPr txBox="1"/>
      </xdr:nvSpPr>
      <xdr:spPr>
        <a:xfrm>
          <a:off x="9305290" y="3667125"/>
          <a:ext cx="3782060" cy="216154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CN" altLang="en-US" sz="1100"/>
            <a:t>使用说明：</a:t>
          </a:r>
          <a:endParaRPr lang="en-US" altLang="zh-CN" sz="1100"/>
        </a:p>
        <a:p>
          <a:r>
            <a:rPr lang="en-US" altLang="zh-CN" sz="1100"/>
            <a:t>1</a:t>
          </a:r>
          <a:r>
            <a:rPr lang="zh-CN" altLang="en-US" sz="1100"/>
            <a:t>、输入工况数、各个工况测点数（不超过</a:t>
          </a:r>
          <a:r>
            <a:rPr lang="en-US" altLang="zh-CN" sz="1100"/>
            <a:t>10</a:t>
          </a:r>
          <a:r>
            <a:rPr lang="zh-CN" altLang="en-US" sz="1100"/>
            <a:t>个工况）；</a:t>
          </a:r>
          <a:endParaRPr lang="en-US" altLang="zh-CN" sz="1100"/>
        </a:p>
        <a:p>
          <a:r>
            <a:rPr lang="en-US" altLang="zh-CN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</a:t>
          </a:r>
          <a:r>
            <a:rPr lang="zh-CN" alt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</a:t>
          </a:r>
          <a:r>
            <a:rPr lang="zh-CN" altLang="zh-CN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报告工况指报告中对应的工况号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（举例：荷载试验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3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个工况，第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个工况不测挠度，第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3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个工况测挠度，则报告工况分别填写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3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）；</a:t>
          </a:r>
          <a:endParaRPr lang="zh-CN" altLang="en-US" sz="11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/>
            <a:t>3</a:t>
          </a:r>
          <a:r>
            <a:rPr lang="zh-CN" altLang="en-US" sz="1100"/>
            <a:t>、测点编号以字母开头；</a:t>
          </a:r>
          <a:endParaRPr lang="zh-CN" altLang="en-US" sz="1100"/>
        </a:p>
        <a:p>
          <a:r>
            <a:rPr lang="en-US" altLang="zh-CN" sz="1100"/>
            <a:t>4</a:t>
          </a:r>
          <a:r>
            <a:rPr lang="zh-CN" altLang="en-US" sz="1100"/>
            <a:t>、位移单位为</a:t>
          </a:r>
          <a:r>
            <a:rPr lang="en-US" altLang="zh-CN" sz="1100"/>
            <a:t>mm</a:t>
          </a:r>
          <a:r>
            <a:rPr lang="zh-CN" altLang="en-US" sz="1100">
              <a:ea typeface="宋体" panose="02010600030101010101" pitchFamily="7" charset="-122"/>
            </a:rPr>
            <a:t>；</a:t>
          </a:r>
          <a:endParaRPr lang="en-US" altLang="zh-CN" sz="1100"/>
        </a:p>
        <a:p>
          <a:r>
            <a:rPr lang="en-US" altLang="zh-CN" sz="1100"/>
            <a:t>5</a:t>
          </a:r>
          <a:r>
            <a:rPr lang="zh-CN" altLang="en-US" sz="1100"/>
            <a:t>、挠度理论值程序取</a:t>
          </a:r>
          <a:r>
            <a:rPr lang="en-US" altLang="zh-CN" sz="1100"/>
            <a:t>2</a:t>
          </a:r>
          <a:r>
            <a:rPr lang="zh-CN" altLang="en-US" sz="1100"/>
            <a:t>位小数运算（四舍五入）；</a:t>
          </a:r>
          <a:endParaRPr lang="zh-CN" altLang="en-US" sz="1100"/>
        </a:p>
        <a:p>
          <a:r>
            <a:rPr lang="en-US" altLang="zh-CN" sz="1100">
              <a:solidFill>
                <a:srgbClr val="FF0000"/>
              </a:solidFill>
              <a:ea typeface="宋体" panose="02010600030101010101" pitchFamily="7" charset="-122"/>
            </a:rPr>
            <a:t>6</a:t>
          </a:r>
          <a:r>
            <a:rPr lang="zh-CN" altLang="en-US" sz="1100">
              <a:solidFill>
                <a:srgbClr val="FF0000"/>
              </a:solidFill>
              <a:ea typeface="宋体" panose="02010600030101010101" pitchFamily="7" charset="-122"/>
            </a:rPr>
            <a:t>、若一个工况测试多个横截面、并且需要分截面作图，请将该工况按截面拆分（程序暂不支持在一个工况中针对每个截面分开作图）。</a:t>
          </a:r>
          <a:endParaRPr lang="zh-CN" altLang="en-US" sz="1100">
            <a:solidFill>
              <a:srgbClr val="FF0000"/>
            </a:solidFill>
            <a:ea typeface="宋体" panose="02010600030101010101" pitchFamily="7" charset="-122"/>
          </a:endParaRPr>
        </a:p>
      </xdr:txBody>
    </xdr:sp>
    <xdr:clientData/>
  </xdr:twoCellAnchor>
  <xdr:twoCellAnchor>
    <xdr:from>
      <xdr:col>13</xdr:col>
      <xdr:colOff>208915</xdr:colOff>
      <xdr:row>34</xdr:row>
      <xdr:rowOff>104775</xdr:rowOff>
    </xdr:from>
    <xdr:to>
      <xdr:col>18</xdr:col>
      <xdr:colOff>656590</xdr:colOff>
      <xdr:row>42</xdr:row>
      <xdr:rowOff>152400</xdr:rowOff>
    </xdr:to>
    <xdr:sp>
      <xdr:nvSpPr>
        <xdr:cNvPr id="10" name="文本框 9"/>
        <xdr:cNvSpPr txBox="1"/>
      </xdr:nvSpPr>
      <xdr:spPr>
        <a:xfrm>
          <a:off x="9343390" y="5962650"/>
          <a:ext cx="3876675" cy="14287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CN" altLang="en-US" sz="1100"/>
            <a:t>操作步骤：</a:t>
          </a:r>
          <a:endParaRPr lang="en-US" altLang="zh-CN" sz="1100"/>
        </a:p>
        <a:p>
          <a:r>
            <a:rPr lang="en-US" altLang="zh-CN" sz="1100"/>
            <a:t>1</a:t>
          </a:r>
          <a:r>
            <a:rPr lang="zh-CN" altLang="en-US" sz="1100"/>
            <a:t>、点击“清空数据数据”；</a:t>
          </a:r>
          <a:endParaRPr lang="en-US" altLang="zh-CN" sz="1100"/>
        </a:p>
        <a:p>
          <a:r>
            <a:rPr lang="en-US" altLang="zh-CN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、填写挠度工况数，各个工况测点数以及对应报告工况，点击“生成输入行”；</a:t>
          </a:r>
          <a:endParaRPr lang="en-US" altLang="zh-CN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3</a:t>
          </a:r>
          <a:r>
            <a:rPr lang="zh-CN" altLang="en-US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、请填写绿色列内容（工况除外）；</a:t>
          </a:r>
          <a:r>
            <a:rPr lang="zh-CN" altLang="en-US">
              <a:solidFill>
                <a:srgbClr val="FF0000"/>
              </a:solidFill>
            </a:rPr>
            <a:t> </a:t>
          </a:r>
          <a:endParaRPr lang="en-US" altLang="zh-CN">
            <a:solidFill>
              <a:srgbClr val="FF0000"/>
            </a:solidFill>
          </a:endParaRPr>
        </a:p>
        <a:p>
          <a:r>
            <a:rPr lang="en-US" altLang="zh-CN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4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、点击“自动计算”；</a:t>
          </a:r>
          <a:endParaRPr lang="en-US" altLang="zh-CN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5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、点击“自动作图”。</a:t>
          </a:r>
          <a:endParaRPr lang="zh-CN" alt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 editAs="oneCell">
    <xdr:from>
      <xdr:col>22</xdr:col>
      <xdr:colOff>47625</xdr:colOff>
      <xdr:row>0</xdr:row>
      <xdr:rowOff>95250</xdr:rowOff>
    </xdr:from>
    <xdr:to>
      <xdr:col>30</xdr:col>
      <xdr:colOff>146685</xdr:colOff>
      <xdr:row>4</xdr:row>
      <xdr:rowOff>60960</xdr:rowOff>
    </xdr:to>
    <xdr:pic>
      <xdr:nvPicPr>
        <xdr:cNvPr id="2" name="Picture 1"/>
        <xdr:cNvPicPr>
          <a:picLocks noChangeAspect="1" noChangeArrowheads="1"/>
        </xdr:cNvPicPr>
      </xdr:nvPicPr>
      <xdr:blipFill>
        <a:blip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18143" b="9091"/>
        <a:stretch>
          <a:fillRect/>
        </a:stretch>
      </xdr:blipFill>
      <xdr:spPr>
        <a:xfrm>
          <a:off x="15697200" y="95250"/>
          <a:ext cx="5585460" cy="65151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xmlns:a14="http://schemas.microsoft.com/office/drawing/2010/main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>
    <xdr:from>
      <xdr:col>9</xdr:col>
      <xdr:colOff>676275</xdr:colOff>
      <xdr:row>6</xdr:row>
      <xdr:rowOff>9525</xdr:rowOff>
    </xdr:from>
    <xdr:to>
      <xdr:col>14</xdr:col>
      <xdr:colOff>409575</xdr:colOff>
      <xdr:row>16</xdr:row>
      <xdr:rowOff>9525</xdr:rowOff>
    </xdr:to>
    <xdr:grpSp>
      <xdr:nvGrpSpPr>
        <xdr:cNvPr id="11" name="组合 10"/>
        <xdr:cNvGrpSpPr/>
      </xdr:nvGrpSpPr>
      <xdr:grpSpPr>
        <a:xfrm>
          <a:off x="7410450" y="1038225"/>
          <a:ext cx="3162300" cy="1733550"/>
          <a:chOff x="7762875" y="619125"/>
          <a:chExt cx="3162300" cy="2019300"/>
        </a:xfrm>
      </xdr:grpSpPr>
      <mc:AlternateContent xmlns:mc="http://schemas.openxmlformats.org/markup-compatibility/2006">
        <mc:Choice xmlns:a14="http://schemas.microsoft.com/office/drawing/2010/main" Requires="a14">
          <xdr:sp macro="[0]!AutoStrain_Click">
            <xdr:nvSpPr>
              <xdr:cNvPr id="2049" name="Button 1" hidden="1">
                <a:extLst>
                  <a:ext uri="{63B3BB69-23CF-44E3-9099-C40C66FF867C}">
                    <a14:compatExt spid="_x0000_s2049"/>
                  </a:ext>
                </a:extLst>
              </xdr:cNvPr>
              <xdr:cNvSpPr/>
            </xdr:nvSpPr>
            <xdr:spPr>
              <a:xfrm>
                <a:off x="8058150" y="1352550"/>
                <a:ext cx="1047750" cy="333374"/>
              </a:xfrm>
              <a:prstGeom prst="rect">
                <a:avLst/>
              </a:prstGeom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等线"/>
                    <a:ea typeface="等线"/>
                  </a:rPr>
                  <a:t>自动计算应变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[0]!GenerateStrainRows_Click">
            <xdr:nvSpPr>
              <xdr:cNvPr id="2050" name="Button 2" hidden="1">
                <a:extLst>
                  <a:ext uri="{63B3BB69-23CF-44E3-9099-C40C66FF867C}">
                    <a14:compatExt spid="_x0000_s2050"/>
                  </a:ext>
                </a:extLst>
              </xdr:cNvPr>
              <xdr:cNvSpPr/>
            </xdr:nvSpPr>
            <xdr:spPr>
              <a:xfrm>
                <a:off x="9486900" y="838200"/>
                <a:ext cx="962025" cy="295275"/>
              </a:xfrm>
              <a:prstGeom prst="rect">
                <a:avLst/>
              </a:prstGeom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等线"/>
                    <a:ea typeface="等线"/>
                  </a:rPr>
                  <a:t>生成输入行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[0]!DeleteAllCharts">
            <xdr:nvSpPr>
              <xdr:cNvPr id="2051" name="Button 3" hidden="1">
                <a:extLst>
                  <a:ext uri="{63B3BB69-23CF-44E3-9099-C40C66FF867C}">
                    <a14:compatExt spid="_x0000_s2051"/>
                  </a:ext>
                </a:extLst>
              </xdr:cNvPr>
              <xdr:cNvSpPr/>
            </xdr:nvSpPr>
            <xdr:spPr>
              <a:xfrm>
                <a:off x="8067675" y="1905000"/>
                <a:ext cx="1314450" cy="333374"/>
              </a:xfrm>
              <a:prstGeom prst="rect">
                <a:avLst/>
              </a:prstGeom>
            </xdr:spPr>
            <xdr:txBody>
              <a:bodyPr vertOverflow="clip" wrap="square" lIns="27432" tIns="18288" rIns="27432" bIns="18288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宋体" panose="02010600030101010101" pitchFamily="7" charset="-122"/>
                    <a:ea typeface="宋体" panose="02010600030101010101" pitchFamily="7" charset="-122"/>
                  </a:rPr>
                  <a:t>删除本页所有图表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[0]!AutoStrainGraph">
            <xdr:nvSpPr>
              <xdr:cNvPr id="2052" name="Button 4" hidden="1">
                <a:extLst>
                  <a:ext uri="{63B3BB69-23CF-44E3-9099-C40C66FF867C}">
                    <a14:compatExt spid="_x0000_s2052"/>
                  </a:ext>
                </a:extLst>
              </xdr:cNvPr>
              <xdr:cNvSpPr/>
            </xdr:nvSpPr>
            <xdr:spPr>
              <a:xfrm>
                <a:off x="9486900" y="1390650"/>
                <a:ext cx="1228725" cy="295275"/>
              </a:xfrm>
              <a:prstGeom prst="rect">
                <a:avLst/>
              </a:prstGeom>
            </xdr:spPr>
            <xdr:txBody>
              <a:bodyPr vertOverflow="clip" wrap="square" lIns="27432" tIns="18288" rIns="27432" bIns="18288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宋体" panose="02010600030101010101" pitchFamily="7" charset="-122"/>
                    <a:ea typeface="宋体" panose="02010600030101010101" pitchFamily="7" charset="-122"/>
                  </a:rPr>
                  <a:t>自动作图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[0]!StrainDataClear">
            <xdr:nvSpPr>
              <xdr:cNvPr id="2053" name="Button 5" hidden="1">
                <a:extLst>
                  <a:ext uri="{63B3BB69-23CF-44E3-9099-C40C66FF867C}">
                    <a14:compatExt spid="_x0000_s2053"/>
                  </a:ext>
                </a:extLst>
              </xdr:cNvPr>
              <xdr:cNvSpPr/>
            </xdr:nvSpPr>
            <xdr:spPr>
              <a:xfrm>
                <a:off x="8029575" y="838200"/>
                <a:ext cx="1228725" cy="285750"/>
              </a:xfrm>
              <a:prstGeom prst="rect">
                <a:avLst/>
              </a:prstGeom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等线"/>
                    <a:ea typeface="等线"/>
                  </a:rPr>
                  <a:t>清空输入数据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>
            <xdr:nvSpPr>
              <xdr:cNvPr id="2054" name="Group Box 6" hidden="1">
                <a:extLst>
                  <a:ext uri="{63B3BB69-23CF-44E3-9099-C40C66FF867C}">
                    <a14:compatExt spid="_x0000_s2054"/>
                  </a:ext>
                </a:extLst>
              </xdr:cNvPr>
              <xdr:cNvSpPr/>
            </xdr:nvSpPr>
            <xdr:spPr>
              <a:xfrm>
                <a:off x="7762875" y="619125"/>
                <a:ext cx="3162300" cy="2019300"/>
              </a:xfrm>
              <a:prstGeom prst="rect">
                <a:avLst/>
              </a:prstGeom>
            </xdr:spPr>
            <xdr:txBody>
              <a:bodyPr vertOverflow="clip" wrap="square" lIns="27432" tIns="32004" rIns="0" bIns="0" anchor="t" upright="1"/>
              <a:lstStyle/>
              <a:p>
                <a:pPr algn="l" rtl="0">
                  <a:defRPr sz="1000"/>
                </a:pPr>
                <a:r>
                  <a:rPr lang="zh-CN" altLang="en-US" sz="900" b="0" i="0" u="none" strike="noStrike" baseline="0">
                    <a:solidFill>
                      <a:srgbClr val="000000"/>
                    </a:solidFill>
                    <a:latin typeface="Microsoft YaHei UI" panose="020B0503020204020204" charset="-122"/>
                    <a:ea typeface="Microsoft YaHei UI" panose="020B0503020204020204" charset="-122"/>
                  </a:rPr>
                  <a:t>应变功能区</a:t>
                </a:r>
                <a:endParaRPr lang="zh-CN" altLang="en-US" sz="900" b="0" i="0" u="none" strike="noStrike" baseline="0">
                  <a:solidFill>
                    <a:srgbClr val="000000"/>
                  </a:solidFill>
                  <a:latin typeface="Microsoft YaHei UI" panose="020B0503020204020204" charset="-122"/>
                  <a:ea typeface="Microsoft YaHei UI" panose="020B0503020204020204" charset="-122"/>
                </a:endParaRPr>
              </a:p>
            </xdr:txBody>
          </xdr:sp>
        </mc:Choice>
        <mc:Fallback/>
      </mc:AlternateContent>
    </xdr:grpSp>
    <xdr:clientData/>
  </xdr:twoCellAnchor>
  <xdr:twoCellAnchor>
    <xdr:from>
      <xdr:col>9</xdr:col>
      <xdr:colOff>619125</xdr:colOff>
      <xdr:row>17</xdr:row>
      <xdr:rowOff>76200</xdr:rowOff>
    </xdr:from>
    <xdr:to>
      <xdr:col>15</xdr:col>
      <xdr:colOff>381000</xdr:colOff>
      <xdr:row>29</xdr:row>
      <xdr:rowOff>46990</xdr:rowOff>
    </xdr:to>
    <xdr:sp>
      <xdr:nvSpPr>
        <xdr:cNvPr id="3" name="文本框 2"/>
        <xdr:cNvSpPr txBox="1"/>
      </xdr:nvSpPr>
      <xdr:spPr>
        <a:xfrm>
          <a:off x="7353300" y="3009900"/>
          <a:ext cx="3876675" cy="203771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zh-CN" altLang="en-US" sz="1100"/>
            <a:t>使用说明：</a:t>
          </a:r>
          <a:endParaRPr lang="en-US" altLang="zh-CN" sz="1100"/>
        </a:p>
        <a:p>
          <a:r>
            <a:rPr lang="en-US" altLang="zh-CN" sz="1100"/>
            <a:t>1</a:t>
          </a:r>
          <a:r>
            <a:rPr lang="zh-CN" altLang="en-US" sz="1100"/>
            <a:t>、输入工况数、各个工况测点数（不超过</a:t>
          </a:r>
          <a:r>
            <a:rPr lang="en-US" altLang="zh-CN" sz="1100"/>
            <a:t>10</a:t>
          </a:r>
          <a:r>
            <a:rPr lang="zh-CN" altLang="en-US" sz="1100"/>
            <a:t>个工况）；</a:t>
          </a:r>
          <a:endParaRPr lang="en-US" altLang="zh-CN" sz="1100"/>
        </a:p>
        <a:p>
          <a:r>
            <a:rPr lang="en-US" altLang="zh-CN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</a:t>
          </a:r>
          <a:r>
            <a:rPr lang="zh-CN" alt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</a:t>
          </a:r>
          <a:r>
            <a:rPr lang="zh-CN" altLang="zh-CN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报告工况指报告中对应的工况号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（举例：荷载试验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3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个工况，第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个工况不测挠度，第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3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个工况测挠度，则报告工况分别填写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3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）；</a:t>
          </a:r>
          <a:endParaRPr lang="en-US" altLang="zh-CN" sz="1100"/>
        </a:p>
        <a:p>
          <a:r>
            <a:rPr lang="en-US" altLang="zh-CN" sz="1100"/>
            <a:t>3</a:t>
          </a:r>
          <a:r>
            <a:rPr lang="zh-CN" altLang="en-US" sz="1100"/>
            <a:t>、测点编号以字母开头；</a:t>
          </a:r>
          <a:endParaRPr lang="en-US" altLang="zh-CN" sz="1100"/>
        </a:p>
        <a:p>
          <a:r>
            <a:rPr lang="en-US" altLang="zh-CN" sz="1100"/>
            <a:t>4</a:t>
          </a:r>
          <a:r>
            <a:rPr lang="zh-CN" altLang="en-US" sz="1100"/>
            <a:t>、</a:t>
          </a:r>
          <a:r>
            <a:rPr lang="zh-CN" altLang="en-US">
              <a:sym typeface="+mn-ea"/>
            </a:rPr>
            <a:t>满载理论值填写整数。</a:t>
          </a:r>
          <a:endParaRPr lang="zh-CN" altLang="en-US">
            <a:sym typeface="+mn-ea"/>
          </a:endParaRPr>
        </a:p>
        <a:p>
          <a:r>
            <a:rPr lang="en-US" altLang="zh-CN">
              <a:solidFill>
                <a:srgbClr val="FF0000"/>
              </a:solidFill>
              <a:ea typeface="宋体" panose="02010600030101010101" pitchFamily="7" charset="-122"/>
              <a:sym typeface="+mn-ea"/>
            </a:rPr>
            <a:t>5</a:t>
          </a:r>
          <a:r>
            <a:rPr lang="zh-CN" altLang="en-US">
              <a:solidFill>
                <a:srgbClr val="FF0000"/>
              </a:solidFill>
              <a:ea typeface="宋体" panose="02010600030101010101" pitchFamily="7" charset="-122"/>
              <a:sym typeface="+mn-ea"/>
            </a:rPr>
            <a:t>、若一个工况测试多个横截面、并且需要分截面作图，请将该工况按截面拆分（程序暂不支持在一个工况中针对每个截面分开作图）。</a:t>
          </a:r>
          <a:endParaRPr lang="zh-CN" altLang="en-US" sz="1100">
            <a:ea typeface="宋体" panose="02010600030101010101" pitchFamily="7" charset="-122"/>
          </a:endParaRPr>
        </a:p>
      </xdr:txBody>
    </xdr:sp>
    <xdr:clientData/>
  </xdr:twoCellAnchor>
  <xdr:twoCellAnchor>
    <xdr:from>
      <xdr:col>9</xdr:col>
      <xdr:colOff>600075</xdr:colOff>
      <xdr:row>29</xdr:row>
      <xdr:rowOff>95250</xdr:rowOff>
    </xdr:from>
    <xdr:to>
      <xdr:col>15</xdr:col>
      <xdr:colOff>361950</xdr:colOff>
      <xdr:row>39</xdr:row>
      <xdr:rowOff>114300</xdr:rowOff>
    </xdr:to>
    <xdr:sp>
      <xdr:nvSpPr>
        <xdr:cNvPr id="4" name="文本框 3"/>
        <xdr:cNvSpPr txBox="1"/>
      </xdr:nvSpPr>
      <xdr:spPr>
        <a:xfrm>
          <a:off x="7334250" y="5095875"/>
          <a:ext cx="3876675" cy="17335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zh-CN" altLang="en-US" sz="1100"/>
            <a:t>操作步骤：</a:t>
          </a:r>
          <a:endParaRPr lang="en-US" altLang="zh-CN" sz="1100"/>
        </a:p>
        <a:p>
          <a:r>
            <a:rPr lang="en-US" altLang="zh-CN" sz="1100"/>
            <a:t>1</a:t>
          </a:r>
          <a:r>
            <a:rPr lang="zh-CN" altLang="en-US" sz="1100"/>
            <a:t>、点击“清空数据数据”；</a:t>
          </a:r>
          <a:endParaRPr lang="en-US" altLang="zh-CN" sz="1100"/>
        </a:p>
        <a:p>
          <a:r>
            <a:rPr lang="en-US" altLang="zh-CN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、填写应变工况数，各个工况测点数以及对应报告工况，点击“生成输入行”；</a:t>
          </a:r>
          <a:endParaRPr lang="en-US" altLang="zh-CN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3</a:t>
          </a:r>
          <a:r>
            <a:rPr lang="zh-CN" altLang="en-US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、请填写绿色列内容（工况除外）；</a:t>
          </a:r>
          <a:r>
            <a:rPr lang="zh-CN" altLang="en-US">
              <a:solidFill>
                <a:srgbClr val="FF0000"/>
              </a:solidFill>
            </a:rPr>
            <a:t> </a:t>
          </a:r>
          <a:endParaRPr lang="en-US" altLang="zh-CN">
            <a:solidFill>
              <a:srgbClr val="FF0000"/>
            </a:solidFill>
          </a:endParaRPr>
        </a:p>
        <a:p>
          <a:r>
            <a:rPr lang="en-US" altLang="zh-CN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4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、点击“自动计算”；</a:t>
          </a:r>
          <a:endParaRPr lang="en-US" altLang="zh-CN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5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、点击“自动作图”。</a:t>
          </a:r>
          <a:endParaRPr lang="zh-CN" alt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676275</xdr:colOff>
          <xdr:row>4</xdr:row>
          <xdr:rowOff>161925</xdr:rowOff>
        </xdr:from>
        <xdr:to>
          <xdr:col>8</xdr:col>
          <xdr:colOff>381000</xdr:colOff>
          <xdr:row>6</xdr:row>
          <xdr:rowOff>28575</xdr:rowOff>
        </xdr:to>
        <xdr:sp macro="[0]!ThrustDataClear">
          <xdr:nvSpPr>
            <xdr:cNvPr id="14338" name="Button 2" hidden="1">
              <a:extLst>
                <a:ext uri="{63B3BB69-23CF-44E3-9099-C40C66FF867C}">
                  <a14:compatExt spid="_x0000_s14338"/>
                </a:ext>
              </a:extLst>
            </xdr:cNvPr>
            <xdr:cNvSpPr/>
          </xdr:nvSpPr>
          <xdr:spPr>
            <a:xfrm>
              <a:off x="4791075" y="847725"/>
              <a:ext cx="1076325" cy="20955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清空输入数据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676275</xdr:colOff>
          <xdr:row>6</xdr:row>
          <xdr:rowOff>171450</xdr:rowOff>
        </xdr:from>
        <xdr:to>
          <xdr:col>8</xdr:col>
          <xdr:colOff>371475</xdr:colOff>
          <xdr:row>8</xdr:row>
          <xdr:rowOff>9525</xdr:rowOff>
        </xdr:to>
        <xdr:sp macro="[0]!GenerateThrustRows">
          <xdr:nvSpPr>
            <xdr:cNvPr id="14339" name="Button 3" hidden="1">
              <a:extLst>
                <a:ext uri="{63B3BB69-23CF-44E3-9099-C40C66FF867C}">
                  <a14:compatExt spid="_x0000_s14339"/>
                </a:ext>
              </a:extLst>
            </xdr:cNvPr>
            <xdr:cNvSpPr/>
          </xdr:nvSpPr>
          <xdr:spPr>
            <a:xfrm>
              <a:off x="4791075" y="1200150"/>
              <a:ext cx="1066800" cy="180975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生成输入行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8</xdr:row>
          <xdr:rowOff>171450</xdr:rowOff>
        </xdr:from>
        <xdr:to>
          <xdr:col>8</xdr:col>
          <xdr:colOff>371475</xdr:colOff>
          <xdr:row>10</xdr:row>
          <xdr:rowOff>19050</xdr:rowOff>
        </xdr:to>
        <xdr:sp macro="[0]!AutoThrust.AutoThrust">
          <xdr:nvSpPr>
            <xdr:cNvPr id="14340" name="Button 4" hidden="1">
              <a:extLst>
                <a:ext uri="{63B3BB69-23CF-44E3-9099-C40C66FF867C}">
                  <a14:compatExt spid="_x0000_s14340"/>
                </a:ext>
              </a:extLst>
            </xdr:cNvPr>
            <xdr:cNvSpPr/>
          </xdr:nvSpPr>
          <xdr:spPr>
            <a:xfrm>
              <a:off x="4810125" y="1543050"/>
              <a:ext cx="1047750" cy="19050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自动计算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  <xdr:twoCellAnchor>
    <xdr:from>
      <xdr:col>9</xdr:col>
      <xdr:colOff>419100</xdr:colOff>
      <xdr:row>12</xdr:row>
      <xdr:rowOff>28575</xdr:rowOff>
    </xdr:from>
    <xdr:to>
      <xdr:col>14</xdr:col>
      <xdr:colOff>190500</xdr:colOff>
      <xdr:row>19</xdr:row>
      <xdr:rowOff>104775</xdr:rowOff>
    </xdr:to>
    <xdr:sp>
      <xdr:nvSpPr>
        <xdr:cNvPr id="3" name="文本框 2"/>
        <xdr:cNvSpPr txBox="1"/>
      </xdr:nvSpPr>
      <xdr:spPr>
        <a:xfrm>
          <a:off x="6591300" y="2114550"/>
          <a:ext cx="3200400" cy="14287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zh-CN" altLang="en-US" sz="1100"/>
            <a:t>操作步骤：</a:t>
          </a:r>
          <a:endParaRPr lang="en-US" altLang="zh-CN" sz="1100"/>
        </a:p>
        <a:p>
          <a:r>
            <a:rPr lang="en-US" altLang="zh-CN" sz="1100"/>
            <a:t>1</a:t>
          </a:r>
          <a:r>
            <a:rPr lang="zh-CN" altLang="en-US" sz="1100"/>
            <a:t>、点击“清空数据数据”；</a:t>
          </a:r>
          <a:endParaRPr lang="en-US" altLang="zh-CN" sz="1100"/>
        </a:p>
        <a:p>
          <a:r>
            <a:rPr lang="en-US" altLang="zh-CN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、填写测点数，加载级数，点击“生成输入行”；</a:t>
          </a:r>
          <a:endParaRPr lang="en-US" altLang="zh-CN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3</a:t>
          </a:r>
          <a:r>
            <a:rPr lang="zh-CN" altLang="en-US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、请填写</a:t>
          </a:r>
          <a:r>
            <a:rPr lang="en-US" altLang="zh-CN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“</a:t>
          </a:r>
          <a:r>
            <a:rPr lang="zh-CN" altLang="en-US" sz="1100" b="0" i="0" u="none" strike="noStrike">
              <a:solidFill>
                <a:srgbClr val="FF0000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总变形</a:t>
          </a:r>
          <a:r>
            <a:rPr lang="en-US" altLang="zh-CN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”</a:t>
          </a:r>
          <a:r>
            <a:rPr lang="zh-CN" altLang="en-US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；</a:t>
          </a:r>
          <a:r>
            <a:rPr lang="zh-CN" altLang="en-US">
              <a:solidFill>
                <a:srgbClr val="FF0000"/>
              </a:solidFill>
            </a:rPr>
            <a:t> </a:t>
          </a:r>
          <a:endParaRPr lang="en-US" altLang="zh-CN">
            <a:solidFill>
              <a:srgbClr val="FF0000"/>
            </a:solidFill>
          </a:endParaRPr>
        </a:p>
        <a:p>
          <a:r>
            <a:rPr lang="en-US" altLang="zh-CN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4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、点击“自动计算”；</a:t>
          </a:r>
          <a:endParaRPr lang="en-US" altLang="zh-CN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/>
            <a:t>5</a:t>
          </a:r>
          <a:r>
            <a:rPr lang="zh-CN" altLang="en-US" sz="1100">
              <a:ea typeface="宋体" panose="02010600030101010101" pitchFamily="7" charset="-122"/>
            </a:rPr>
            <a:t>、在</a:t>
          </a:r>
          <a:r>
            <a:rPr lang="en-US" altLang="zh-CN" sz="1100">
              <a:ea typeface="宋体" panose="02010600030101010101" pitchFamily="7" charset="-122"/>
            </a:rPr>
            <a:t>“</a:t>
          </a:r>
          <a:r>
            <a:rPr lang="zh-CN" altLang="en-US" sz="1100">
              <a:ea typeface="宋体" panose="02010600030101010101" pitchFamily="7" charset="-122"/>
            </a:rPr>
            <a:t>生成</a:t>
          </a:r>
          <a:r>
            <a:rPr lang="en-US" altLang="zh-CN" sz="1100">
              <a:ea typeface="宋体" panose="02010600030101010101" pitchFamily="7" charset="-122"/>
            </a:rPr>
            <a:t>Word</a:t>
          </a:r>
          <a:r>
            <a:rPr lang="zh-CN" altLang="en-US" sz="1100">
              <a:ea typeface="宋体" panose="02010600030101010101" pitchFamily="7" charset="-122"/>
            </a:rPr>
            <a:t>报告</a:t>
          </a:r>
          <a:r>
            <a:rPr lang="en-US" altLang="zh-CN" sz="1100">
              <a:ea typeface="宋体" panose="02010600030101010101" pitchFamily="7" charset="-122"/>
            </a:rPr>
            <a:t>”</a:t>
          </a:r>
          <a:r>
            <a:rPr lang="zh-CN" altLang="en-US" sz="1100">
              <a:ea typeface="宋体" panose="02010600030101010101" pitchFamily="7" charset="-122"/>
            </a:rPr>
            <a:t>标签中，可导出结果。</a:t>
          </a:r>
          <a:endParaRPr lang="zh-CN" altLang="en-US" sz="1100">
            <a:ea typeface="宋体" panose="02010600030101010101" pitchFamily="7" charset="-122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123825</xdr:colOff>
          <xdr:row>4</xdr:row>
          <xdr:rowOff>47625</xdr:rowOff>
        </xdr:from>
        <xdr:to>
          <xdr:col>8</xdr:col>
          <xdr:colOff>85725</xdr:colOff>
          <xdr:row>6</xdr:row>
          <xdr:rowOff>0</xdr:rowOff>
        </xdr:to>
        <xdr:sp macro="[0]!AutoReport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>
            <a:xfrm>
              <a:off x="4238625" y="733425"/>
              <a:ext cx="1333500" cy="295275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>
                  <a:solidFill>
                    <a:srgbClr val="000000"/>
                  </a:solidFill>
                  <a:latin typeface="等线"/>
                  <a:ea typeface="等线"/>
                  <a:cs typeface="等线"/>
                  <a:sym typeface="等线"/>
                </a:rPr>
                <a:t>导出荷载试验报告</a:t>
              </a:r>
              <a:endParaRPr lang="zh-CN" altLang="en-US" sz="1100">
                <a:solidFill>
                  <a:srgbClr val="000000"/>
                </a:solidFill>
                <a:latin typeface="等线"/>
                <a:ea typeface="等线"/>
                <a:cs typeface="等线"/>
                <a:sym typeface="等线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133350</xdr:colOff>
          <xdr:row>6</xdr:row>
          <xdr:rowOff>161925</xdr:rowOff>
        </xdr:from>
        <xdr:to>
          <xdr:col>8</xdr:col>
          <xdr:colOff>247650</xdr:colOff>
          <xdr:row>8</xdr:row>
          <xdr:rowOff>114300</xdr:rowOff>
        </xdr:to>
        <xdr:sp macro="[0]!AutoCalcReport">
          <xdr:nvSpPr>
            <xdr:cNvPr id="4099" name="Button 3" hidden="1">
              <a:extLst>
                <a:ext uri="{63B3BB69-23CF-44E3-9099-C40C66FF867C}">
                  <a14:compatExt spid="_x0000_s4099"/>
                </a:ext>
              </a:extLst>
            </xdr:cNvPr>
            <xdr:cNvSpPr/>
          </xdr:nvSpPr>
          <xdr:spPr>
            <a:xfrm>
              <a:off x="4248150" y="1190625"/>
              <a:ext cx="1485900" cy="295275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导出荷载试验计算书</a:t>
              </a:r>
              <a:endParaRPr lang="zh-CN" altLang="en-US" sz="11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xdr:twoCellAnchor>
    <xdr:from>
      <xdr:col>9</xdr:col>
      <xdr:colOff>457200</xdr:colOff>
      <xdr:row>5</xdr:row>
      <xdr:rowOff>46990</xdr:rowOff>
    </xdr:from>
    <xdr:to>
      <xdr:col>15</xdr:col>
      <xdr:colOff>266700</xdr:colOff>
      <xdr:row>27</xdr:row>
      <xdr:rowOff>104775</xdr:rowOff>
    </xdr:to>
    <xdr:sp>
      <xdr:nvSpPr>
        <xdr:cNvPr id="4" name="文本框 3"/>
        <xdr:cNvSpPr txBox="1"/>
      </xdr:nvSpPr>
      <xdr:spPr>
        <a:xfrm>
          <a:off x="6629400" y="904240"/>
          <a:ext cx="3924300" cy="382968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CN" altLang="en-US" sz="1100"/>
            <a:t>使用说明：</a:t>
          </a:r>
          <a:endParaRPr lang="en-US" altLang="zh-CN" sz="1100"/>
        </a:p>
        <a:p>
          <a:endParaRPr lang="en-US" altLang="zh-CN" sz="1100"/>
        </a:p>
        <a:p>
          <a:r>
            <a:rPr lang="en-US" altLang="zh-CN" sz="1100"/>
            <a:t>1</a:t>
          </a:r>
          <a:r>
            <a:rPr lang="zh-CN" altLang="en-US" sz="1100"/>
            <a:t>、需要先计算挠度和应变，才能使用导出功能；</a:t>
          </a:r>
          <a:endParaRPr lang="en-US" altLang="zh-CN" sz="1100"/>
        </a:p>
        <a:p>
          <a:r>
            <a:rPr lang="zh-CN" altLang="en-US" sz="1100">
              <a:solidFill>
                <a:srgbClr val="FF0000"/>
              </a:solidFill>
            </a:rPr>
            <a:t>（</a:t>
          </a:r>
          <a:r>
            <a:rPr lang="zh-CN" altLang="zh-CN" sz="110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计算</a:t>
          </a:r>
          <a:r>
            <a:rPr lang="zh-CN" altLang="en-US" sz="1100">
              <a:solidFill>
                <a:srgbClr val="FF0000"/>
              </a:solidFill>
            </a:rPr>
            <a:t>应变、挠度后，若时间过太久，内存中的数据会被系统回收，此时需重新计算才能使用导出功能）</a:t>
          </a:r>
          <a:endParaRPr lang="en-US" altLang="zh-CN" sz="1100">
            <a:solidFill>
              <a:srgbClr val="FF0000"/>
            </a:solidFill>
          </a:endParaRPr>
        </a:p>
        <a:p>
          <a:endParaRPr lang="en-US" altLang="zh-CN" sz="1100"/>
        </a:p>
        <a:p>
          <a:r>
            <a:rPr lang="en-US" altLang="zh-CN" sz="1100">
              <a:solidFill>
                <a:srgbClr val="FF0000"/>
              </a:solidFill>
            </a:rPr>
            <a:t>2</a:t>
          </a:r>
          <a:r>
            <a:rPr lang="zh-CN" altLang="en-US" sz="1100">
              <a:solidFill>
                <a:srgbClr val="FF0000"/>
              </a:solidFill>
            </a:rPr>
            <a:t>、生成报告的数据是基于所输入的原始测量数据计算得到的结果，修改</a:t>
          </a:r>
          <a:r>
            <a:rPr lang="en-US" altLang="zh-CN" sz="1100">
              <a:solidFill>
                <a:srgbClr val="FF0000"/>
              </a:solidFill>
            </a:rPr>
            <a:t>excel</a:t>
          </a:r>
          <a:r>
            <a:rPr lang="zh-CN" altLang="en-US" sz="1100">
              <a:solidFill>
                <a:srgbClr val="FF0000"/>
              </a:solidFill>
            </a:rPr>
            <a:t>中的计算结果不影响导出报告的数据；</a:t>
          </a:r>
          <a:endParaRPr lang="en-US" altLang="zh-CN" sz="1100">
            <a:solidFill>
              <a:srgbClr val="FF0000"/>
            </a:solidFill>
          </a:endParaRPr>
        </a:p>
        <a:p>
          <a:endParaRPr lang="zh-CN" altLang="en-US" sz="1100"/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defRPr/>
          </a:pPr>
          <a:r>
            <a:rPr lang="en-US" altLang="zh-CN" sz="1100"/>
            <a:t>3</a:t>
          </a:r>
          <a:r>
            <a:rPr lang="zh-CN" altLang="en-US" sz="1100"/>
            <a:t>、若导出失败，请尝试在任务管理器中关闭所有</a:t>
          </a:r>
          <a:r>
            <a:rPr lang="en-US" altLang="zh-CN" sz="1100"/>
            <a:t>word</a:t>
          </a:r>
          <a:r>
            <a:rPr lang="zh-CN" altLang="en-US" sz="1100"/>
            <a:t>进程，再重新进行导出（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打开任务管理器方法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：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Ctrl+alt+del</a:t>
          </a:r>
          <a:r>
            <a:rPr lang="zh-CN" altLang="en-US" sz="1100"/>
            <a:t>）；</a:t>
          </a:r>
          <a:endParaRPr lang="en-US" altLang="zh-CN" sz="1100"/>
        </a:p>
        <a:p>
          <a:pPr algn="l"/>
          <a:endParaRPr lang="en-US" altLang="zh-CN" sz="1100"/>
        </a:p>
        <a:p>
          <a:pPr algn="l"/>
          <a:r>
            <a:rPr lang="en-US" altLang="zh-CN" sz="1100"/>
            <a:t>4</a:t>
          </a:r>
          <a:r>
            <a:rPr lang="zh-CN" altLang="en-US" sz="1100"/>
            <a:t>、“导出</a:t>
          </a:r>
          <a:r>
            <a:rPr lang="en-US" altLang="zh-CN" sz="1100"/>
            <a:t>Word</a:t>
          </a:r>
          <a:r>
            <a:rPr lang="zh-CN" altLang="en-US" sz="1100"/>
            <a:t>报告”生成的报告为“自动生成的报告</a:t>
          </a:r>
          <a:r>
            <a:rPr lang="en-US" altLang="zh-CN" sz="1100"/>
            <a:t>.docx</a:t>
          </a:r>
          <a:r>
            <a:rPr lang="zh-CN" altLang="en-US" sz="1100"/>
            <a:t>”，“自动报告模板</a:t>
          </a:r>
          <a:r>
            <a:rPr lang="en-US" altLang="zh-CN" sz="1100"/>
            <a:t>.docx</a:t>
          </a:r>
          <a:r>
            <a:rPr lang="zh-CN" altLang="en-US" sz="1100"/>
            <a:t>”不要修改；</a:t>
          </a:r>
          <a:endParaRPr lang="en-US" altLang="zh-CN" sz="1100"/>
        </a:p>
        <a:p>
          <a:pPr algn="l"/>
          <a:endParaRPr lang="en-US" altLang="zh-CN" sz="1100"/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defRPr/>
          </a:pP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5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“导出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Word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计算书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”生成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的计算书为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“自动生成的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计算书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.docx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”，“自动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计算书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模板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.docx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”不要修改；</a:t>
          </a:r>
          <a:endParaRPr lang="zh-CN" altLang="zh-CN">
            <a:effectLst/>
          </a:endParaRPr>
        </a:p>
        <a:p>
          <a:pPr algn="l"/>
          <a:endParaRPr lang="en-US" altLang="zh-CN" sz="1100"/>
        </a:p>
        <a:p>
          <a:pPr algn="l"/>
          <a:r>
            <a:rPr lang="en-US" altLang="zh-CN" sz="1100"/>
            <a:t>6</a:t>
          </a:r>
          <a:r>
            <a:rPr lang="zh-CN" altLang="en-US" sz="1100">
              <a:ea typeface="宋体" panose="02010600030101010101" pitchFamily="7" charset="-122"/>
            </a:rPr>
            <a:t>、当前版本暂不支持自动导入图表。</a:t>
          </a:r>
          <a:endParaRPr lang="en-US" altLang="zh-CN" sz="1100"/>
        </a:p>
        <a:p>
          <a:pPr algn="l"/>
          <a:endParaRPr lang="en-US" altLang="zh-CN" sz="1100"/>
        </a:p>
        <a:p>
          <a:pPr algn="l"/>
          <a:endParaRPr lang="zh-CN" alt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136525</xdr:colOff>
          <xdr:row>9</xdr:row>
          <xdr:rowOff>136525</xdr:rowOff>
        </xdr:from>
        <xdr:to>
          <xdr:col>8</xdr:col>
          <xdr:colOff>41275</xdr:colOff>
          <xdr:row>11</xdr:row>
          <xdr:rowOff>88900</xdr:rowOff>
        </xdr:to>
        <xdr:sp macro="[0]!AutoThrustReport">
          <xdr:nvSpPr>
            <xdr:cNvPr id="4100" name="Button 4" hidden="1">
              <a:extLst>
                <a:ext uri="{63B3BB69-23CF-44E3-9099-C40C66FF867C}">
                  <a14:compatExt spid="_x0000_s4100"/>
                </a:ext>
              </a:extLst>
            </xdr:cNvPr>
            <xdr:cNvSpPr/>
          </xdr:nvSpPr>
          <xdr:spPr>
            <a:xfrm>
              <a:off x="4251325" y="1679575"/>
              <a:ext cx="1276350" cy="295275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>
              <a:defPPr>
                <a:defRPr lang="zh-CN"/>
              </a:defPPr>
              <a:lvl1pPr marL="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9pPr>
            </a:lstStyle>
            <a:p>
              <a:pPr algn="ctr" rtl="0">
                <a:defRPr sz="1000"/>
              </a:pPr>
              <a:r>
                <a:rPr lang="zh-CN" altLang="en-US" sz="11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导出栏杆推力报告</a:t>
              </a:r>
              <a:endParaRPr lang="zh-CN" altLang="en-US" sz="11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619125</xdr:colOff>
          <xdr:row>6</xdr:row>
          <xdr:rowOff>171450</xdr:rowOff>
        </xdr:from>
        <xdr:to>
          <xdr:col>8</xdr:col>
          <xdr:colOff>257175</xdr:colOff>
          <xdr:row>8</xdr:row>
          <xdr:rowOff>47625</xdr:rowOff>
        </xdr:to>
        <xdr:sp macro="[0]!AutoLevelingSurveyTransform">
          <xdr:nvSpPr>
            <xdr:cNvPr id="8193" name="Button 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>
            <a:xfrm>
              <a:off x="6419850" y="1200150"/>
              <a:ext cx="1009650" cy="219075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自动计算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647700</xdr:colOff>
          <xdr:row>4</xdr:row>
          <xdr:rowOff>85725</xdr:rowOff>
        </xdr:from>
        <xdr:to>
          <xdr:col>8</xdr:col>
          <xdr:colOff>609600</xdr:colOff>
          <xdr:row>5</xdr:row>
          <xdr:rowOff>152400</xdr:rowOff>
        </xdr:to>
        <xdr:sp macro="[0]!LevelingSurveyDataClear">
          <xdr:nvSpPr>
            <xdr:cNvPr id="8194" name="Button 2" hidden="1">
              <a:extLst>
                <a:ext uri="{63B3BB69-23CF-44E3-9099-C40C66FF867C}">
                  <a14:compatExt spid="_x0000_s8194"/>
                </a:ext>
              </a:extLst>
            </xdr:cNvPr>
            <xdr:cNvSpPr/>
          </xdr:nvSpPr>
          <xdr:spPr>
            <a:xfrm>
              <a:off x="6448425" y="771525"/>
              <a:ext cx="1333500" cy="238125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重填水准测量数据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  <xdr:twoCellAnchor>
    <xdr:from>
      <xdr:col>6</xdr:col>
      <xdr:colOff>190500</xdr:colOff>
      <xdr:row>16</xdr:row>
      <xdr:rowOff>9525</xdr:rowOff>
    </xdr:from>
    <xdr:to>
      <xdr:col>10</xdr:col>
      <xdr:colOff>485775</xdr:colOff>
      <xdr:row>27</xdr:row>
      <xdr:rowOff>95250</xdr:rowOff>
    </xdr:to>
    <xdr:sp>
      <xdr:nvSpPr>
        <xdr:cNvPr id="4" name="文本框 3"/>
        <xdr:cNvSpPr txBox="1"/>
      </xdr:nvSpPr>
      <xdr:spPr>
        <a:xfrm>
          <a:off x="5991225" y="2752725"/>
          <a:ext cx="3200400" cy="19716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CN" altLang="en-US" sz="1100"/>
            <a:t>使用说明：</a:t>
          </a:r>
          <a:endParaRPr lang="en-US" altLang="zh-CN" sz="1100"/>
        </a:p>
        <a:p>
          <a:r>
            <a:rPr lang="en-US" altLang="zh-CN" sz="1100">
              <a:solidFill>
                <a:srgbClr val="FF0000"/>
              </a:solidFill>
            </a:rPr>
            <a:t>1</a:t>
          </a:r>
          <a:r>
            <a:rPr lang="zh-CN" altLang="en-US" sz="1100">
              <a:solidFill>
                <a:srgbClr val="FF0000"/>
              </a:solidFill>
            </a:rPr>
            <a:t>、本标签可实现水准测量数据自动转换功能；</a:t>
          </a:r>
          <a:endParaRPr lang="en-US" altLang="zh-CN" sz="1100">
            <a:solidFill>
              <a:srgbClr val="FF0000"/>
            </a:solidFill>
          </a:endParaRPr>
        </a:p>
        <a:p>
          <a:r>
            <a:rPr lang="en-US" altLang="zh-CN" sz="1100"/>
            <a:t>2</a:t>
          </a:r>
          <a:r>
            <a:rPr lang="zh-CN" altLang="en-US" sz="1100"/>
            <a:t>、参考输入示例填写水准测量数据；</a:t>
          </a:r>
          <a:endParaRPr lang="en-US" altLang="zh-CN" sz="1100"/>
        </a:p>
        <a:p>
          <a:r>
            <a:rPr lang="en-US" altLang="zh-CN" sz="1100"/>
            <a:t>3</a:t>
          </a:r>
          <a:r>
            <a:rPr lang="zh-CN" altLang="en-US" sz="1100"/>
            <a:t>、基点高程可填写</a:t>
          </a:r>
          <a:r>
            <a:rPr lang="en-US" altLang="zh-CN" sz="1100"/>
            <a:t>0</a:t>
          </a:r>
          <a:r>
            <a:rPr lang="zh-CN" altLang="en-US" sz="1100"/>
            <a:t>；</a:t>
          </a:r>
          <a:endParaRPr lang="en-US" altLang="zh-CN" sz="1100"/>
        </a:p>
        <a:p>
          <a:r>
            <a:rPr lang="en-US" altLang="zh-CN" sz="1100"/>
            <a:t>4</a:t>
          </a:r>
          <a:r>
            <a:rPr lang="zh-CN" altLang="en-US" sz="1100"/>
            <a:t>、点击“自动计算”进行计算；</a:t>
          </a:r>
          <a:endParaRPr lang="en-US" altLang="zh-CN" sz="1100"/>
        </a:p>
        <a:p>
          <a:r>
            <a:rPr lang="en-US" altLang="zh-CN" sz="1100"/>
            <a:t>5</a:t>
          </a:r>
          <a:r>
            <a:rPr lang="zh-CN" altLang="en-US" sz="1100"/>
            <a:t>、换算百分表读数是高程的相反数（高程读数换算后才能用百分表的计算公式计算挠度的有关结果）；</a:t>
          </a:r>
          <a:endParaRPr lang="en-US" altLang="zh-CN" sz="1100"/>
        </a:p>
        <a:p>
          <a:r>
            <a:rPr lang="en-US" altLang="zh-CN" sz="1100"/>
            <a:t>6</a:t>
          </a:r>
          <a:r>
            <a:rPr lang="zh-CN" altLang="en-US" sz="1100"/>
            <a:t>、“重填水准测量数据”可以快速清空已填写数据。</a:t>
          </a:r>
          <a:endParaRPr lang="zh-CN" altLang="en-US" sz="11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1</xdr:col>
      <xdr:colOff>339725</xdr:colOff>
      <xdr:row>17</xdr:row>
      <xdr:rowOff>19050</xdr:rowOff>
    </xdr:from>
    <xdr:to>
      <xdr:col>8</xdr:col>
      <xdr:colOff>111125</xdr:colOff>
      <xdr:row>33</xdr:row>
      <xdr:rowOff>19050</xdr:rowOff>
    </xdr:to>
    <xdr:graphicFrame>
      <xdr:nvGraphicFramePr>
        <xdr:cNvPr id="8" name="图表 7"/>
        <xdr:cNvGraphicFramePr/>
      </xdr:nvGraphicFramePr>
      <xdr:xfrm>
        <a:off x="1025525" y="2933700"/>
        <a:ext cx="4572000" cy="27432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452120</xdr:colOff>
      <xdr:row>13</xdr:row>
      <xdr:rowOff>28575</xdr:rowOff>
    </xdr:from>
    <xdr:to>
      <xdr:col>20</xdr:col>
      <xdr:colOff>223520</xdr:colOff>
      <xdr:row>28</xdr:row>
      <xdr:rowOff>57150</xdr:rowOff>
    </xdr:to>
    <xdr:graphicFrame>
      <xdr:nvGraphicFramePr>
        <xdr:cNvPr id="2" name="图表 1"/>
        <xdr:cNvGraphicFramePr/>
      </xdr:nvGraphicFramePr>
      <xdr:xfrm>
        <a:off x="9367520" y="2257425"/>
        <a:ext cx="4572000" cy="2600325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320675</xdr:colOff>
      <xdr:row>14</xdr:row>
      <xdr:rowOff>155575</xdr:rowOff>
    </xdr:from>
    <xdr:to>
      <xdr:col>14</xdr:col>
      <xdr:colOff>92075</xdr:colOff>
      <xdr:row>30</xdr:row>
      <xdr:rowOff>155575</xdr:rowOff>
    </xdr:to>
    <xdr:graphicFrame>
      <xdr:nvGraphicFramePr>
        <xdr:cNvPr id="3" name="图表 2"/>
        <xdr:cNvGraphicFramePr/>
      </xdr:nvGraphicFramePr>
      <xdr:xfrm>
        <a:off x="5121275" y="2555875"/>
        <a:ext cx="4572000" cy="27432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 editAs="oneCell">
    <xdr:from>
      <xdr:col>22</xdr:col>
      <xdr:colOff>47625</xdr:colOff>
      <xdr:row>0</xdr:row>
      <xdr:rowOff>95250</xdr:rowOff>
    </xdr:from>
    <xdr:to>
      <xdr:col>30</xdr:col>
      <xdr:colOff>146685</xdr:colOff>
      <xdr:row>4</xdr:row>
      <xdr:rowOff>60960</xdr:rowOff>
    </xdr:to>
    <xdr:pic>
      <xdr:nvPicPr>
        <xdr:cNvPr id="2" name="Picture 1"/>
        <xdr:cNvPicPr>
          <a:picLocks noChangeAspect="1" noChangeArrowheads="1"/>
        </xdr:cNvPicPr>
      </xdr:nvPicPr>
      <xdr:blipFill>
        <a:blip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18143" b="9091"/>
        <a:stretch>
          <a:fillRect/>
        </a:stretch>
      </xdr:blipFill>
      <xdr:spPr>
        <a:xfrm>
          <a:off x="15135225" y="95250"/>
          <a:ext cx="5585460" cy="65151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xmlns:a14="http://schemas.microsoft.com/office/drawing/2010/main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 editAs="oneCell">
    <xdr:from>
      <xdr:col>22</xdr:col>
      <xdr:colOff>47625</xdr:colOff>
      <xdr:row>0</xdr:row>
      <xdr:rowOff>95250</xdr:rowOff>
    </xdr:from>
    <xdr:to>
      <xdr:col>30</xdr:col>
      <xdr:colOff>146685</xdr:colOff>
      <xdr:row>4</xdr:row>
      <xdr:rowOff>60960</xdr:rowOff>
    </xdr:to>
    <xdr:pic>
      <xdr:nvPicPr>
        <xdr:cNvPr id="3" name="Picture 1"/>
        <xdr:cNvPicPr>
          <a:picLocks noChangeAspect="1" noChangeArrowheads="1"/>
        </xdr:cNvPicPr>
      </xdr:nvPicPr>
      <xdr:blipFill>
        <a:blip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18143" b="9091"/>
        <a:stretch>
          <a:fillRect/>
        </a:stretch>
      </xdr:blipFill>
      <xdr:spPr>
        <a:xfrm>
          <a:off x="15135225" y="95250"/>
          <a:ext cx="5585460" cy="65151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xmlns:a14="http://schemas.microsoft.com/office/drawing/2010/main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 editAs="oneCell">
    <xdr:from>
      <xdr:col>22</xdr:col>
      <xdr:colOff>47625</xdr:colOff>
      <xdr:row>0</xdr:row>
      <xdr:rowOff>95250</xdr:rowOff>
    </xdr:from>
    <xdr:to>
      <xdr:col>30</xdr:col>
      <xdr:colOff>146685</xdr:colOff>
      <xdr:row>4</xdr:row>
      <xdr:rowOff>60960</xdr:rowOff>
    </xdr:to>
    <xdr:pic>
      <xdr:nvPicPr>
        <xdr:cNvPr id="4" name="Picture 1"/>
        <xdr:cNvPicPr>
          <a:picLocks noChangeAspect="1" noChangeArrowheads="1"/>
        </xdr:cNvPicPr>
      </xdr:nvPicPr>
      <xdr:blipFill>
        <a:blip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18143" b="9091"/>
        <a:stretch>
          <a:fillRect/>
        </a:stretch>
      </xdr:blipFill>
      <xdr:spPr>
        <a:xfrm>
          <a:off x="15135225" y="95250"/>
          <a:ext cx="5585460" cy="65151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xmlns:a14="http://schemas.microsoft.com/office/drawing/2010/main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 editAs="oneCell">
    <xdr:from>
      <xdr:col>22</xdr:col>
      <xdr:colOff>47625</xdr:colOff>
      <xdr:row>0</xdr:row>
      <xdr:rowOff>95250</xdr:rowOff>
    </xdr:from>
    <xdr:to>
      <xdr:col>30</xdr:col>
      <xdr:colOff>146685</xdr:colOff>
      <xdr:row>4</xdr:row>
      <xdr:rowOff>60960</xdr:rowOff>
    </xdr:to>
    <xdr:pic>
      <xdr:nvPicPr>
        <xdr:cNvPr id="12" name="Picture 1"/>
        <xdr:cNvPicPr>
          <a:picLocks noChangeAspect="1" noChangeArrowheads="1"/>
        </xdr:cNvPicPr>
      </xdr:nvPicPr>
      <xdr:blipFill>
        <a:blip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18143" b="9091"/>
        <a:stretch>
          <a:fillRect/>
        </a:stretch>
      </xdr:blipFill>
      <xdr:spPr>
        <a:xfrm>
          <a:off x="15135225" y="95250"/>
          <a:ext cx="5585460" cy="65151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xmlns:a14="http://schemas.microsoft.com/office/drawing/2010/main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419100</xdr:colOff>
          <xdr:row>7</xdr:row>
          <xdr:rowOff>161925</xdr:rowOff>
        </xdr:from>
        <xdr:to>
          <xdr:col>10</xdr:col>
          <xdr:colOff>95250</xdr:colOff>
          <xdr:row>9</xdr:row>
          <xdr:rowOff>133350</xdr:rowOff>
        </xdr:to>
        <xdr:sp macro="[0]!AutoStrain_Click">
          <xdr:nvSpPr>
            <xdr:cNvPr id="6151" name="Button 7" hidden="1">
              <a:extLst>
                <a:ext uri="{63B3BB69-23CF-44E3-9099-C40C66FF867C}">
                  <a14:compatExt spid="_x0000_s6151"/>
                </a:ext>
              </a:extLst>
            </xdr:cNvPr>
            <xdr:cNvSpPr/>
          </xdr:nvSpPr>
          <xdr:spPr>
            <a:xfrm>
              <a:off x="5905500" y="1362075"/>
              <a:ext cx="1047750" cy="314325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自动计算应变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419100</xdr:colOff>
          <xdr:row>5</xdr:row>
          <xdr:rowOff>133350</xdr:rowOff>
        </xdr:from>
        <xdr:to>
          <xdr:col>10</xdr:col>
          <xdr:colOff>9525</xdr:colOff>
          <xdr:row>7</xdr:row>
          <xdr:rowOff>66675</xdr:rowOff>
        </xdr:to>
        <xdr:sp macro="[0]!GenerateStrainRows_Click">
          <xdr:nvSpPr>
            <xdr:cNvPr id="6152" name="Button 8" hidden="1">
              <a:extLst>
                <a:ext uri="{63B3BB69-23CF-44E3-9099-C40C66FF867C}">
                  <a14:compatExt spid="_x0000_s6152"/>
                </a:ext>
              </a:extLst>
            </xdr:cNvPr>
            <xdr:cNvSpPr/>
          </xdr:nvSpPr>
          <xdr:spPr>
            <a:xfrm>
              <a:off x="5905500" y="990600"/>
              <a:ext cx="962025" cy="276225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生成输入行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9" Type="http://schemas.openxmlformats.org/officeDocument/2006/relationships/ctrlProp" Target="../ctrlProps/ctrlProp7.xml"/><Relationship Id="rId8" Type="http://schemas.openxmlformats.org/officeDocument/2006/relationships/ctrlProp" Target="../ctrlProps/ctrlProp6.xml"/><Relationship Id="rId7" Type="http://schemas.openxmlformats.org/officeDocument/2006/relationships/ctrlProp" Target="../ctrlProps/ctrlProp5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0" Type="http://schemas.openxmlformats.org/officeDocument/2006/relationships/ctrlProp" Target="../ctrlProps/ctrlProp8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4.xml"/><Relationship Id="rId7" Type="http://schemas.openxmlformats.org/officeDocument/2006/relationships/ctrlProp" Target="../ctrlProps/ctrlProp13.xml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0.xml"/><Relationship Id="rId7" Type="http://schemas.openxmlformats.org/officeDocument/2006/relationships/ctrlProp" Target="../ctrlProps/ctrlProp19.xml"/><Relationship Id="rId6" Type="http://schemas.openxmlformats.org/officeDocument/2006/relationships/ctrlProp" Target="../ctrlProps/ctrlProp18.xml"/><Relationship Id="rId5" Type="http://schemas.openxmlformats.org/officeDocument/2006/relationships/ctrlProp" Target="../ctrlProps/ctrlProp17.xml"/><Relationship Id="rId4" Type="http://schemas.openxmlformats.org/officeDocument/2006/relationships/ctrlProp" Target="../ctrlProps/ctrlProp16.xml"/><Relationship Id="rId3" Type="http://schemas.openxmlformats.org/officeDocument/2006/relationships/ctrlProp" Target="../ctrlProps/ctrlProp15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5" Type="http://schemas.openxmlformats.org/officeDocument/2006/relationships/ctrlProp" Target="../ctrlProps/ctrlProp23.xml"/><Relationship Id="rId4" Type="http://schemas.openxmlformats.org/officeDocument/2006/relationships/ctrlProp" Target="../ctrlProps/ctrlProp22.xml"/><Relationship Id="rId3" Type="http://schemas.openxmlformats.org/officeDocument/2006/relationships/ctrlProp" Target="../ctrlProps/ctrlProp21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5" Type="http://schemas.openxmlformats.org/officeDocument/2006/relationships/ctrlProp" Target="../ctrlProps/ctrlProp26.xml"/><Relationship Id="rId4" Type="http://schemas.openxmlformats.org/officeDocument/2006/relationships/ctrlProp" Target="../ctrlProps/ctrlProp25.xml"/><Relationship Id="rId3" Type="http://schemas.openxmlformats.org/officeDocument/2006/relationships/ctrlProp" Target="../ctrlProps/ctrlProp24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4" Type="http://schemas.openxmlformats.org/officeDocument/2006/relationships/ctrlProp" Target="../ctrlProps/ctrlProp28.xml"/><Relationship Id="rId3" Type="http://schemas.openxmlformats.org/officeDocument/2006/relationships/ctrlProp" Target="../ctrlProps/ctrlProp27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4" Type="http://schemas.openxmlformats.org/officeDocument/2006/relationships/ctrlProp" Target="../ctrlProps/ctrlProp30.xml"/><Relationship Id="rId3" Type="http://schemas.openxmlformats.org/officeDocument/2006/relationships/ctrlProp" Target="../ctrlProps/ctrlProp29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8"/>
  <dimension ref="D14"/>
  <sheetViews>
    <sheetView workbookViewId="0">
      <selection activeCell="A36" sqref="A36"/>
    </sheetView>
  </sheetViews>
  <sheetFormatPr defaultColWidth="9" defaultRowHeight="13.5" outlineLevelCol="3"/>
  <sheetData>
    <row r="14" spans="4:4">
      <c r="D14" s="1"/>
    </row>
  </sheetData>
  <pageMargins left="0.699305555555556" right="0.699305555555556" top="0.75" bottom="0.75" header="0.3" footer="0.3"/>
  <pageSetup paperSize="9" orientation="portrait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5" name="Button 7" r:id="rId3">
              <controlPr print="0" defaultSize="0">
                <anchor moveWithCells="1" sizeWithCells="1">
                  <from>
                    <xdr:col>7</xdr:col>
                    <xdr:colOff>28575</xdr:colOff>
                    <xdr:row>10</xdr:row>
                    <xdr:rowOff>123825</xdr:rowOff>
                  </from>
                  <to>
                    <xdr:col>8</xdr:col>
                    <xdr:colOff>276225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7" name="Button 9" r:id="rId4">
              <controlPr defaultSize="0">
                <anchor moveWithCells="1" sizeWithCells="1">
                  <from>
                    <xdr:col>3</xdr:col>
                    <xdr:colOff>238125</xdr:colOff>
                    <xdr:row>10</xdr:row>
                    <xdr:rowOff>41910</xdr:rowOff>
                  </from>
                  <to>
                    <xdr:col>4</xdr:col>
                    <xdr:colOff>447675</xdr:colOff>
                    <xdr:row>11</xdr:row>
                    <xdr:rowOff>69215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8" name="op1" r:id="rId5">
              <controlPr defaultSize="0">
                <anchor moveWithCells="1">
                  <from>
                    <xdr:col>3</xdr:col>
                    <xdr:colOff>200025</xdr:colOff>
                    <xdr:row>8</xdr:row>
                    <xdr:rowOff>86360</xdr:rowOff>
                  </from>
                  <to>
                    <xdr:col>4</xdr:col>
                    <xdr:colOff>209550</xdr:colOff>
                    <xdr:row>10</xdr:row>
                    <xdr:rowOff>5715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" name="Group Box 12" r:id="rId6">
              <controlPr defaultSize="0">
                <anchor moveWithCells="1">
                  <from>
                    <xdr:col>3</xdr:col>
                    <xdr:colOff>38100</xdr:colOff>
                    <xdr:row>7</xdr:row>
                    <xdr:rowOff>104775</xdr:rowOff>
                  </from>
                  <to>
                    <xdr:col>6</xdr:col>
                    <xdr:colOff>76200</xdr:colOff>
                    <xdr:row>11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" name="op2" r:id="rId7">
              <controlPr defaultSize="0">
                <anchor moveWithCells="1">
                  <from>
                    <xdr:col>4</xdr:col>
                    <xdr:colOff>381000</xdr:colOff>
                    <xdr:row>8</xdr:row>
                    <xdr:rowOff>77470</xdr:rowOff>
                  </from>
                  <to>
                    <xdr:col>5</xdr:col>
                    <xdr:colOff>619125</xdr:colOff>
                    <xdr:row>9</xdr:row>
                    <xdr:rowOff>168275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" name="label1" r:id="rId8">
              <controlPr defaultSize="0">
                <anchor moveWithCells="1" sizeWithCells="1">
                  <from>
                    <xdr:col>3</xdr:col>
                    <xdr:colOff>9525</xdr:colOff>
                    <xdr:row>13</xdr:row>
                    <xdr:rowOff>9525</xdr:rowOff>
                  </from>
                  <to>
                    <xdr:col>9</xdr:col>
                    <xdr:colOff>466725</xdr:colOff>
                    <xdr:row>14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" name="VersionPrompt" r:id="rId9">
              <controlPr defaultSize="0">
                <anchor moveWithCells="1" sizeWithCells="1">
                  <from>
                    <xdr:col>3</xdr:col>
                    <xdr:colOff>38100</xdr:colOff>
                    <xdr:row>14</xdr:row>
                    <xdr:rowOff>114300</xdr:rowOff>
                  </from>
                  <to>
                    <xdr:col>4</xdr:col>
                    <xdr:colOff>228600</xdr:colOff>
                    <xdr:row>16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" name="Version" r:id="rId10">
              <controlPr defaultSize="0">
                <anchor moveWithCells="1" sizeWithCells="1">
                  <from>
                    <xdr:col>4</xdr:col>
                    <xdr:colOff>9525</xdr:colOff>
                    <xdr:row>14</xdr:row>
                    <xdr:rowOff>114300</xdr:rowOff>
                  </from>
                  <to>
                    <xdr:col>5</xdr:col>
                    <xdr:colOff>276225</xdr:colOff>
                    <xdr:row>16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1"/>
  <dimension ref="A1:S40"/>
  <sheetViews>
    <sheetView workbookViewId="0">
      <selection activeCell="I16" sqref="I16"/>
    </sheetView>
  </sheetViews>
  <sheetFormatPr defaultColWidth="9" defaultRowHeight="13.5"/>
  <cols>
    <col min="1" max="1" width="11.875" customWidth="1"/>
  </cols>
  <sheetData>
    <row r="1" spans="1:2">
      <c r="A1" t="s">
        <v>0</v>
      </c>
      <c r="B1">
        <v>2</v>
      </c>
    </row>
    <row r="2" spans="1:19">
      <c r="A2" t="s">
        <v>1</v>
      </c>
      <c r="B2">
        <v>4</v>
      </c>
      <c r="C2" t="s">
        <v>2</v>
      </c>
      <c r="D2">
        <v>4</v>
      </c>
      <c r="E2" t="s">
        <v>3</v>
      </c>
      <c r="G2" t="s">
        <v>4</v>
      </c>
      <c r="I2" t="s">
        <v>5</v>
      </c>
      <c r="K2" t="s">
        <v>6</v>
      </c>
      <c r="M2" t="s">
        <v>7</v>
      </c>
      <c r="O2" t="s">
        <v>8</v>
      </c>
      <c r="Q2" t="s">
        <v>9</v>
      </c>
      <c r="S2" t="s">
        <v>10</v>
      </c>
    </row>
    <row r="3" spans="1:19">
      <c r="A3" t="s">
        <v>11</v>
      </c>
      <c r="B3">
        <v>1</v>
      </c>
      <c r="C3" t="s">
        <v>11</v>
      </c>
      <c r="D3">
        <v>2</v>
      </c>
      <c r="E3" t="s">
        <v>11</v>
      </c>
      <c r="G3" t="s">
        <v>11</v>
      </c>
      <c r="I3" t="s">
        <v>11</v>
      </c>
      <c r="K3" t="s">
        <v>11</v>
      </c>
      <c r="M3" t="s">
        <v>11</v>
      </c>
      <c r="O3" t="s">
        <v>11</v>
      </c>
      <c r="Q3" t="s">
        <v>11</v>
      </c>
      <c r="S3" t="s">
        <v>11</v>
      </c>
    </row>
    <row r="4" spans="1:4">
      <c r="A4" s="1" t="s">
        <v>12</v>
      </c>
      <c r="B4">
        <v>2.41</v>
      </c>
      <c r="D4">
        <v>2.11</v>
      </c>
    </row>
    <row r="5" spans="1:4">
      <c r="A5" t="s">
        <v>13</v>
      </c>
      <c r="B5">
        <v>0.76</v>
      </c>
      <c r="D5">
        <v>0.6</v>
      </c>
    </row>
    <row r="6" spans="1:4">
      <c r="A6" t="s">
        <v>14</v>
      </c>
      <c r="B6">
        <v>0.89</v>
      </c>
      <c r="D6">
        <v>0.88</v>
      </c>
    </row>
    <row r="7" spans="1:4">
      <c r="A7" s="1" t="s">
        <v>15</v>
      </c>
      <c r="B7" s="2">
        <v>0</v>
      </c>
      <c r="D7" s="2">
        <v>0</v>
      </c>
    </row>
    <row r="8" spans="1:4">
      <c r="A8" t="s">
        <v>16</v>
      </c>
      <c r="B8" s="2">
        <v>0.0474</v>
      </c>
      <c r="D8" s="2">
        <v>0.1795</v>
      </c>
    </row>
    <row r="11" ht="14.25" spans="1:12">
      <c r="A11" s="3" t="s">
        <v>17</v>
      </c>
      <c r="B11" s="3" t="s">
        <v>18</v>
      </c>
      <c r="C11" s="4" t="s">
        <v>19</v>
      </c>
      <c r="D11" s="4" t="s">
        <v>20</v>
      </c>
      <c r="E11" s="4"/>
      <c r="F11" s="4" t="s">
        <v>21</v>
      </c>
      <c r="G11" s="4"/>
      <c r="H11" s="4"/>
      <c r="I11" s="4" t="s">
        <v>22</v>
      </c>
      <c r="J11" s="4" t="s">
        <v>23</v>
      </c>
      <c r="K11" s="4" t="s">
        <v>24</v>
      </c>
      <c r="L11" s="4" t="s">
        <v>25</v>
      </c>
    </row>
    <row r="12" ht="14.25" spans="1:12">
      <c r="A12" s="3"/>
      <c r="B12" s="5"/>
      <c r="C12" s="6"/>
      <c r="D12" s="4" t="s">
        <v>26</v>
      </c>
      <c r="E12" s="4" t="s">
        <v>27</v>
      </c>
      <c r="F12" s="4" t="s">
        <v>26</v>
      </c>
      <c r="G12" s="4" t="s">
        <v>28</v>
      </c>
      <c r="H12" s="4" t="s">
        <v>29</v>
      </c>
      <c r="I12" s="4"/>
      <c r="J12" s="4"/>
      <c r="K12" s="4"/>
      <c r="L12" s="4"/>
    </row>
    <row r="13" spans="1:12">
      <c r="A13" s="76" t="s">
        <v>30</v>
      </c>
      <c r="B13" s="119" t="s">
        <v>31</v>
      </c>
      <c r="C13" s="76">
        <v>162.82</v>
      </c>
      <c r="D13" s="76">
        <v>164.48</v>
      </c>
      <c r="E13" s="105">
        <v>1.66</v>
      </c>
      <c r="F13" s="76">
        <v>162.62</v>
      </c>
      <c r="G13" s="105">
        <v>-1.85999999999999</v>
      </c>
      <c r="H13" s="105">
        <v>0</v>
      </c>
      <c r="I13" s="128">
        <v>1.66</v>
      </c>
      <c r="J13" s="22">
        <v>2.09</v>
      </c>
      <c r="K13" s="128">
        <v>0.79425837320574</v>
      </c>
      <c r="L13" s="129">
        <v>0</v>
      </c>
    </row>
    <row r="14" spans="1:12">
      <c r="A14" s="22" t="s">
        <v>30</v>
      </c>
      <c r="B14" s="119" t="s">
        <v>32</v>
      </c>
      <c r="C14" s="76">
        <v>106.13</v>
      </c>
      <c r="D14" s="76">
        <v>108.15</v>
      </c>
      <c r="E14" s="105">
        <v>2.02000000000001</v>
      </c>
      <c r="F14" s="76">
        <v>106.13</v>
      </c>
      <c r="G14" s="105">
        <v>-2.02000000000001</v>
      </c>
      <c r="H14" s="105">
        <v>0</v>
      </c>
      <c r="I14" s="128">
        <v>2.02000000000001</v>
      </c>
      <c r="J14" s="22">
        <v>2.66</v>
      </c>
      <c r="K14" s="128">
        <v>0.759398496240605</v>
      </c>
      <c r="L14" s="129">
        <v>0</v>
      </c>
    </row>
    <row r="15" spans="1:12">
      <c r="A15" s="22" t="s">
        <v>30</v>
      </c>
      <c r="B15" s="119" t="s">
        <v>33</v>
      </c>
      <c r="C15" s="76">
        <v>76.95</v>
      </c>
      <c r="D15" s="76">
        <v>79.48</v>
      </c>
      <c r="E15" s="105">
        <v>2.53</v>
      </c>
      <c r="F15" s="76">
        <v>77.07</v>
      </c>
      <c r="G15" s="105">
        <v>-2.41000000000001</v>
      </c>
      <c r="H15" s="105">
        <v>0.11999999999999</v>
      </c>
      <c r="I15" s="128">
        <v>2.41000000000001</v>
      </c>
      <c r="J15" s="22">
        <v>2.7</v>
      </c>
      <c r="K15" s="128">
        <v>0.892592592592596</v>
      </c>
      <c r="L15" s="129">
        <v>0.0474308300395219</v>
      </c>
    </row>
    <row r="16" spans="1:12">
      <c r="A16" s="22" t="s">
        <v>30</v>
      </c>
      <c r="B16" s="119" t="s">
        <v>34</v>
      </c>
      <c r="C16" s="76">
        <v>-259.81</v>
      </c>
      <c r="D16" s="76">
        <v>-257.64</v>
      </c>
      <c r="E16" s="105">
        <v>2.17000000000002</v>
      </c>
      <c r="F16" s="76">
        <v>-260.02</v>
      </c>
      <c r="G16" s="105">
        <v>-2.38</v>
      </c>
      <c r="H16" s="105">
        <v>0</v>
      </c>
      <c r="I16" s="128">
        <v>2.17000000000002</v>
      </c>
      <c r="J16" s="22">
        <v>2.59</v>
      </c>
      <c r="K16" s="128">
        <v>0.837837837837844</v>
      </c>
      <c r="L16" s="129">
        <v>0</v>
      </c>
    </row>
    <row r="17" spans="1:12">
      <c r="A17" s="22" t="s">
        <v>35</v>
      </c>
      <c r="B17" s="85" t="s">
        <v>36</v>
      </c>
      <c r="C17" s="76">
        <v>805.6</v>
      </c>
      <c r="D17" s="76">
        <v>807.43</v>
      </c>
      <c r="E17" s="105">
        <v>1.82999999999993</v>
      </c>
      <c r="F17" s="76">
        <v>805.45</v>
      </c>
      <c r="G17" s="105">
        <v>-1.9799999999999</v>
      </c>
      <c r="H17" s="105">
        <v>0</v>
      </c>
      <c r="I17" s="128">
        <v>1.82999999999993</v>
      </c>
      <c r="J17" s="22">
        <v>2.09</v>
      </c>
      <c r="K17" s="128">
        <v>0.875598086124367</v>
      </c>
      <c r="L17" s="129">
        <v>0</v>
      </c>
    </row>
    <row r="18" spans="1:12">
      <c r="A18" s="22" t="s">
        <v>35</v>
      </c>
      <c r="B18" s="119" t="s">
        <v>37</v>
      </c>
      <c r="C18" s="76">
        <v>759.15</v>
      </c>
      <c r="D18" s="76">
        <v>761.1</v>
      </c>
      <c r="E18" s="105">
        <v>1.95000000000005</v>
      </c>
      <c r="F18" s="76">
        <v>759.5</v>
      </c>
      <c r="G18" s="105">
        <v>-1.60000000000002</v>
      </c>
      <c r="H18" s="105">
        <v>0.350000000000023</v>
      </c>
      <c r="I18" s="128">
        <v>1.60000000000002</v>
      </c>
      <c r="J18" s="22">
        <v>2.66</v>
      </c>
      <c r="K18" s="128">
        <v>0.601503759398505</v>
      </c>
      <c r="L18" s="129">
        <v>0.179487179487187</v>
      </c>
    </row>
    <row r="19" spans="1:12">
      <c r="A19" s="22" t="s">
        <v>35</v>
      </c>
      <c r="B19" s="119" t="s">
        <v>38</v>
      </c>
      <c r="C19" s="76">
        <v>716.2</v>
      </c>
      <c r="D19" s="76">
        <v>718.09</v>
      </c>
      <c r="E19" s="105">
        <v>1.88999999999999</v>
      </c>
      <c r="F19" s="76">
        <v>716.36</v>
      </c>
      <c r="G19" s="105">
        <v>-1.73000000000002</v>
      </c>
      <c r="H19" s="105">
        <v>0.159999999999968</v>
      </c>
      <c r="I19" s="128">
        <v>1.73000000000002</v>
      </c>
      <c r="J19" s="22">
        <v>2.7</v>
      </c>
      <c r="K19" s="128">
        <v>0.640740740740747</v>
      </c>
      <c r="L19" s="129">
        <v>0.0846560846560684</v>
      </c>
    </row>
    <row r="20" spans="1:12">
      <c r="A20" s="22" t="s">
        <v>35</v>
      </c>
      <c r="B20" s="119" t="s">
        <v>39</v>
      </c>
      <c r="C20" s="76">
        <v>378.35</v>
      </c>
      <c r="D20" s="76">
        <v>380.57</v>
      </c>
      <c r="E20" s="105">
        <v>2.21999999999997</v>
      </c>
      <c r="F20" s="76">
        <v>378.46</v>
      </c>
      <c r="G20" s="105">
        <v>-2.11000000000001</v>
      </c>
      <c r="H20" s="105">
        <v>0.109999999999957</v>
      </c>
      <c r="I20" s="128">
        <v>2.11000000000001</v>
      </c>
      <c r="J20" s="22">
        <v>2.59</v>
      </c>
      <c r="K20" s="128">
        <v>0.81467181467182</v>
      </c>
      <c r="L20" s="129">
        <v>0.0495495495495308</v>
      </c>
    </row>
    <row r="21" spans="1:12">
      <c r="A21" s="22"/>
      <c r="B21" s="7"/>
      <c r="C21" s="76"/>
      <c r="D21" s="76"/>
      <c r="E21" s="105"/>
      <c r="F21" s="76"/>
      <c r="G21" s="105"/>
      <c r="H21" s="105"/>
      <c r="I21" s="128"/>
      <c r="J21" s="22"/>
      <c r="K21" s="128"/>
      <c r="L21" s="129"/>
    </row>
    <row r="22" spans="1:12">
      <c r="A22" s="120"/>
      <c r="B22" s="92"/>
      <c r="C22" s="105"/>
      <c r="D22" s="105"/>
      <c r="E22" s="105"/>
      <c r="F22" s="121"/>
      <c r="G22" s="105"/>
      <c r="H22" s="105"/>
      <c r="I22" s="128"/>
      <c r="J22" s="120"/>
      <c r="K22" s="128"/>
      <c r="L22" s="129"/>
    </row>
    <row r="23" spans="1:16">
      <c r="A23" s="120"/>
      <c r="B23" s="92"/>
      <c r="C23" s="105"/>
      <c r="D23" s="105"/>
      <c r="E23" s="105"/>
      <c r="F23" s="121"/>
      <c r="G23" s="105"/>
      <c r="H23" s="105"/>
      <c r="I23" s="128"/>
      <c r="J23" s="120"/>
      <c r="K23" s="128"/>
      <c r="L23" s="129"/>
      <c r="P23" s="1"/>
    </row>
    <row r="24" spans="1:12">
      <c r="A24" s="120"/>
      <c r="B24" s="92"/>
      <c r="C24" s="105"/>
      <c r="D24" s="105"/>
      <c r="E24" s="105"/>
      <c r="F24" s="121"/>
      <c r="G24" s="105"/>
      <c r="H24" s="105"/>
      <c r="I24" s="128"/>
      <c r="J24" s="120"/>
      <c r="K24" s="128"/>
      <c r="L24" s="129"/>
    </row>
    <row r="25" spans="1:12">
      <c r="A25" s="120"/>
      <c r="B25" s="92"/>
      <c r="C25" s="105"/>
      <c r="D25" s="105"/>
      <c r="E25" s="105"/>
      <c r="F25" s="121"/>
      <c r="G25" s="105"/>
      <c r="H25" s="105"/>
      <c r="I25" s="128"/>
      <c r="J25" s="120"/>
      <c r="K25" s="128"/>
      <c r="L25" s="129"/>
    </row>
    <row r="26" ht="14.25" spans="1:12">
      <c r="A26" s="120"/>
      <c r="B26" s="122"/>
      <c r="C26" s="123"/>
      <c r="D26" s="123"/>
      <c r="E26" s="105"/>
      <c r="F26" s="124"/>
      <c r="G26" s="105"/>
      <c r="H26" s="105"/>
      <c r="I26" s="128"/>
      <c r="J26" s="120"/>
      <c r="K26" s="128"/>
      <c r="L26" s="129"/>
    </row>
    <row r="27" spans="1:12">
      <c r="A27" s="120"/>
      <c r="B27" s="92"/>
      <c r="C27" s="105"/>
      <c r="D27" s="125"/>
      <c r="E27" s="125"/>
      <c r="F27" s="125"/>
      <c r="G27" s="125"/>
      <c r="H27" s="105"/>
      <c r="I27" s="130"/>
      <c r="J27" s="131"/>
      <c r="K27" s="130"/>
      <c r="L27" s="132"/>
    </row>
    <row r="28" spans="1:17">
      <c r="A28" s="120"/>
      <c r="B28" s="92"/>
      <c r="C28" s="105"/>
      <c r="D28" s="105"/>
      <c r="E28" s="105"/>
      <c r="F28" s="105"/>
      <c r="G28" s="105"/>
      <c r="H28" s="105"/>
      <c r="I28" s="128"/>
      <c r="J28" s="120"/>
      <c r="K28" s="128"/>
      <c r="L28" s="129"/>
      <c r="Q28" s="1"/>
    </row>
    <row r="29" spans="1:12">
      <c r="A29" s="120"/>
      <c r="B29" s="92"/>
      <c r="C29" s="105"/>
      <c r="D29" s="105"/>
      <c r="E29" s="126"/>
      <c r="F29" s="105"/>
      <c r="G29" s="105"/>
      <c r="H29" s="105"/>
      <c r="I29" s="133"/>
      <c r="J29" s="134"/>
      <c r="K29" s="133"/>
      <c r="L29" s="135"/>
    </row>
    <row r="30" spans="1:12">
      <c r="A30" s="120"/>
      <c r="B30" s="92"/>
      <c r="C30" s="127"/>
      <c r="D30" s="127"/>
      <c r="E30" s="105"/>
      <c r="F30" s="127"/>
      <c r="G30" s="127"/>
      <c r="H30" s="105"/>
      <c r="I30" s="128"/>
      <c r="J30" s="120"/>
      <c r="K30" s="128"/>
      <c r="L30" s="129"/>
    </row>
    <row r="31" spans="1:12">
      <c r="A31" s="120"/>
      <c r="B31" s="92"/>
      <c r="C31" s="105"/>
      <c r="D31" s="105"/>
      <c r="E31" s="105"/>
      <c r="F31" s="105"/>
      <c r="G31" s="105"/>
      <c r="H31" s="105"/>
      <c r="I31" s="128"/>
      <c r="J31" s="120"/>
      <c r="K31" s="128"/>
      <c r="L31" s="129"/>
    </row>
    <row r="32" spans="1:12">
      <c r="A32" s="120"/>
      <c r="B32" s="92"/>
      <c r="C32" s="105"/>
      <c r="D32" s="105"/>
      <c r="E32" s="105"/>
      <c r="F32" s="121"/>
      <c r="G32" s="105"/>
      <c r="H32" s="105"/>
      <c r="I32" s="128"/>
      <c r="J32" s="120"/>
      <c r="K32" s="128"/>
      <c r="L32" s="129"/>
    </row>
    <row r="33" spans="1:12">
      <c r="A33" s="120"/>
      <c r="B33" s="92"/>
      <c r="C33" s="105"/>
      <c r="D33" s="105"/>
      <c r="E33" s="127"/>
      <c r="F33" s="121"/>
      <c r="G33" s="105"/>
      <c r="H33" s="105"/>
      <c r="I33" s="136"/>
      <c r="J33" s="137"/>
      <c r="K33" s="136"/>
      <c r="L33" s="138"/>
    </row>
    <row r="34" spans="1:12">
      <c r="A34" s="120"/>
      <c r="B34" s="92"/>
      <c r="C34" s="105"/>
      <c r="D34" s="105"/>
      <c r="E34" s="105"/>
      <c r="F34" s="121"/>
      <c r="G34" s="105"/>
      <c r="H34" s="105"/>
      <c r="I34" s="128"/>
      <c r="J34" s="120"/>
      <c r="K34" s="128"/>
      <c r="L34" s="129"/>
    </row>
    <row r="35" spans="1:12">
      <c r="A35" s="120"/>
      <c r="B35" s="92"/>
      <c r="C35" s="105"/>
      <c r="D35" s="105"/>
      <c r="E35" s="126"/>
      <c r="F35" s="121"/>
      <c r="G35" s="105"/>
      <c r="H35" s="105"/>
      <c r="I35" s="133"/>
      <c r="J35" s="134"/>
      <c r="K35" s="133"/>
      <c r="L35" s="135"/>
    </row>
    <row r="36" spans="1:12">
      <c r="A36" s="120"/>
      <c r="B36" s="92"/>
      <c r="C36" s="105"/>
      <c r="D36" s="105"/>
      <c r="E36" s="105"/>
      <c r="F36" s="121"/>
      <c r="G36" s="105"/>
      <c r="H36" s="105"/>
      <c r="I36" s="128"/>
      <c r="J36" s="120"/>
      <c r="K36" s="128"/>
      <c r="L36" s="129"/>
    </row>
    <row r="37" spans="1:12">
      <c r="A37" s="120"/>
      <c r="B37" s="92"/>
      <c r="C37" s="105"/>
      <c r="D37" s="105"/>
      <c r="E37" s="105"/>
      <c r="F37" s="121"/>
      <c r="G37" s="105"/>
      <c r="H37" s="105"/>
      <c r="I37" s="128"/>
      <c r="J37" s="120"/>
      <c r="K37" s="128"/>
      <c r="L37" s="129"/>
    </row>
    <row r="38" spans="1:12">
      <c r="A38" s="120"/>
      <c r="B38" s="92"/>
      <c r="C38" s="105"/>
      <c r="D38" s="105"/>
      <c r="E38" s="105"/>
      <c r="F38" s="121"/>
      <c r="G38" s="105"/>
      <c r="H38" s="105"/>
      <c r="I38" s="128"/>
      <c r="J38" s="120"/>
      <c r="K38" s="128"/>
      <c r="L38" s="129"/>
    </row>
    <row r="39" spans="1:12">
      <c r="A39" s="120"/>
      <c r="B39" s="92"/>
      <c r="C39" s="105"/>
      <c r="D39" s="105"/>
      <c r="E39" s="127"/>
      <c r="F39" s="121"/>
      <c r="G39" s="105"/>
      <c r="H39" s="105"/>
      <c r="I39" s="136"/>
      <c r="J39" s="137"/>
      <c r="K39" s="136"/>
      <c r="L39" s="138"/>
    </row>
    <row r="40" ht="14.25" spans="1:12">
      <c r="A40" s="120"/>
      <c r="B40" s="122"/>
      <c r="C40" s="123"/>
      <c r="D40" s="105"/>
      <c r="E40" s="105"/>
      <c r="F40" s="121"/>
      <c r="G40" s="105"/>
      <c r="H40" s="105"/>
      <c r="I40" s="128"/>
      <c r="J40" s="120"/>
      <c r="K40" s="128"/>
      <c r="L40" s="129"/>
    </row>
  </sheetData>
  <mergeCells count="9">
    <mergeCell ref="D11:E11"/>
    <mergeCell ref="F11:H11"/>
    <mergeCell ref="A11:A12"/>
    <mergeCell ref="B11:B12"/>
    <mergeCell ref="C11:C12"/>
    <mergeCell ref="I11:I12"/>
    <mergeCell ref="J11:J12"/>
    <mergeCell ref="K11:K12"/>
    <mergeCell ref="L11:L12"/>
  </mergeCells>
  <pageMargins left="0.699305555555556" right="0.699305555555556" top="0.75" bottom="0.75" header="0.3" footer="0.3"/>
  <pageSetup paperSize="9" orientation="portrait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name="Button 1" r:id="rId3">
              <controlPr defaultSize="0">
                <anchor moveWithCells="1">
                  <from>
                    <xdr:col>13</xdr:col>
                    <xdr:colOff>476250</xdr:colOff>
                    <xdr:row>10</xdr:row>
                    <xdr:rowOff>144780</xdr:rowOff>
                  </from>
                  <to>
                    <xdr:col>15</xdr:col>
                    <xdr:colOff>85725</xdr:colOff>
                    <xdr:row>12</xdr:row>
                    <xdr:rowOff>66040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name="Button 2" r:id="rId4">
              <controlPr defaultSize="0">
                <anchor moveWithCells="1">
                  <from>
                    <xdr:col>15</xdr:col>
                    <xdr:colOff>495300</xdr:colOff>
                    <xdr:row>8</xdr:row>
                    <xdr:rowOff>77470</xdr:rowOff>
                  </from>
                  <to>
                    <xdr:col>17</xdr:col>
                    <xdr:colOff>85725</xdr:colOff>
                    <xdr:row>10</xdr:row>
                    <xdr:rowOff>8255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name="Button 3" r:id="rId5">
              <controlPr defaultSize="0">
                <anchor moveWithCells="1" sizeWithCells="1">
                  <from>
                    <xdr:col>15</xdr:col>
                    <xdr:colOff>504825</xdr:colOff>
                    <xdr:row>10</xdr:row>
                    <xdr:rowOff>153670</xdr:rowOff>
                  </from>
                  <to>
                    <xdr:col>17</xdr:col>
                    <xdr:colOff>104775</xdr:colOff>
                    <xdr:row>12</xdr:row>
                    <xdr:rowOff>56515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name="Button 4" r:id="rId6">
              <controlPr defaultSize="0">
                <anchor moveWithCells="1">
                  <from>
                    <xdr:col>13</xdr:col>
                    <xdr:colOff>476250</xdr:colOff>
                    <xdr:row>13</xdr:row>
                    <xdr:rowOff>67945</xdr:rowOff>
                  </from>
                  <to>
                    <xdr:col>15</xdr:col>
                    <xdr:colOff>485775</xdr:colOff>
                    <xdr:row>15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name="Button 5" r:id="rId7">
              <controlPr defaultSize="0">
                <anchor moveWithCells="1" sizeWithCells="1">
                  <from>
                    <xdr:col>13</xdr:col>
                    <xdr:colOff>457200</xdr:colOff>
                    <xdr:row>8</xdr:row>
                    <xdr:rowOff>86360</xdr:rowOff>
                  </from>
                  <to>
                    <xdr:col>15</xdr:col>
                    <xdr:colOff>238125</xdr:colOff>
                    <xdr:row>10</xdr:row>
                    <xdr:rowOff>8255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name="Group Box 6" r:id="rId8">
              <controlPr defaultSize="0">
                <anchor moveWithCells="1">
                  <from>
                    <xdr:col>13</xdr:col>
                    <xdr:colOff>266700</xdr:colOff>
                    <xdr:row>7</xdr:row>
                    <xdr:rowOff>75565</xdr:rowOff>
                  </from>
                  <to>
                    <xdr:col>17</xdr:col>
                    <xdr:colOff>371475</xdr:colOff>
                    <xdr:row>18</xdr:row>
                    <xdr:rowOff>123190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2"/>
  <dimension ref="A1:AF42"/>
  <sheetViews>
    <sheetView tabSelected="1" workbookViewId="0">
      <selection activeCell="J15" sqref="J15"/>
    </sheetView>
  </sheetViews>
  <sheetFormatPr defaultColWidth="9" defaultRowHeight="13.5"/>
  <cols>
    <col min="1" max="1" width="13.25" customWidth="1"/>
    <col min="2" max="2" width="9.125" customWidth="1"/>
    <col min="5" max="5" width="12" customWidth="1"/>
  </cols>
  <sheetData>
    <row r="1" spans="1:2">
      <c r="A1" t="s">
        <v>40</v>
      </c>
      <c r="B1">
        <v>2</v>
      </c>
    </row>
    <row r="2" spans="1:19">
      <c r="A2" t="s">
        <v>1</v>
      </c>
      <c r="B2">
        <v>8</v>
      </c>
      <c r="C2" t="s">
        <v>2</v>
      </c>
      <c r="D2">
        <v>4</v>
      </c>
      <c r="E2" t="s">
        <v>3</v>
      </c>
      <c r="G2" t="s">
        <v>4</v>
      </c>
      <c r="I2" t="s">
        <v>5</v>
      </c>
      <c r="K2" t="s">
        <v>6</v>
      </c>
      <c r="M2" t="s">
        <v>7</v>
      </c>
      <c r="O2" t="s">
        <v>8</v>
      </c>
      <c r="Q2" t="s">
        <v>9</v>
      </c>
      <c r="S2" t="s">
        <v>10</v>
      </c>
    </row>
    <row r="3" spans="1:19">
      <c r="A3" t="s">
        <v>11</v>
      </c>
      <c r="B3">
        <v>1</v>
      </c>
      <c r="C3" t="s">
        <v>11</v>
      </c>
      <c r="D3">
        <v>2</v>
      </c>
      <c r="E3" t="s">
        <v>11</v>
      </c>
      <c r="G3" t="s">
        <v>11</v>
      </c>
      <c r="I3" t="s">
        <v>11</v>
      </c>
      <c r="K3" t="s">
        <v>11</v>
      </c>
      <c r="M3" t="s">
        <v>11</v>
      </c>
      <c r="O3" t="s">
        <v>11</v>
      </c>
      <c r="Q3" t="s">
        <v>11</v>
      </c>
      <c r="S3" t="s">
        <v>11</v>
      </c>
    </row>
    <row r="4" spans="1:4">
      <c r="A4" s="1" t="s">
        <v>41</v>
      </c>
      <c r="B4">
        <v>44</v>
      </c>
      <c r="D4">
        <v>43</v>
      </c>
    </row>
    <row r="5" spans="1:4">
      <c r="A5" t="s">
        <v>13</v>
      </c>
      <c r="B5">
        <v>-0.44</v>
      </c>
      <c r="D5">
        <v>0.34</v>
      </c>
    </row>
    <row r="6" spans="1:21">
      <c r="A6" t="s">
        <v>14</v>
      </c>
      <c r="B6">
        <v>0.8</v>
      </c>
      <c r="D6">
        <v>0.69</v>
      </c>
      <c r="J6" s="39"/>
      <c r="S6" s="39"/>
      <c r="U6" s="39" t="s">
        <v>42</v>
      </c>
    </row>
    <row r="7" spans="1:21">
      <c r="A7" s="1" t="s">
        <v>43</v>
      </c>
      <c r="B7" s="2">
        <v>0</v>
      </c>
      <c r="D7" s="2">
        <v>0</v>
      </c>
      <c r="J7" s="39"/>
      <c r="S7" s="39"/>
      <c r="U7" s="39" t="s">
        <v>44</v>
      </c>
    </row>
    <row r="8" spans="1:21">
      <c r="A8" s="1" t="s">
        <v>45</v>
      </c>
      <c r="B8" s="2">
        <v>0.1667</v>
      </c>
      <c r="D8" s="2">
        <v>0.0851</v>
      </c>
      <c r="U8" s="1" t="s">
        <v>46</v>
      </c>
    </row>
    <row r="9" spans="2:4">
      <c r="B9" s="2"/>
      <c r="D9" s="2"/>
    </row>
    <row r="10" spans="2:4">
      <c r="B10" s="2"/>
      <c r="D10" s="2"/>
    </row>
    <row r="11" spans="1:32">
      <c r="A11" s="33" t="s">
        <v>47</v>
      </c>
      <c r="B11" s="33"/>
      <c r="C11" s="33"/>
      <c r="D11" s="33"/>
      <c r="E11" s="33"/>
      <c r="F11" s="33"/>
      <c r="G11" s="33"/>
      <c r="H11" s="33"/>
      <c r="I11" s="93" t="s">
        <v>48</v>
      </c>
      <c r="J11" s="76"/>
      <c r="L11" s="94"/>
      <c r="M11" s="94"/>
      <c r="N11" s="40" t="s">
        <v>49</v>
      </c>
      <c r="O11" s="94"/>
      <c r="P11" s="94"/>
      <c r="Q11" s="94"/>
      <c r="R11" s="94"/>
      <c r="S11" s="94"/>
      <c r="T11" s="103"/>
      <c r="U11" s="103"/>
      <c r="Y11" s="40" t="s">
        <v>50</v>
      </c>
      <c r="Z11" s="40"/>
      <c r="AA11" s="40"/>
      <c r="AB11" s="40"/>
      <c r="AC11" s="40"/>
      <c r="AD11" s="40"/>
      <c r="AE11" s="40"/>
      <c r="AF11" s="40"/>
    </row>
    <row r="12" spans="1:32">
      <c r="A12" s="34"/>
      <c r="B12" s="34"/>
      <c r="C12" s="34"/>
      <c r="D12" s="34"/>
      <c r="E12" s="34"/>
      <c r="F12" s="34"/>
      <c r="G12" s="34"/>
      <c r="H12" s="34"/>
      <c r="I12" s="34"/>
      <c r="J12" s="76"/>
      <c r="L12" s="95"/>
      <c r="M12" s="95"/>
      <c r="N12" s="95"/>
      <c r="O12" s="95"/>
      <c r="P12" s="95"/>
      <c r="Q12" s="95"/>
      <c r="R12" s="95"/>
      <c r="S12" s="95"/>
      <c r="T12" s="104"/>
      <c r="U12" s="104"/>
      <c r="Y12" s="34"/>
      <c r="Z12" s="34"/>
      <c r="AA12" s="34"/>
      <c r="AB12" s="34"/>
      <c r="AC12" s="34"/>
      <c r="AD12" s="34"/>
      <c r="AE12" s="34"/>
      <c r="AF12" s="34"/>
    </row>
    <row r="13" ht="14.25" spans="1:32">
      <c r="A13" s="4" t="s">
        <v>17</v>
      </c>
      <c r="B13" s="4" t="s">
        <v>18</v>
      </c>
      <c r="C13" s="4" t="s">
        <v>51</v>
      </c>
      <c r="D13" s="4"/>
      <c r="E13" s="4" t="s">
        <v>20</v>
      </c>
      <c r="F13" s="4"/>
      <c r="G13" s="4" t="s">
        <v>21</v>
      </c>
      <c r="H13" s="4"/>
      <c r="I13" s="4" t="s">
        <v>52</v>
      </c>
      <c r="J13" s="4" t="s">
        <v>53</v>
      </c>
      <c r="L13" s="4"/>
      <c r="M13" s="4"/>
      <c r="N13" s="41" t="s">
        <v>20</v>
      </c>
      <c r="O13" s="41"/>
      <c r="P13" s="41"/>
      <c r="Q13" s="48" t="s">
        <v>21</v>
      </c>
      <c r="R13" s="49"/>
      <c r="S13" s="50"/>
      <c r="T13" s="41"/>
      <c r="U13" s="41"/>
      <c r="Y13" s="6" t="s">
        <v>17</v>
      </c>
      <c r="Z13" s="6" t="s">
        <v>18</v>
      </c>
      <c r="AA13" s="4" t="s">
        <v>54</v>
      </c>
      <c r="AB13" s="4"/>
      <c r="AC13" s="4"/>
      <c r="AD13" s="4" t="s">
        <v>52</v>
      </c>
      <c r="AE13" s="4" t="s">
        <v>24</v>
      </c>
      <c r="AF13" s="6" t="s">
        <v>55</v>
      </c>
    </row>
    <row r="14" ht="14.25" spans="1:32">
      <c r="A14" s="4"/>
      <c r="B14" s="4"/>
      <c r="C14" s="4" t="s">
        <v>56</v>
      </c>
      <c r="D14" s="4" t="s">
        <v>57</v>
      </c>
      <c r="E14" s="4" t="s">
        <v>56</v>
      </c>
      <c r="F14" s="4" t="s">
        <v>58</v>
      </c>
      <c r="G14" s="4" t="s">
        <v>56</v>
      </c>
      <c r="H14" s="4" t="s">
        <v>58</v>
      </c>
      <c r="I14" s="4"/>
      <c r="J14" s="4"/>
      <c r="L14" s="4"/>
      <c r="M14" s="4"/>
      <c r="N14" s="41" t="s">
        <v>59</v>
      </c>
      <c r="O14" s="41" t="s">
        <v>60</v>
      </c>
      <c r="P14" s="41" t="s">
        <v>61</v>
      </c>
      <c r="Q14" s="41" t="s">
        <v>59</v>
      </c>
      <c r="R14" s="41" t="s">
        <v>60</v>
      </c>
      <c r="S14" s="41" t="s">
        <v>62</v>
      </c>
      <c r="T14" s="4"/>
      <c r="U14" s="4"/>
      <c r="Y14" s="58"/>
      <c r="Z14" s="58"/>
      <c r="AA14" s="4" t="s">
        <v>63</v>
      </c>
      <c r="AB14" s="4" t="s">
        <v>64</v>
      </c>
      <c r="AC14" s="4" t="s">
        <v>62</v>
      </c>
      <c r="AD14" s="4"/>
      <c r="AE14" s="4"/>
      <c r="AF14" s="58"/>
    </row>
    <row r="15" spans="1:32">
      <c r="A15" s="76" t="s">
        <v>30</v>
      </c>
      <c r="B15" s="85" t="s">
        <v>31</v>
      </c>
      <c r="C15" s="76">
        <v>689.3</v>
      </c>
      <c r="D15" s="76">
        <v>13.2</v>
      </c>
      <c r="E15" s="76">
        <v>700.8</v>
      </c>
      <c r="F15" s="76">
        <v>13.2</v>
      </c>
      <c r="G15" s="76">
        <v>689.3</v>
      </c>
      <c r="H15" s="76">
        <v>13.2</v>
      </c>
      <c r="I15" s="96">
        <v>68</v>
      </c>
      <c r="J15"/>
      <c r="L15" s="92"/>
      <c r="M15" s="92"/>
      <c r="N15" s="97">
        <v>-30</v>
      </c>
      <c r="O15" s="97">
        <v>0</v>
      </c>
      <c r="P15" s="98">
        <v>-30</v>
      </c>
      <c r="Q15" s="97">
        <v>3</v>
      </c>
      <c r="R15" s="97">
        <v>0</v>
      </c>
      <c r="S15" s="98">
        <v>0</v>
      </c>
      <c r="T15" s="105"/>
      <c r="U15" s="92"/>
      <c r="Y15" s="92" t="s">
        <v>30</v>
      </c>
      <c r="Z15" s="92" t="s">
        <v>31</v>
      </c>
      <c r="AA15" s="111">
        <v>-30</v>
      </c>
      <c r="AB15" s="111">
        <v>-30</v>
      </c>
      <c r="AC15" s="111">
        <v>0</v>
      </c>
      <c r="AD15" s="111">
        <v>68</v>
      </c>
      <c r="AE15" s="98">
        <v>-0.441176470588235</v>
      </c>
      <c r="AF15" s="112">
        <v>0</v>
      </c>
    </row>
    <row r="16" spans="1:32">
      <c r="A16" s="76" t="s">
        <v>30</v>
      </c>
      <c r="B16" s="85" t="s">
        <v>32</v>
      </c>
      <c r="C16" s="76">
        <v>663.4</v>
      </c>
      <c r="D16" s="76">
        <v>13.3</v>
      </c>
      <c r="E16" s="76">
        <v>676.7</v>
      </c>
      <c r="F16" s="76">
        <v>13.7</v>
      </c>
      <c r="G16" s="76">
        <v>664.6</v>
      </c>
      <c r="H16" s="76">
        <v>13.5</v>
      </c>
      <c r="I16" s="96">
        <v>68</v>
      </c>
      <c r="J16"/>
      <c r="L16" s="92"/>
      <c r="M16" s="92"/>
      <c r="N16" s="97">
        <v>13.3000000000001</v>
      </c>
      <c r="O16" s="97">
        <v>0.399999999999999</v>
      </c>
      <c r="P16" s="98">
        <v>13.3000000000001</v>
      </c>
      <c r="Q16" s="97">
        <v>1.20000000000005</v>
      </c>
      <c r="R16" s="97">
        <v>0.199999999999999</v>
      </c>
      <c r="S16" s="98">
        <v>1.20000000000005</v>
      </c>
      <c r="T16" s="106"/>
      <c r="U16" s="92"/>
      <c r="Y16" s="92" t="s">
        <v>30</v>
      </c>
      <c r="Z16" s="92" t="s">
        <v>32</v>
      </c>
      <c r="AA16" s="111">
        <v>13</v>
      </c>
      <c r="AB16" s="111">
        <v>12</v>
      </c>
      <c r="AC16" s="111">
        <v>1</v>
      </c>
      <c r="AD16" s="111">
        <v>68</v>
      </c>
      <c r="AE16" s="98">
        <v>0.176470588235294</v>
      </c>
      <c r="AF16" s="112">
        <v>0.0769230769230769</v>
      </c>
    </row>
    <row r="17" spans="1:32">
      <c r="A17" s="76" t="s">
        <v>30</v>
      </c>
      <c r="B17" s="86" t="s">
        <v>33</v>
      </c>
      <c r="C17" s="76">
        <v>598.1</v>
      </c>
      <c r="D17" s="76">
        <v>13.2</v>
      </c>
      <c r="E17" s="76">
        <v>608.8</v>
      </c>
      <c r="F17" s="76">
        <v>13.5</v>
      </c>
      <c r="G17" s="76">
        <v>598.3</v>
      </c>
      <c r="H17" s="76">
        <v>13.4</v>
      </c>
      <c r="I17" s="96">
        <v>62</v>
      </c>
      <c r="L17" s="90"/>
      <c r="M17" s="90"/>
      <c r="N17" s="97">
        <v>10.6999999999999</v>
      </c>
      <c r="O17" s="97">
        <v>0.300000000000001</v>
      </c>
      <c r="P17" s="98">
        <v>40.9225522099997</v>
      </c>
      <c r="Q17" s="97">
        <v>0.199999999999932</v>
      </c>
      <c r="R17" s="97">
        <v>0.200000000000001</v>
      </c>
      <c r="S17" s="98">
        <v>1.11481405999974</v>
      </c>
      <c r="T17" s="107"/>
      <c r="U17" s="90"/>
      <c r="Y17" s="90" t="s">
        <v>30</v>
      </c>
      <c r="Z17" s="90" t="s">
        <v>33</v>
      </c>
      <c r="AA17" s="111">
        <v>41</v>
      </c>
      <c r="AB17" s="111">
        <v>40</v>
      </c>
      <c r="AC17" s="111">
        <v>1</v>
      </c>
      <c r="AD17" s="111">
        <v>62</v>
      </c>
      <c r="AE17" s="98">
        <v>0.645161290322581</v>
      </c>
      <c r="AF17" s="112">
        <v>0.024390243902439</v>
      </c>
    </row>
    <row r="18" spans="1:32">
      <c r="A18" s="76" t="s">
        <v>30</v>
      </c>
      <c r="B18" s="85" t="s">
        <v>34</v>
      </c>
      <c r="C18" s="76">
        <v>678.8</v>
      </c>
      <c r="D18" s="76">
        <v>13.4</v>
      </c>
      <c r="E18" s="76">
        <v>690.7</v>
      </c>
      <c r="F18" s="76">
        <v>13.6</v>
      </c>
      <c r="G18" s="76">
        <v>679</v>
      </c>
      <c r="H18" s="76">
        <v>13.5</v>
      </c>
      <c r="I18" s="96">
        <v>55</v>
      </c>
      <c r="L18" s="92"/>
      <c r="M18" s="92"/>
      <c r="N18" s="97">
        <v>11.9000000000001</v>
      </c>
      <c r="O18" s="97">
        <v>0.199999999999999</v>
      </c>
      <c r="P18" s="98">
        <v>45.2714365700003</v>
      </c>
      <c r="Q18" s="97">
        <v>0.200000000000045</v>
      </c>
      <c r="R18" s="97">
        <v>0.0999999999999996</v>
      </c>
      <c r="S18" s="98">
        <v>0.934814060000171</v>
      </c>
      <c r="T18" s="106"/>
      <c r="U18" s="92"/>
      <c r="Y18" s="92" t="s">
        <v>30</v>
      </c>
      <c r="Z18" s="92" t="s">
        <v>34</v>
      </c>
      <c r="AA18" s="111">
        <v>45</v>
      </c>
      <c r="AB18" s="111">
        <v>44</v>
      </c>
      <c r="AC18" s="111">
        <v>1</v>
      </c>
      <c r="AD18" s="111">
        <v>55</v>
      </c>
      <c r="AE18" s="98">
        <v>0.8</v>
      </c>
      <c r="AF18" s="112">
        <v>0.0222222222222222</v>
      </c>
    </row>
    <row r="19" spans="1:32">
      <c r="A19" s="76" t="s">
        <v>30</v>
      </c>
      <c r="B19" s="85" t="s">
        <v>65</v>
      </c>
      <c r="C19" s="76">
        <v>732.8</v>
      </c>
      <c r="D19" s="76">
        <v>13.6</v>
      </c>
      <c r="E19" s="76">
        <v>729.2</v>
      </c>
      <c r="F19" s="76">
        <v>13.9</v>
      </c>
      <c r="G19" s="76">
        <v>732.3</v>
      </c>
      <c r="H19" s="76">
        <v>13.9</v>
      </c>
      <c r="I19" s="96">
        <v>-46</v>
      </c>
      <c r="L19" s="92"/>
      <c r="M19" s="92"/>
      <c r="N19" s="97">
        <v>-3.59999999999991</v>
      </c>
      <c r="O19" s="97">
        <v>0.300000000000001</v>
      </c>
      <c r="P19" s="98">
        <v>-13.0466530799997</v>
      </c>
      <c r="Q19" s="97">
        <v>-0.5</v>
      </c>
      <c r="R19" s="97">
        <v>0.300000000000001</v>
      </c>
      <c r="S19" s="98">
        <v>-1.34703515</v>
      </c>
      <c r="T19" s="106"/>
      <c r="U19" s="92"/>
      <c r="Y19" s="92" t="s">
        <v>30</v>
      </c>
      <c r="Z19" s="92" t="s">
        <v>65</v>
      </c>
      <c r="AA19" s="111">
        <v>-13</v>
      </c>
      <c r="AB19" s="111">
        <v>-12</v>
      </c>
      <c r="AC19" s="111">
        <v>-1</v>
      </c>
      <c r="AD19" s="111">
        <v>-46</v>
      </c>
      <c r="AE19" s="98">
        <v>0.260869565217391</v>
      </c>
      <c r="AF19" s="112">
        <v>0.0769230769230769</v>
      </c>
    </row>
    <row r="20" spans="1:32">
      <c r="A20" s="76" t="s">
        <v>30</v>
      </c>
      <c r="B20" s="86" t="s">
        <v>66</v>
      </c>
      <c r="C20" s="76">
        <v>681.5</v>
      </c>
      <c r="D20" s="76">
        <v>13.5</v>
      </c>
      <c r="E20" s="76">
        <v>678.2</v>
      </c>
      <c r="F20" s="76">
        <v>13.8</v>
      </c>
      <c r="G20" s="76">
        <v>681</v>
      </c>
      <c r="H20" s="76">
        <v>13.7</v>
      </c>
      <c r="I20" s="96">
        <v>-52</v>
      </c>
      <c r="L20" s="90"/>
      <c r="M20" s="90"/>
      <c r="N20" s="97">
        <v>-3.29999999999995</v>
      </c>
      <c r="O20" s="97">
        <v>0.300000000000001</v>
      </c>
      <c r="P20" s="98">
        <v>-11.9144319899998</v>
      </c>
      <c r="Q20" s="97">
        <v>-0.5</v>
      </c>
      <c r="R20" s="97">
        <v>0.199999999999999</v>
      </c>
      <c r="S20" s="98">
        <v>-1.52703515</v>
      </c>
      <c r="T20" s="106"/>
      <c r="U20" s="92"/>
      <c r="Y20" s="90" t="s">
        <v>30</v>
      </c>
      <c r="Z20" s="90" t="s">
        <v>66</v>
      </c>
      <c r="AA20" s="111">
        <v>-12</v>
      </c>
      <c r="AB20" s="111">
        <v>-10</v>
      </c>
      <c r="AC20" s="111">
        <v>-2</v>
      </c>
      <c r="AD20" s="111">
        <v>-52</v>
      </c>
      <c r="AE20" s="98">
        <v>0.192307692307692</v>
      </c>
      <c r="AF20" s="112">
        <v>0.166666666666667</v>
      </c>
    </row>
    <row r="21" spans="1:32">
      <c r="A21" s="76" t="s">
        <v>30</v>
      </c>
      <c r="B21" s="85" t="s">
        <v>67</v>
      </c>
      <c r="C21" s="76">
        <v>713</v>
      </c>
      <c r="D21" s="76">
        <v>13.3</v>
      </c>
      <c r="E21" s="76">
        <v>712.9</v>
      </c>
      <c r="F21" s="76">
        <v>13.6</v>
      </c>
      <c r="G21" s="76">
        <v>713</v>
      </c>
      <c r="H21" s="76">
        <v>13.4</v>
      </c>
      <c r="I21" s="96">
        <v>-37</v>
      </c>
      <c r="L21" s="92"/>
      <c r="M21" s="92"/>
      <c r="N21" s="97">
        <v>-0.100000000000023</v>
      </c>
      <c r="O21" s="97">
        <v>0.299999999999999</v>
      </c>
      <c r="P21" s="98">
        <v>0.162592969999912</v>
      </c>
      <c r="Q21" s="97">
        <v>0</v>
      </c>
      <c r="R21" s="97">
        <v>0.0999999999999996</v>
      </c>
      <c r="S21" s="98">
        <v>0.179999999999999</v>
      </c>
      <c r="T21" s="108"/>
      <c r="U21" s="89"/>
      <c r="Y21" s="92" t="s">
        <v>30</v>
      </c>
      <c r="Z21" s="92" t="s">
        <v>67</v>
      </c>
      <c r="AA21" s="111">
        <v>0</v>
      </c>
      <c r="AB21" s="111">
        <v>0</v>
      </c>
      <c r="AC21" s="111">
        <v>0</v>
      </c>
      <c r="AD21" s="111">
        <v>-37</v>
      </c>
      <c r="AE21" s="98">
        <v>0</v>
      </c>
      <c r="AF21" s="112">
        <v>0</v>
      </c>
    </row>
    <row r="22" spans="1:32">
      <c r="A22" s="76" t="s">
        <v>30</v>
      </c>
      <c r="B22" s="85" t="s">
        <v>68</v>
      </c>
      <c r="C22" s="76">
        <v>629.8</v>
      </c>
      <c r="D22" s="76">
        <v>13.2</v>
      </c>
      <c r="E22" s="76">
        <v>625.9</v>
      </c>
      <c r="F22" s="76">
        <v>13.5</v>
      </c>
      <c r="G22" s="76">
        <v>629.1</v>
      </c>
      <c r="H22" s="76">
        <v>13.4</v>
      </c>
      <c r="I22" s="96">
        <v>-28</v>
      </c>
      <c r="L22" s="92"/>
      <c r="M22" s="92"/>
      <c r="N22" s="97">
        <v>-3.89999999999998</v>
      </c>
      <c r="O22" s="97">
        <v>0.300000000000001</v>
      </c>
      <c r="P22" s="98">
        <v>-14.1788741699999</v>
      </c>
      <c r="Q22" s="97">
        <v>-0.699999999999932</v>
      </c>
      <c r="R22" s="97">
        <v>0.200000000000001</v>
      </c>
      <c r="S22" s="98">
        <v>-2.28184920999974</v>
      </c>
      <c r="T22" s="106"/>
      <c r="U22" s="92"/>
      <c r="Y22" s="92" t="s">
        <v>30</v>
      </c>
      <c r="Z22" s="92" t="s">
        <v>68</v>
      </c>
      <c r="AA22" s="111">
        <v>-14</v>
      </c>
      <c r="AB22" s="111">
        <v>-12</v>
      </c>
      <c r="AC22" s="111">
        <v>-2</v>
      </c>
      <c r="AD22" s="111">
        <v>-28</v>
      </c>
      <c r="AE22" s="98">
        <v>0.428571428571429</v>
      </c>
      <c r="AF22" s="112">
        <v>0.142857142857143</v>
      </c>
    </row>
    <row r="23" spans="1:32">
      <c r="A23" s="76" t="s">
        <v>35</v>
      </c>
      <c r="B23" s="85" t="s">
        <v>36</v>
      </c>
      <c r="C23" s="76">
        <v>591.6</v>
      </c>
      <c r="D23" s="76">
        <v>13.3</v>
      </c>
      <c r="E23" s="76">
        <v>602.7</v>
      </c>
      <c r="F23" s="76">
        <v>13.3</v>
      </c>
      <c r="G23" s="76">
        <v>591.6</v>
      </c>
      <c r="H23" s="76">
        <v>13.3</v>
      </c>
      <c r="I23" s="96">
        <v>68</v>
      </c>
      <c r="L23" s="92"/>
      <c r="M23" s="92"/>
      <c r="N23" s="97">
        <v>11.1</v>
      </c>
      <c r="O23" s="97">
        <v>0</v>
      </c>
      <c r="P23" s="98">
        <v>41.8921803300001</v>
      </c>
      <c r="Q23" s="97">
        <v>0</v>
      </c>
      <c r="R23" s="97">
        <v>0</v>
      </c>
      <c r="S23" s="98">
        <v>0</v>
      </c>
      <c r="T23" s="106"/>
      <c r="U23" s="92"/>
      <c r="Y23" s="92" t="s">
        <v>35</v>
      </c>
      <c r="Z23" s="92" t="s">
        <v>36</v>
      </c>
      <c r="AA23" s="111">
        <v>42</v>
      </c>
      <c r="AB23" s="111">
        <v>42</v>
      </c>
      <c r="AC23" s="111">
        <v>0</v>
      </c>
      <c r="AD23" s="111">
        <v>68</v>
      </c>
      <c r="AE23" s="98">
        <v>0.617647058823529</v>
      </c>
      <c r="AF23" s="112">
        <v>0</v>
      </c>
    </row>
    <row r="24" spans="1:32">
      <c r="A24" s="76" t="s">
        <v>35</v>
      </c>
      <c r="B24" s="87" t="s">
        <v>37</v>
      </c>
      <c r="C24" s="76">
        <v>579.2</v>
      </c>
      <c r="D24" s="76">
        <v>13.3</v>
      </c>
      <c r="E24" s="76">
        <v>585.8</v>
      </c>
      <c r="F24" s="76">
        <v>13.2</v>
      </c>
      <c r="G24" s="76">
        <v>579.6</v>
      </c>
      <c r="H24" s="76">
        <v>13.3</v>
      </c>
      <c r="I24" s="96">
        <v>68</v>
      </c>
      <c r="L24" s="89"/>
      <c r="M24" s="89"/>
      <c r="N24" s="97">
        <v>6.59999999999991</v>
      </c>
      <c r="O24" s="97">
        <v>-0.100000000000001</v>
      </c>
      <c r="P24" s="98">
        <v>24.7288639799997</v>
      </c>
      <c r="Q24" s="97">
        <v>0.399999999999977</v>
      </c>
      <c r="R24" s="97">
        <v>0</v>
      </c>
      <c r="S24" s="98">
        <v>1.50962811999991</v>
      </c>
      <c r="T24" s="108"/>
      <c r="U24" s="89"/>
      <c r="Y24" s="89" t="s">
        <v>35</v>
      </c>
      <c r="Z24" s="89" t="s">
        <v>37</v>
      </c>
      <c r="AA24" s="111">
        <v>25</v>
      </c>
      <c r="AB24" s="111">
        <v>23</v>
      </c>
      <c r="AC24" s="111">
        <v>2</v>
      </c>
      <c r="AD24" s="111">
        <v>68</v>
      </c>
      <c r="AE24" s="98">
        <v>0.338235294117647</v>
      </c>
      <c r="AF24" s="112">
        <v>0.08</v>
      </c>
    </row>
    <row r="25" spans="1:32">
      <c r="A25" s="76" t="s">
        <v>35</v>
      </c>
      <c r="B25" s="85" t="s">
        <v>38</v>
      </c>
      <c r="C25" s="76">
        <v>705.9</v>
      </c>
      <c r="D25" s="76">
        <v>13.5</v>
      </c>
      <c r="E25" s="76">
        <v>718.5</v>
      </c>
      <c r="F25" s="76">
        <v>13.4</v>
      </c>
      <c r="G25" s="76">
        <v>707.1</v>
      </c>
      <c r="H25" s="76">
        <v>13.4</v>
      </c>
      <c r="I25" s="96">
        <v>62</v>
      </c>
      <c r="L25" s="92"/>
      <c r="M25" s="92"/>
      <c r="N25" s="97">
        <v>12.6</v>
      </c>
      <c r="O25" s="97">
        <v>-0.0999999999999996</v>
      </c>
      <c r="P25" s="98">
        <v>47.3732857800001</v>
      </c>
      <c r="Q25" s="97">
        <v>1.20000000000005</v>
      </c>
      <c r="R25" s="97">
        <v>-0.0999999999999996</v>
      </c>
      <c r="S25" s="98">
        <v>4.34888436000017</v>
      </c>
      <c r="T25" s="106"/>
      <c r="U25" s="92"/>
      <c r="Y25" s="92" t="s">
        <v>35</v>
      </c>
      <c r="Z25" s="92" t="s">
        <v>38</v>
      </c>
      <c r="AA25" s="111">
        <v>47</v>
      </c>
      <c r="AB25" s="111">
        <v>43</v>
      </c>
      <c r="AC25" s="111">
        <v>4</v>
      </c>
      <c r="AD25" s="111">
        <v>62</v>
      </c>
      <c r="AE25" s="98">
        <v>0.693548387096774</v>
      </c>
      <c r="AF25" s="112">
        <v>0.0851063829787234</v>
      </c>
    </row>
    <row r="26" spans="1:32">
      <c r="A26" s="76" t="s">
        <v>35</v>
      </c>
      <c r="B26" s="85" t="s">
        <v>39</v>
      </c>
      <c r="C26" s="76">
        <v>664.6</v>
      </c>
      <c r="D26" s="76">
        <v>13.3</v>
      </c>
      <c r="E26" s="76">
        <v>674.4</v>
      </c>
      <c r="F26" s="76">
        <v>13.2</v>
      </c>
      <c r="G26" s="76">
        <v>665.4</v>
      </c>
      <c r="H26" s="76">
        <v>13.2</v>
      </c>
      <c r="I26" s="96">
        <v>55</v>
      </c>
      <c r="L26" s="92"/>
      <c r="M26" s="92"/>
      <c r="N26" s="97">
        <v>9.79999999999995</v>
      </c>
      <c r="O26" s="97">
        <v>-0.100000000000001</v>
      </c>
      <c r="P26" s="98">
        <v>36.8058889399998</v>
      </c>
      <c r="Q26" s="97">
        <v>0.799999999999955</v>
      </c>
      <c r="R26" s="97">
        <v>-0.100000000000001</v>
      </c>
      <c r="S26" s="98">
        <v>2.83925623999983</v>
      </c>
      <c r="T26" s="106"/>
      <c r="U26" s="92"/>
      <c r="Y26" s="92" t="s">
        <v>35</v>
      </c>
      <c r="Z26" s="92" t="s">
        <v>39</v>
      </c>
      <c r="AA26" s="111">
        <v>37</v>
      </c>
      <c r="AB26" s="111">
        <v>34</v>
      </c>
      <c r="AC26" s="111">
        <v>3</v>
      </c>
      <c r="AD26" s="111">
        <v>55</v>
      </c>
      <c r="AE26" s="98">
        <v>0.618181818181818</v>
      </c>
      <c r="AF26" s="112">
        <v>0.0810810810810811</v>
      </c>
    </row>
    <row r="27" spans="1:32">
      <c r="A27" s="88"/>
      <c r="B27" s="89"/>
      <c r="C27" s="88"/>
      <c r="D27" s="88"/>
      <c r="E27" s="88"/>
      <c r="F27" s="88"/>
      <c r="G27" s="88"/>
      <c r="H27" s="88"/>
      <c r="L27" s="89"/>
      <c r="M27" s="89"/>
      <c r="N27" s="97"/>
      <c r="O27" s="97"/>
      <c r="P27" s="98"/>
      <c r="Q27" s="97"/>
      <c r="R27" s="97"/>
      <c r="S27" s="98"/>
      <c r="T27" s="108"/>
      <c r="U27" s="89"/>
      <c r="Y27" s="89"/>
      <c r="Z27" s="89"/>
      <c r="AA27" s="111"/>
      <c r="AB27" s="111"/>
      <c r="AC27" s="111"/>
      <c r="AD27" s="111"/>
      <c r="AE27" s="98"/>
      <c r="AF27" s="112"/>
    </row>
    <row r="28" ht="14.25" spans="1:32">
      <c r="A28" s="88"/>
      <c r="B28" s="90"/>
      <c r="C28" s="88"/>
      <c r="D28" s="88"/>
      <c r="E28" s="88"/>
      <c r="F28" s="88"/>
      <c r="G28" s="88"/>
      <c r="H28" s="88"/>
      <c r="L28" s="90"/>
      <c r="M28" s="90"/>
      <c r="N28" s="99"/>
      <c r="O28" s="99"/>
      <c r="P28" s="100"/>
      <c r="Q28" s="99"/>
      <c r="R28" s="99"/>
      <c r="S28" s="98"/>
      <c r="T28" s="107"/>
      <c r="U28" s="90"/>
      <c r="Y28" s="90"/>
      <c r="Z28" s="90"/>
      <c r="AA28" s="113"/>
      <c r="AB28" s="113"/>
      <c r="AC28" s="113"/>
      <c r="AD28" s="113"/>
      <c r="AE28" s="114"/>
      <c r="AF28" s="115"/>
    </row>
    <row r="29" spans="1:32">
      <c r="A29" s="88"/>
      <c r="B29" s="91"/>
      <c r="C29" s="88"/>
      <c r="D29" s="88"/>
      <c r="E29" s="88"/>
      <c r="F29" s="88"/>
      <c r="G29" s="88"/>
      <c r="H29" s="88"/>
      <c r="L29" s="91"/>
      <c r="M29" s="91"/>
      <c r="N29" s="101"/>
      <c r="O29" s="101"/>
      <c r="P29" s="102"/>
      <c r="Q29" s="101"/>
      <c r="R29" s="101"/>
      <c r="S29" s="109"/>
      <c r="T29" s="110"/>
      <c r="U29" s="91"/>
      <c r="Y29" s="91"/>
      <c r="Z29" s="91"/>
      <c r="AA29" s="116"/>
      <c r="AB29" s="116"/>
      <c r="AC29" s="116"/>
      <c r="AD29" s="116"/>
      <c r="AE29" s="117"/>
      <c r="AF29" s="118"/>
    </row>
    <row r="30" spans="1:32">
      <c r="A30" s="88"/>
      <c r="B30" s="92"/>
      <c r="C30" s="88"/>
      <c r="D30" s="88"/>
      <c r="E30" s="88"/>
      <c r="F30" s="88"/>
      <c r="G30" s="88"/>
      <c r="H30" s="88"/>
      <c r="L30" s="92"/>
      <c r="M30" s="92"/>
      <c r="N30" s="97"/>
      <c r="O30" s="97"/>
      <c r="P30" s="98"/>
      <c r="Q30" s="97"/>
      <c r="R30" s="97"/>
      <c r="S30" s="98"/>
      <c r="T30" s="108"/>
      <c r="U30" s="89"/>
      <c r="Y30" s="92"/>
      <c r="Z30" s="92"/>
      <c r="AA30" s="111"/>
      <c r="AB30" s="111"/>
      <c r="AC30" s="111"/>
      <c r="AD30" s="111"/>
      <c r="AE30" s="98"/>
      <c r="AF30" s="112"/>
    </row>
    <row r="31" spans="1:32">
      <c r="A31" s="88"/>
      <c r="B31" s="90"/>
      <c r="C31" s="88"/>
      <c r="D31" s="88"/>
      <c r="E31" s="88"/>
      <c r="F31" s="88"/>
      <c r="G31" s="88"/>
      <c r="H31" s="88"/>
      <c r="L31" s="90"/>
      <c r="M31" s="90"/>
      <c r="N31" s="97"/>
      <c r="O31" s="97"/>
      <c r="P31" s="98"/>
      <c r="Q31" s="97"/>
      <c r="R31" s="97"/>
      <c r="S31" s="98"/>
      <c r="T31" s="106"/>
      <c r="U31" s="92"/>
      <c r="Y31" s="90"/>
      <c r="Z31" s="90"/>
      <c r="AA31" s="111"/>
      <c r="AB31" s="111"/>
      <c r="AC31" s="111"/>
      <c r="AD31" s="111"/>
      <c r="AE31" s="98"/>
      <c r="AF31" s="112"/>
    </row>
    <row r="32" spans="1:32">
      <c r="A32" s="88"/>
      <c r="B32" s="92"/>
      <c r="C32" s="88"/>
      <c r="D32" s="88"/>
      <c r="E32" s="88"/>
      <c r="F32" s="88"/>
      <c r="G32" s="88"/>
      <c r="H32" s="88"/>
      <c r="L32" s="92"/>
      <c r="M32" s="92"/>
      <c r="N32" s="97"/>
      <c r="O32" s="97"/>
      <c r="P32" s="98"/>
      <c r="Q32" s="97"/>
      <c r="R32" s="97"/>
      <c r="S32" s="98"/>
      <c r="T32" s="106"/>
      <c r="U32" s="92"/>
      <c r="Y32" s="92"/>
      <c r="Z32" s="92"/>
      <c r="AA32" s="111"/>
      <c r="AB32" s="111"/>
      <c r="AC32" s="111"/>
      <c r="AD32" s="111"/>
      <c r="AE32" s="98"/>
      <c r="AF32" s="112"/>
    </row>
    <row r="33" spans="1:32">
      <c r="A33" s="88"/>
      <c r="B33" s="92"/>
      <c r="C33" s="88"/>
      <c r="D33" s="88"/>
      <c r="E33" s="88"/>
      <c r="F33" s="88"/>
      <c r="G33" s="88"/>
      <c r="H33" s="88"/>
      <c r="L33" s="92"/>
      <c r="M33" s="92"/>
      <c r="N33" s="97"/>
      <c r="O33" s="97"/>
      <c r="P33" s="98"/>
      <c r="Q33" s="97"/>
      <c r="R33" s="97"/>
      <c r="S33" s="98"/>
      <c r="T33" s="108"/>
      <c r="U33" s="89"/>
      <c r="Y33" s="92"/>
      <c r="Z33" s="92"/>
      <c r="AA33" s="111"/>
      <c r="AB33" s="111"/>
      <c r="AC33" s="111"/>
      <c r="AD33" s="111"/>
      <c r="AE33" s="98"/>
      <c r="AF33" s="112"/>
    </row>
    <row r="34" spans="1:32">
      <c r="A34" s="88"/>
      <c r="B34" s="90"/>
      <c r="C34" s="88"/>
      <c r="D34" s="88"/>
      <c r="E34" s="88"/>
      <c r="F34" s="88"/>
      <c r="G34" s="88"/>
      <c r="H34" s="88"/>
      <c r="L34" s="90"/>
      <c r="M34" s="90"/>
      <c r="N34" s="97"/>
      <c r="O34" s="97"/>
      <c r="P34" s="98"/>
      <c r="Q34" s="97"/>
      <c r="R34" s="97"/>
      <c r="S34" s="98"/>
      <c r="T34" s="106"/>
      <c r="U34" s="92"/>
      <c r="Y34" s="90"/>
      <c r="Z34" s="90"/>
      <c r="AA34" s="111"/>
      <c r="AB34" s="111"/>
      <c r="AC34" s="111"/>
      <c r="AD34" s="111"/>
      <c r="AE34" s="98"/>
      <c r="AF34" s="112"/>
    </row>
    <row r="35" spans="1:32">
      <c r="A35" s="88"/>
      <c r="B35" s="92"/>
      <c r="C35" s="88"/>
      <c r="D35" s="88"/>
      <c r="E35" s="88"/>
      <c r="F35" s="88"/>
      <c r="G35" s="88"/>
      <c r="H35" s="88"/>
      <c r="L35" s="92"/>
      <c r="M35" s="92"/>
      <c r="N35" s="97"/>
      <c r="O35" s="97"/>
      <c r="P35" s="98"/>
      <c r="Q35" s="97"/>
      <c r="R35" s="97"/>
      <c r="S35" s="98"/>
      <c r="T35" s="106"/>
      <c r="U35" s="92"/>
      <c r="Y35" s="92"/>
      <c r="Z35" s="92"/>
      <c r="AA35" s="111"/>
      <c r="AB35" s="111"/>
      <c r="AC35" s="111"/>
      <c r="AD35" s="111"/>
      <c r="AE35" s="98"/>
      <c r="AF35" s="112"/>
    </row>
    <row r="36" spans="1:32">
      <c r="A36" s="88"/>
      <c r="B36" s="92"/>
      <c r="C36" s="88"/>
      <c r="D36" s="88"/>
      <c r="E36" s="88"/>
      <c r="F36" s="88"/>
      <c r="G36" s="88"/>
      <c r="H36" s="88"/>
      <c r="L36" s="92"/>
      <c r="M36" s="92"/>
      <c r="N36" s="97"/>
      <c r="O36" s="97"/>
      <c r="P36" s="98"/>
      <c r="Q36" s="97"/>
      <c r="R36" s="97"/>
      <c r="S36" s="98"/>
      <c r="T36" s="108"/>
      <c r="U36" s="89"/>
      <c r="Y36" s="92"/>
      <c r="Z36" s="92"/>
      <c r="AA36" s="111"/>
      <c r="AB36" s="111"/>
      <c r="AC36" s="111"/>
      <c r="AD36" s="111"/>
      <c r="AE36" s="98"/>
      <c r="AF36" s="112"/>
    </row>
    <row r="37" spans="1:32">
      <c r="A37" s="88"/>
      <c r="B37" s="92"/>
      <c r="C37" s="88"/>
      <c r="D37" s="88"/>
      <c r="E37" s="88"/>
      <c r="F37" s="88"/>
      <c r="G37" s="88"/>
      <c r="H37" s="88"/>
      <c r="L37" s="92"/>
      <c r="M37" s="92"/>
      <c r="N37" s="97"/>
      <c r="O37" s="97"/>
      <c r="P37" s="98"/>
      <c r="Q37" s="97"/>
      <c r="R37" s="97"/>
      <c r="S37" s="98"/>
      <c r="T37" s="106"/>
      <c r="U37" s="92"/>
      <c r="Y37" s="92"/>
      <c r="Z37" s="92"/>
      <c r="AA37" s="111"/>
      <c r="AB37" s="111"/>
      <c r="AC37" s="111"/>
      <c r="AD37" s="111"/>
      <c r="AE37" s="98"/>
      <c r="AF37" s="112"/>
    </row>
    <row r="38" spans="1:32">
      <c r="A38" s="88"/>
      <c r="B38" s="89"/>
      <c r="C38" s="88"/>
      <c r="D38" s="88"/>
      <c r="E38" s="88"/>
      <c r="F38" s="88"/>
      <c r="G38" s="88"/>
      <c r="H38" s="88"/>
      <c r="L38" s="89"/>
      <c r="M38" s="89"/>
      <c r="N38" s="97"/>
      <c r="O38" s="97"/>
      <c r="P38" s="98"/>
      <c r="Q38" s="97"/>
      <c r="R38" s="97"/>
      <c r="S38" s="98"/>
      <c r="T38" s="106"/>
      <c r="U38" s="92"/>
      <c r="Y38" s="89"/>
      <c r="Z38" s="89"/>
      <c r="AA38" s="111"/>
      <c r="AB38" s="111"/>
      <c r="AC38" s="111"/>
      <c r="AD38" s="111"/>
      <c r="AE38" s="98"/>
      <c r="AF38" s="112"/>
    </row>
    <row r="39" spans="1:32">
      <c r="A39" s="88"/>
      <c r="B39" s="92"/>
      <c r="C39" s="88"/>
      <c r="D39" s="88"/>
      <c r="E39" s="88"/>
      <c r="F39" s="88"/>
      <c r="G39" s="88"/>
      <c r="H39" s="88"/>
      <c r="L39" s="92"/>
      <c r="M39" s="92"/>
      <c r="N39" s="97"/>
      <c r="O39" s="97"/>
      <c r="P39" s="98"/>
      <c r="Q39" s="97"/>
      <c r="R39" s="97"/>
      <c r="S39" s="98"/>
      <c r="T39" s="108"/>
      <c r="U39" s="89"/>
      <c r="Y39" s="92"/>
      <c r="Z39" s="92"/>
      <c r="AA39" s="111"/>
      <c r="AB39" s="111"/>
      <c r="AC39" s="111"/>
      <c r="AD39" s="111"/>
      <c r="AE39" s="98"/>
      <c r="AF39" s="112"/>
    </row>
    <row r="40" spans="1:32">
      <c r="A40" s="88"/>
      <c r="B40" s="92"/>
      <c r="C40" s="88"/>
      <c r="D40" s="88"/>
      <c r="E40" s="88"/>
      <c r="F40" s="88"/>
      <c r="G40" s="88"/>
      <c r="H40" s="88"/>
      <c r="L40" s="92"/>
      <c r="M40" s="92"/>
      <c r="N40" s="97"/>
      <c r="O40" s="97"/>
      <c r="P40" s="98"/>
      <c r="Q40" s="97"/>
      <c r="R40" s="97"/>
      <c r="S40" s="98"/>
      <c r="T40" s="106"/>
      <c r="U40" s="92"/>
      <c r="Y40" s="92"/>
      <c r="Z40" s="92"/>
      <c r="AA40" s="111"/>
      <c r="AB40" s="111"/>
      <c r="AC40" s="111"/>
      <c r="AD40" s="111"/>
      <c r="AE40" s="98"/>
      <c r="AF40" s="112"/>
    </row>
    <row r="41" spans="1:32">
      <c r="A41" s="88"/>
      <c r="B41" s="89"/>
      <c r="C41" s="88"/>
      <c r="D41" s="88"/>
      <c r="E41" s="88"/>
      <c r="F41" s="88"/>
      <c r="G41" s="88"/>
      <c r="H41" s="88"/>
      <c r="L41" s="89"/>
      <c r="M41" s="89"/>
      <c r="N41" s="97"/>
      <c r="O41" s="97"/>
      <c r="P41" s="98"/>
      <c r="Q41" s="97"/>
      <c r="R41" s="97"/>
      <c r="S41" s="98"/>
      <c r="T41" s="106"/>
      <c r="U41" s="92"/>
      <c r="Y41" s="89"/>
      <c r="Z41" s="89"/>
      <c r="AA41" s="111"/>
      <c r="AB41" s="111"/>
      <c r="AC41" s="111"/>
      <c r="AD41" s="111"/>
      <c r="AE41" s="98"/>
      <c r="AF41" s="112"/>
    </row>
    <row r="42" spans="1:32">
      <c r="A42" s="88"/>
      <c r="B42" s="92"/>
      <c r="C42" s="88"/>
      <c r="D42" s="88"/>
      <c r="E42" s="88"/>
      <c r="F42" s="88"/>
      <c r="G42" s="88"/>
      <c r="H42" s="88"/>
      <c r="L42" s="90"/>
      <c r="M42" s="90"/>
      <c r="N42" s="97"/>
      <c r="O42" s="97"/>
      <c r="P42" s="98"/>
      <c r="Q42" s="97"/>
      <c r="R42" s="97"/>
      <c r="S42" s="98"/>
      <c r="T42" s="108"/>
      <c r="U42" s="89"/>
      <c r="Y42" s="90"/>
      <c r="Z42" s="90"/>
      <c r="AA42" s="111"/>
      <c r="AB42" s="111"/>
      <c r="AC42" s="111"/>
      <c r="AD42" s="111"/>
      <c r="AE42" s="98"/>
      <c r="AF42" s="112"/>
    </row>
  </sheetData>
  <mergeCells count="20">
    <mergeCell ref="C13:D13"/>
    <mergeCell ref="E13:F13"/>
    <mergeCell ref="G13:H13"/>
    <mergeCell ref="N13:P13"/>
    <mergeCell ref="Q13:S13"/>
    <mergeCell ref="T13:U13"/>
    <mergeCell ref="AA13:AC13"/>
    <mergeCell ref="A13:A14"/>
    <mergeCell ref="B13:B14"/>
    <mergeCell ref="I11:I12"/>
    <mergeCell ref="I13:I14"/>
    <mergeCell ref="J13:J14"/>
    <mergeCell ref="Y13:Y14"/>
    <mergeCell ref="Z13:Z14"/>
    <mergeCell ref="AD13:AD14"/>
    <mergeCell ref="AE13:AE14"/>
    <mergeCell ref="AF13:AF14"/>
    <mergeCell ref="A11:H12"/>
    <mergeCell ref="Y11:AF12"/>
    <mergeCell ref="N11:S12"/>
  </mergeCells>
  <pageMargins left="0.699305555555556" right="0.699305555555556" top="0.75" bottom="0.75" header="0.3" footer="0.3"/>
  <pageSetup paperSize="9" orientation="portrait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name="Button 1" r:id="rId3">
              <controlPr defaultSize="0">
                <anchor moveWithCells="1">
                  <from>
                    <xdr:col>10</xdr:col>
                    <xdr:colOff>285750</xdr:colOff>
                    <xdr:row>9</xdr:row>
                    <xdr:rowOff>124460</xdr:rowOff>
                  </from>
                  <to>
                    <xdr:col>11</xdr:col>
                    <xdr:colOff>647700</xdr:colOff>
                    <xdr:row>11</xdr:row>
                    <xdr:rowOff>67945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name="Button 2" r:id="rId4">
              <controlPr defaultSize="0">
                <anchor moveWithCells="1">
                  <from>
                    <xdr:col>12</xdr:col>
                    <xdr:colOff>342900</xdr:colOff>
                    <xdr:row>7</xdr:row>
                    <xdr:rowOff>26035</xdr:rowOff>
                  </from>
                  <to>
                    <xdr:col>13</xdr:col>
                    <xdr:colOff>619125</xdr:colOff>
                    <xdr:row>8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name="Button 3" r:id="rId5">
              <controlPr defaultSize="0">
                <anchor moveWithCells="1">
                  <from>
                    <xdr:col>10</xdr:col>
                    <xdr:colOff>295275</xdr:colOff>
                    <xdr:row>12</xdr:row>
                    <xdr:rowOff>84455</xdr:rowOff>
                  </from>
                  <to>
                    <xdr:col>12</xdr:col>
                    <xdr:colOff>238125</xdr:colOff>
                    <xdr:row>14</xdr:row>
                    <xdr:rowOff>8890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name="Button 4" r:id="rId6">
              <controlPr defaultSize="0">
                <anchor moveWithCells="1">
                  <from>
                    <xdr:col>12</xdr:col>
                    <xdr:colOff>342900</xdr:colOff>
                    <xdr:row>9</xdr:row>
                    <xdr:rowOff>157480</xdr:rowOff>
                  </from>
                  <to>
                    <xdr:col>14</xdr:col>
                    <xdr:colOff>200025</xdr:colOff>
                    <xdr:row>11</xdr:row>
                    <xdr:rowOff>67945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name="Button 5" r:id="rId7">
              <controlPr defaultSize="0">
                <anchor moveWithCells="1" sizeWithCells="1">
                  <from>
                    <xdr:col>10</xdr:col>
                    <xdr:colOff>257175</xdr:colOff>
                    <xdr:row>7</xdr:row>
                    <xdr:rowOff>26035</xdr:rowOff>
                  </from>
                  <to>
                    <xdr:col>12</xdr:col>
                    <xdr:colOff>114300</xdr:colOff>
                    <xdr:row>8</xdr:row>
                    <xdr:rowOff>99695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name="Group Box 6" r:id="rId8">
              <controlPr defaultSize="0">
                <anchor moveWithCells="1">
                  <from>
                    <xdr:col>9</xdr:col>
                    <xdr:colOff>676275</xdr:colOff>
                    <xdr:row>6</xdr:row>
                    <xdr:rowOff>9525</xdr:rowOff>
                  </from>
                  <to>
                    <xdr:col>14</xdr:col>
                    <xdr:colOff>409575</xdr:colOff>
                    <xdr:row>16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9"/>
  <dimension ref="A1:G31"/>
  <sheetViews>
    <sheetView workbookViewId="0">
      <selection activeCell="E44" sqref="E44"/>
    </sheetView>
  </sheetViews>
  <sheetFormatPr defaultColWidth="9" defaultRowHeight="13.5" outlineLevelCol="6"/>
  <sheetData>
    <row r="1" spans="1:2">
      <c r="A1" s="1" t="s">
        <v>69</v>
      </c>
      <c r="B1">
        <v>3</v>
      </c>
    </row>
    <row r="2" spans="1:2">
      <c r="A2" s="1" t="s">
        <v>70</v>
      </c>
      <c r="B2" s="1">
        <v>5</v>
      </c>
    </row>
    <row r="7" spans="7:7">
      <c r="G7" s="1"/>
    </row>
    <row r="11" ht="14.25" spans="1:6">
      <c r="A11" s="4" t="s">
        <v>18</v>
      </c>
      <c r="B11" s="4" t="s">
        <v>71</v>
      </c>
      <c r="C11" s="71" t="s">
        <v>72</v>
      </c>
      <c r="D11" s="72"/>
      <c r="E11" s="73" t="s">
        <v>73</v>
      </c>
      <c r="F11" s="73" t="s">
        <v>74</v>
      </c>
    </row>
    <row r="12" ht="15" spans="1:6">
      <c r="A12" s="4"/>
      <c r="B12" s="4"/>
      <c r="C12" s="74" t="s">
        <v>27</v>
      </c>
      <c r="D12" s="74" t="s">
        <v>22</v>
      </c>
      <c r="E12" s="75"/>
      <c r="F12" s="75"/>
    </row>
    <row r="13" ht="15.75" spans="1:6">
      <c r="A13" s="76" t="s">
        <v>75</v>
      </c>
      <c r="B13" s="76" t="s">
        <v>76</v>
      </c>
      <c r="C13" s="77">
        <v>0.18</v>
      </c>
      <c r="D13" s="78" t="s">
        <v>77</v>
      </c>
      <c r="E13" s="79">
        <v>0.01</v>
      </c>
      <c r="F13" s="80">
        <v>0.0127</v>
      </c>
    </row>
    <row r="14" ht="15" spans="1:6">
      <c r="A14" s="76" t="s">
        <v>75</v>
      </c>
      <c r="B14" s="76" t="s">
        <v>78</v>
      </c>
      <c r="C14" s="81">
        <v>0.3</v>
      </c>
      <c r="D14" s="78" t="s">
        <v>77</v>
      </c>
      <c r="E14" s="82"/>
      <c r="F14" s="83"/>
    </row>
    <row r="15" ht="15" spans="1:6">
      <c r="A15" s="76" t="s">
        <v>75</v>
      </c>
      <c r="B15" s="76" t="s">
        <v>79</v>
      </c>
      <c r="C15" s="81">
        <v>0.45</v>
      </c>
      <c r="D15" s="78" t="s">
        <v>77</v>
      </c>
      <c r="E15" s="82"/>
      <c r="F15" s="83"/>
    </row>
    <row r="16" ht="15" spans="1:6">
      <c r="A16" s="76" t="s">
        <v>75</v>
      </c>
      <c r="B16" s="76" t="s">
        <v>80</v>
      </c>
      <c r="C16" s="81">
        <v>0.62</v>
      </c>
      <c r="D16" s="78" t="s">
        <v>77</v>
      </c>
      <c r="E16" s="82"/>
      <c r="F16" s="83"/>
    </row>
    <row r="17" ht="15" spans="1:6">
      <c r="A17" s="76" t="s">
        <v>75</v>
      </c>
      <c r="B17" s="76" t="s">
        <v>81</v>
      </c>
      <c r="C17" s="81">
        <v>0.79</v>
      </c>
      <c r="D17" s="78">
        <v>0.78</v>
      </c>
      <c r="E17" s="82"/>
      <c r="F17" s="83"/>
    </row>
    <row r="18" ht="15" spans="1:6">
      <c r="A18" s="76" t="s">
        <v>75</v>
      </c>
      <c r="B18" s="76" t="s">
        <v>82</v>
      </c>
      <c r="C18" s="84">
        <v>0.01</v>
      </c>
      <c r="D18" s="78" t="s">
        <v>77</v>
      </c>
      <c r="E18" s="82"/>
      <c r="F18" s="83"/>
    </row>
    <row r="19" ht="15.75" spans="1:6">
      <c r="A19" s="76" t="s">
        <v>83</v>
      </c>
      <c r="B19" s="76" t="s">
        <v>76</v>
      </c>
      <c r="C19" s="77">
        <v>0.13</v>
      </c>
      <c r="D19" s="78" t="s">
        <v>77</v>
      </c>
      <c r="E19" s="82">
        <v>0.03</v>
      </c>
      <c r="F19" s="83">
        <v>0.0411</v>
      </c>
    </row>
    <row r="20" ht="15" spans="1:6">
      <c r="A20" s="76" t="s">
        <v>83</v>
      </c>
      <c r="B20" s="76" t="s">
        <v>78</v>
      </c>
      <c r="C20" s="81">
        <v>0.28</v>
      </c>
      <c r="D20" s="78" t="s">
        <v>77</v>
      </c>
      <c r="E20" s="82"/>
      <c r="F20" s="83"/>
    </row>
    <row r="21" ht="15" spans="1:6">
      <c r="A21" s="76" t="s">
        <v>83</v>
      </c>
      <c r="B21" s="76" t="s">
        <v>79</v>
      </c>
      <c r="C21" s="81">
        <v>0.41</v>
      </c>
      <c r="D21" s="78" t="s">
        <v>77</v>
      </c>
      <c r="E21" s="82"/>
      <c r="F21" s="83"/>
    </row>
    <row r="22" ht="15" spans="1:6">
      <c r="A22" s="76" t="s">
        <v>83</v>
      </c>
      <c r="B22" s="76" t="s">
        <v>80</v>
      </c>
      <c r="C22" s="81">
        <v>0.57</v>
      </c>
      <c r="D22" s="78" t="s">
        <v>77</v>
      </c>
      <c r="E22" s="82"/>
      <c r="F22" s="83"/>
    </row>
    <row r="23" ht="15" spans="1:6">
      <c r="A23" s="76" t="s">
        <v>83</v>
      </c>
      <c r="B23" s="76" t="s">
        <v>81</v>
      </c>
      <c r="C23" s="81">
        <v>0.73</v>
      </c>
      <c r="D23" s="78">
        <v>0.7</v>
      </c>
      <c r="E23" s="82"/>
      <c r="F23" s="83"/>
    </row>
    <row r="24" ht="15" spans="1:6">
      <c r="A24" s="76" t="s">
        <v>83</v>
      </c>
      <c r="B24" s="76" t="s">
        <v>82</v>
      </c>
      <c r="C24" s="84">
        <v>0.03</v>
      </c>
      <c r="D24" s="78" t="s">
        <v>77</v>
      </c>
      <c r="E24" s="82"/>
      <c r="F24" s="83"/>
    </row>
    <row r="25" ht="15.75" spans="1:6">
      <c r="A25" s="76" t="s">
        <v>84</v>
      </c>
      <c r="B25" s="76" t="s">
        <v>76</v>
      </c>
      <c r="C25" s="77">
        <v>0.15</v>
      </c>
      <c r="D25" s="78" t="s">
        <v>77</v>
      </c>
      <c r="E25" s="82">
        <v>0.04</v>
      </c>
      <c r="F25" s="83">
        <v>0.0482</v>
      </c>
    </row>
    <row r="26" ht="15" spans="1:6">
      <c r="A26" s="76" t="s">
        <v>84</v>
      </c>
      <c r="B26" s="76" t="s">
        <v>78</v>
      </c>
      <c r="C26" s="81">
        <v>0.32</v>
      </c>
      <c r="D26" s="78" t="s">
        <v>77</v>
      </c>
      <c r="E26" s="82"/>
      <c r="F26" s="83"/>
    </row>
    <row r="27" ht="15" spans="1:6">
      <c r="A27" s="76" t="s">
        <v>84</v>
      </c>
      <c r="B27" s="76" t="s">
        <v>79</v>
      </c>
      <c r="C27" s="81">
        <v>0.48</v>
      </c>
      <c r="D27" s="78" t="s">
        <v>77</v>
      </c>
      <c r="E27" s="82"/>
      <c r="F27" s="83"/>
    </row>
    <row r="28" ht="15" spans="1:6">
      <c r="A28" s="76" t="s">
        <v>84</v>
      </c>
      <c r="B28" s="76" t="s">
        <v>80</v>
      </c>
      <c r="C28" s="81">
        <v>0.64</v>
      </c>
      <c r="D28" s="78" t="s">
        <v>77</v>
      </c>
      <c r="E28" s="82"/>
      <c r="F28" s="83"/>
    </row>
    <row r="29" ht="15" spans="1:6">
      <c r="A29" s="76" t="s">
        <v>84</v>
      </c>
      <c r="B29" s="76" t="s">
        <v>81</v>
      </c>
      <c r="C29" s="81">
        <v>0.83</v>
      </c>
      <c r="D29" s="78">
        <v>0.79</v>
      </c>
      <c r="E29" s="82"/>
      <c r="F29" s="83"/>
    </row>
    <row r="30" ht="15" spans="1:6">
      <c r="A30" s="76" t="s">
        <v>84</v>
      </c>
      <c r="B30" s="76" t="s">
        <v>82</v>
      </c>
      <c r="C30" s="84">
        <v>0.04</v>
      </c>
      <c r="D30" s="78" t="s">
        <v>77</v>
      </c>
      <c r="E30" s="82"/>
      <c r="F30" s="83"/>
    </row>
    <row r="31" ht="14.25"/>
  </sheetData>
  <mergeCells count="11">
    <mergeCell ref="C11:D11"/>
    <mergeCell ref="A11:A12"/>
    <mergeCell ref="B11:B12"/>
    <mergeCell ref="E11:E12"/>
    <mergeCell ref="E13:E18"/>
    <mergeCell ref="E19:E24"/>
    <mergeCell ref="E25:E30"/>
    <mergeCell ref="F11:F12"/>
    <mergeCell ref="F13:F18"/>
    <mergeCell ref="F19:F24"/>
    <mergeCell ref="F25:F30"/>
  </mergeCells>
  <pageMargins left="0.699305555555556" right="0.699305555555556" top="0.75" bottom="0.75" header="0.3" footer="0.3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8" name="Button 2" r:id="rId3">
              <controlPr print="0" defaultSize="0">
                <anchor moveWithCells="1" sizeWithCells="1">
                  <from>
                    <xdr:col>6</xdr:col>
                    <xdr:colOff>676275</xdr:colOff>
                    <xdr:row>4</xdr:row>
                    <xdr:rowOff>161925</xdr:rowOff>
                  </from>
                  <to>
                    <xdr:col>8</xdr:col>
                    <xdr:colOff>381000</xdr:colOff>
                    <xdr:row>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9" name="Button 3" r:id="rId4">
              <controlPr print="0" defaultSize="0">
                <anchor moveWithCells="1" sizeWithCells="1">
                  <from>
                    <xdr:col>6</xdr:col>
                    <xdr:colOff>676275</xdr:colOff>
                    <xdr:row>6</xdr:row>
                    <xdr:rowOff>171450</xdr:rowOff>
                  </from>
                  <to>
                    <xdr:col>8</xdr:col>
                    <xdr:colOff>371475</xdr:colOff>
                    <xdr:row>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0" name="Button 4" r:id="rId5">
              <controlPr print="0" defaultSize="0">
                <anchor moveWithCells="1" sizeWithCells="1">
                  <from>
                    <xdr:col>7</xdr:col>
                    <xdr:colOff>9525</xdr:colOff>
                    <xdr:row>8</xdr:row>
                    <xdr:rowOff>171450</xdr:rowOff>
                  </from>
                  <to>
                    <xdr:col>8</xdr:col>
                    <xdr:colOff>371475</xdr:colOff>
                    <xdr:row>10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4"/>
  <dimension ref="G3"/>
  <sheetViews>
    <sheetView workbookViewId="0">
      <selection activeCell="L33" sqref="L33"/>
    </sheetView>
  </sheetViews>
  <sheetFormatPr defaultColWidth="9" defaultRowHeight="13.5" outlineLevelRow="2" outlineLevelCol="6"/>
  <sheetData>
    <row r="3" spans="7:7">
      <c r="G3" t="s">
        <v>85</v>
      </c>
    </row>
  </sheetData>
  <pageMargins left="0.75" right="0.75" top="1" bottom="1" header="0.511805555555556" footer="0.511805555555556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name="Button 1" r:id="rId3">
              <controlPr print="0" defaultSize="0">
                <anchor moveWithCells="1">
                  <from>
                    <xdr:col>6</xdr:col>
                    <xdr:colOff>123825</xdr:colOff>
                    <xdr:row>4</xdr:row>
                    <xdr:rowOff>47625</xdr:rowOff>
                  </from>
                  <to>
                    <xdr:col>8</xdr:col>
                    <xdr:colOff>85725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name="Button 3" r:id="rId4">
              <controlPr print="0" defaultSize="0">
                <anchor moveWithCells="1">
                  <from>
                    <xdr:col>6</xdr:col>
                    <xdr:colOff>133350</xdr:colOff>
                    <xdr:row>6</xdr:row>
                    <xdr:rowOff>161925</xdr:rowOff>
                  </from>
                  <to>
                    <xdr:col>8</xdr:col>
                    <xdr:colOff>247650</xdr:colOff>
                    <xdr:row>8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name="Button 4" r:id="rId5">
              <controlPr print="0" defaultSize="0">
                <anchor moveWithCells="1">
                  <from>
                    <xdr:col>6</xdr:col>
                    <xdr:colOff>136525</xdr:colOff>
                    <xdr:row>9</xdr:row>
                    <xdr:rowOff>136525</xdr:rowOff>
                  </from>
                  <to>
                    <xdr:col>8</xdr:col>
                    <xdr:colOff>41275</xdr:colOff>
                    <xdr:row>11</xdr:row>
                    <xdr:rowOff>88900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7"/>
  <dimension ref="A1:S52"/>
  <sheetViews>
    <sheetView workbookViewId="0">
      <selection activeCell="E10" sqref="E10"/>
    </sheetView>
  </sheetViews>
  <sheetFormatPr defaultColWidth="9" defaultRowHeight="13.5"/>
  <cols>
    <col min="3" max="3" width="13.375" customWidth="1"/>
    <col min="4" max="4" width="12.875" customWidth="1"/>
    <col min="6" max="6" width="22.875" customWidth="1"/>
    <col min="10" max="10" width="11.125" customWidth="1"/>
    <col min="15" max="15" width="9.375"/>
    <col min="16" max="16" width="22.875" customWidth="1"/>
  </cols>
  <sheetData>
    <row r="1" spans="1:16">
      <c r="A1" s="1" t="s">
        <v>18</v>
      </c>
      <c r="B1" s="1" t="s">
        <v>86</v>
      </c>
      <c r="C1" s="1" t="s">
        <v>87</v>
      </c>
      <c r="D1" s="1" t="s">
        <v>88</v>
      </c>
      <c r="E1" s="1" t="s">
        <v>89</v>
      </c>
      <c r="F1" s="1" t="s">
        <v>90</v>
      </c>
      <c r="J1" s="1" t="s">
        <v>91</v>
      </c>
      <c r="K1" s="1" t="s">
        <v>18</v>
      </c>
      <c r="L1" s="1" t="s">
        <v>86</v>
      </c>
      <c r="M1" s="1" t="s">
        <v>92</v>
      </c>
      <c r="N1" s="1" t="s">
        <v>93</v>
      </c>
      <c r="O1" s="1" t="s">
        <v>89</v>
      </c>
      <c r="P1" s="1" t="s">
        <v>90</v>
      </c>
    </row>
    <row r="2" spans="1:15">
      <c r="A2" s="70" t="s">
        <v>94</v>
      </c>
      <c r="B2" s="1" t="s">
        <v>77</v>
      </c>
      <c r="C2">
        <v>0</v>
      </c>
      <c r="D2">
        <v>2.76937</v>
      </c>
      <c r="E2">
        <v>7.8367</v>
      </c>
      <c r="F2">
        <v>-7836.7</v>
      </c>
      <c r="J2" s="1"/>
      <c r="K2" s="70" t="s">
        <v>95</v>
      </c>
      <c r="L2" s="1" t="s">
        <v>77</v>
      </c>
      <c r="M2">
        <v>0</v>
      </c>
      <c r="N2">
        <v>1.71951</v>
      </c>
      <c r="O2">
        <v>0</v>
      </c>
    </row>
    <row r="3" spans="1:14">
      <c r="A3" s="39" t="s">
        <v>96</v>
      </c>
      <c r="B3" s="70" t="s">
        <v>94</v>
      </c>
      <c r="C3">
        <v>1.66853</v>
      </c>
      <c r="D3">
        <v>2.76937</v>
      </c>
      <c r="E3">
        <v>8.93754</v>
      </c>
      <c r="F3">
        <v>-8937.54</v>
      </c>
      <c r="K3" s="39" t="s">
        <v>75</v>
      </c>
      <c r="L3" s="70" t="s">
        <v>95</v>
      </c>
      <c r="M3">
        <v>1.34327</v>
      </c>
      <c r="N3">
        <v>1.71951</v>
      </c>
    </row>
    <row r="4" spans="1:14">
      <c r="A4" s="39" t="s">
        <v>97</v>
      </c>
      <c r="B4" s="70" t="s">
        <v>94</v>
      </c>
      <c r="C4">
        <v>0.90878</v>
      </c>
      <c r="D4">
        <v>2.76937</v>
      </c>
      <c r="E4">
        <v>9.69729</v>
      </c>
      <c r="F4">
        <v>-9697.29</v>
      </c>
      <c r="K4" s="39" t="s">
        <v>83</v>
      </c>
      <c r="L4" s="39" t="s">
        <v>95</v>
      </c>
      <c r="M4">
        <v>1.36554</v>
      </c>
      <c r="N4">
        <v>1.71951</v>
      </c>
    </row>
    <row r="5" spans="1:14">
      <c r="A5" s="39" t="s">
        <v>98</v>
      </c>
      <c r="B5" s="70" t="s">
        <v>94</v>
      </c>
      <c r="C5">
        <v>0.77649</v>
      </c>
      <c r="D5">
        <v>2.76937</v>
      </c>
      <c r="E5">
        <v>9.82958</v>
      </c>
      <c r="F5">
        <v>-9829.58</v>
      </c>
      <c r="K5" s="39" t="s">
        <v>84</v>
      </c>
      <c r="L5" s="39" t="s">
        <v>95</v>
      </c>
      <c r="M5">
        <v>1.38873</v>
      </c>
      <c r="N5">
        <v>1.71951</v>
      </c>
    </row>
    <row r="6" spans="1:14">
      <c r="A6" s="39" t="s">
        <v>99</v>
      </c>
      <c r="B6" s="70" t="s">
        <v>94</v>
      </c>
      <c r="C6">
        <v>1.67498</v>
      </c>
      <c r="D6">
        <v>2.76937</v>
      </c>
      <c r="E6">
        <v>8.93109</v>
      </c>
      <c r="F6">
        <v>-8931.09</v>
      </c>
      <c r="K6" s="39" t="s">
        <v>100</v>
      </c>
      <c r="L6" s="39" t="s">
        <v>95</v>
      </c>
      <c r="M6">
        <v>1.74934</v>
      </c>
      <c r="N6">
        <v>1.71951</v>
      </c>
    </row>
    <row r="7" spans="1:14">
      <c r="A7" s="39" t="s">
        <v>101</v>
      </c>
      <c r="B7" s="70" t="s">
        <v>94</v>
      </c>
      <c r="C7">
        <v>0.897</v>
      </c>
      <c r="D7">
        <v>2.76937</v>
      </c>
      <c r="E7">
        <v>9.70907</v>
      </c>
      <c r="F7">
        <v>-9709.07</v>
      </c>
      <c r="K7" s="39" t="s">
        <v>102</v>
      </c>
      <c r="L7" s="39" t="s">
        <v>95</v>
      </c>
      <c r="M7">
        <v>1.72875</v>
      </c>
      <c r="N7">
        <v>1.71951</v>
      </c>
    </row>
    <row r="8" spans="1:14">
      <c r="A8" s="39" t="s">
        <v>103</v>
      </c>
      <c r="B8" s="70" t="s">
        <v>94</v>
      </c>
      <c r="C8">
        <v>0.75308</v>
      </c>
      <c r="D8">
        <v>2.76937</v>
      </c>
      <c r="E8">
        <v>9.85299</v>
      </c>
      <c r="F8">
        <v>-9852.99</v>
      </c>
      <c r="K8" s="39" t="s">
        <v>104</v>
      </c>
      <c r="L8" s="39" t="s">
        <v>95</v>
      </c>
      <c r="M8">
        <v>1.6987</v>
      </c>
      <c r="N8">
        <v>1.71951</v>
      </c>
    </row>
    <row r="9" spans="1:14">
      <c r="A9" s="39" t="s">
        <v>105</v>
      </c>
      <c r="B9" s="70" t="s">
        <v>103</v>
      </c>
      <c r="C9">
        <v>1.09327</v>
      </c>
      <c r="D9">
        <v>0.91003</v>
      </c>
      <c r="E9">
        <v>9.66975</v>
      </c>
      <c r="F9">
        <v>-9669.75</v>
      </c>
      <c r="K9" s="39" t="s">
        <v>106</v>
      </c>
      <c r="L9" s="39" t="s">
        <v>95</v>
      </c>
      <c r="M9">
        <v>1.67526</v>
      </c>
      <c r="N9">
        <v>1.71951</v>
      </c>
    </row>
    <row r="10" spans="1:14">
      <c r="A10" s="39" t="s">
        <v>107</v>
      </c>
      <c r="B10" s="70" t="s">
        <v>103</v>
      </c>
      <c r="C10">
        <v>1.92201</v>
      </c>
      <c r="D10">
        <v>0.91003</v>
      </c>
      <c r="E10">
        <v>8.84101</v>
      </c>
      <c r="F10">
        <v>-8841.01</v>
      </c>
      <c r="K10" s="39" t="s">
        <v>108</v>
      </c>
      <c r="L10" s="39" t="s">
        <v>95</v>
      </c>
      <c r="M10">
        <v>1.66155</v>
      </c>
      <c r="N10">
        <v>1.71951</v>
      </c>
    </row>
    <row r="11" spans="1:14">
      <c r="A11" s="39" t="s">
        <v>109</v>
      </c>
      <c r="B11" s="70" t="s">
        <v>103</v>
      </c>
      <c r="C11">
        <v>1.08172</v>
      </c>
      <c r="D11">
        <v>0.91003</v>
      </c>
      <c r="E11">
        <v>9.6813</v>
      </c>
      <c r="F11">
        <v>-9681.3</v>
      </c>
      <c r="K11" s="39" t="s">
        <v>110</v>
      </c>
      <c r="L11" s="39" t="s">
        <v>95</v>
      </c>
      <c r="M11">
        <v>1.64923</v>
      </c>
      <c r="N11">
        <v>1.71951</v>
      </c>
    </row>
    <row r="12" spans="1:14">
      <c r="A12" s="70"/>
      <c r="B12" s="70"/>
      <c r="K12" s="70" t="s">
        <v>111</v>
      </c>
      <c r="L12" s="70" t="s">
        <v>108</v>
      </c>
      <c r="M12">
        <v>1.66053</v>
      </c>
      <c r="N12">
        <v>1.72431</v>
      </c>
    </row>
    <row r="13" spans="1:14">
      <c r="A13" s="70"/>
      <c r="B13" s="70"/>
      <c r="K13" s="70" t="s">
        <v>112</v>
      </c>
      <c r="L13" s="70" t="s">
        <v>108</v>
      </c>
      <c r="M13">
        <v>1.66256</v>
      </c>
      <c r="N13">
        <v>1.72352</v>
      </c>
    </row>
    <row r="14" spans="1:14">
      <c r="A14" s="70"/>
      <c r="B14" s="70"/>
      <c r="K14" s="70" t="s">
        <v>113</v>
      </c>
      <c r="L14" s="70" t="s">
        <v>114</v>
      </c>
      <c r="M14">
        <v>1.64823</v>
      </c>
      <c r="N14">
        <v>1.71828</v>
      </c>
    </row>
    <row r="15" spans="1:14">
      <c r="A15" s="70"/>
      <c r="B15" s="70"/>
      <c r="K15" s="70" t="s">
        <v>115</v>
      </c>
      <c r="L15" s="70" t="s">
        <v>113</v>
      </c>
      <c r="M15">
        <v>1.65823</v>
      </c>
      <c r="N15">
        <v>1.71639</v>
      </c>
    </row>
    <row r="18" spans="11:19">
      <c r="K18" s="70"/>
      <c r="L18" s="1"/>
      <c r="R18" s="70"/>
      <c r="S18" s="1"/>
    </row>
    <row r="19" spans="11:19">
      <c r="K19" s="39"/>
      <c r="L19" s="70"/>
      <c r="R19" s="39"/>
      <c r="S19" s="70"/>
    </row>
    <row r="20" spans="11:19">
      <c r="K20" s="39"/>
      <c r="L20" s="70"/>
      <c r="R20" s="39"/>
      <c r="S20" s="70"/>
    </row>
    <row r="21" spans="11:19">
      <c r="K21" s="39"/>
      <c r="L21" s="70"/>
      <c r="R21" s="39"/>
      <c r="S21" s="70"/>
    </row>
    <row r="22" spans="11:12">
      <c r="K22" s="39"/>
      <c r="L22" s="70"/>
    </row>
    <row r="24" spans="11:19">
      <c r="K24" s="70"/>
      <c r="L24" s="1"/>
      <c r="R24" s="70"/>
      <c r="S24" s="1"/>
    </row>
    <row r="25" spans="11:19">
      <c r="K25" s="39"/>
      <c r="L25" s="70"/>
      <c r="R25" s="39"/>
      <c r="S25" s="70"/>
    </row>
    <row r="26" spans="11:19">
      <c r="K26" s="39"/>
      <c r="L26" s="70"/>
      <c r="R26" s="39"/>
      <c r="S26" s="70"/>
    </row>
    <row r="27" spans="11:19">
      <c r="K27" s="39"/>
      <c r="L27" s="70"/>
      <c r="R27" s="39"/>
      <c r="S27" s="70"/>
    </row>
    <row r="28" spans="11:12">
      <c r="K28" s="39"/>
      <c r="L28" s="70"/>
    </row>
    <row r="30" spans="11:19">
      <c r="K30" s="70"/>
      <c r="L30" s="1"/>
      <c r="R30" s="70"/>
      <c r="S30" s="1"/>
    </row>
    <row r="31" spans="11:19">
      <c r="K31" s="39"/>
      <c r="L31" s="70"/>
      <c r="R31" s="39"/>
      <c r="S31" s="70"/>
    </row>
    <row r="32" spans="11:19">
      <c r="K32" s="39"/>
      <c r="L32" s="70"/>
      <c r="R32" s="39"/>
      <c r="S32" s="70"/>
    </row>
    <row r="33" spans="11:19">
      <c r="K33" s="39"/>
      <c r="L33" s="70"/>
      <c r="R33" s="39"/>
      <c r="S33" s="70"/>
    </row>
    <row r="34" spans="11:12">
      <c r="K34" s="39"/>
      <c r="L34" s="70"/>
    </row>
    <row r="36" spans="11:12">
      <c r="K36" s="70"/>
      <c r="L36" s="1"/>
    </row>
    <row r="37" spans="11:12">
      <c r="K37" s="39"/>
      <c r="L37" s="70"/>
    </row>
    <row r="38" spans="11:12">
      <c r="K38" s="39"/>
      <c r="L38" s="70"/>
    </row>
    <row r="39" spans="11:12">
      <c r="K39" s="39"/>
      <c r="L39" s="70"/>
    </row>
    <row r="40" spans="11:12">
      <c r="K40" s="39"/>
      <c r="L40" s="70"/>
    </row>
    <row r="42" spans="11:12">
      <c r="K42" s="70"/>
      <c r="L42" s="1"/>
    </row>
    <row r="43" spans="11:12">
      <c r="K43" s="39"/>
      <c r="L43" s="70"/>
    </row>
    <row r="44" spans="11:12">
      <c r="K44" s="39"/>
      <c r="L44" s="70"/>
    </row>
    <row r="45" spans="11:12">
      <c r="K45" s="39"/>
      <c r="L45" s="70"/>
    </row>
    <row r="46" spans="11:12">
      <c r="K46" s="39"/>
      <c r="L46" s="70"/>
    </row>
    <row r="48" spans="11:12">
      <c r="K48" s="70"/>
      <c r="L48" s="1"/>
    </row>
    <row r="49" spans="11:12">
      <c r="K49" s="39"/>
      <c r="L49" s="70"/>
    </row>
    <row r="50" spans="11:12">
      <c r="K50" s="39"/>
      <c r="L50" s="70"/>
    </row>
    <row r="51" spans="11:12">
      <c r="K51" s="39"/>
      <c r="L51" s="70"/>
    </row>
    <row r="52" spans="11:12">
      <c r="K52" s="39"/>
      <c r="L52" s="70"/>
    </row>
  </sheetData>
  <pageMargins left="0.699305555555556" right="0.699305555555556" top="0.75" bottom="0.75" header="0.3" footer="0.3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name="Button 1" r:id="rId3">
              <controlPr print="0" defaultSize="0">
                <anchor moveWithCells="1" sizeWithCells="1">
                  <from>
                    <xdr:col>6</xdr:col>
                    <xdr:colOff>619125</xdr:colOff>
                    <xdr:row>6</xdr:row>
                    <xdr:rowOff>171450</xdr:rowOff>
                  </from>
                  <to>
                    <xdr:col>8</xdr:col>
                    <xdr:colOff>257175</xdr:colOff>
                    <xdr:row>8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name="Button 2" r:id="rId4">
              <controlPr print="0" defaultSize="0">
                <anchor moveWithCells="1" sizeWithCells="1">
                  <from>
                    <xdr:col>6</xdr:col>
                    <xdr:colOff>647700</xdr:colOff>
                    <xdr:row>4</xdr:row>
                    <xdr:rowOff>85725</xdr:rowOff>
                  </from>
                  <to>
                    <xdr:col>8</xdr:col>
                    <xdr:colOff>609600</xdr:colOff>
                    <xdr:row>5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3"/>
  <dimension ref="A1:F11"/>
  <sheetViews>
    <sheetView workbookViewId="0">
      <selection activeCell="D1" sqref="D1"/>
    </sheetView>
  </sheetViews>
  <sheetFormatPr defaultColWidth="9" defaultRowHeight="13.5" outlineLevelCol="5"/>
  <sheetData>
    <row r="1" spans="2:6">
      <c r="B1" t="s">
        <v>22</v>
      </c>
      <c r="C1" t="s">
        <v>23</v>
      </c>
      <c r="E1" t="s">
        <v>22</v>
      </c>
      <c r="F1" t="s">
        <v>23</v>
      </c>
    </row>
    <row r="2" spans="1:6">
      <c r="A2" t="s">
        <v>107</v>
      </c>
      <c r="B2">
        <v>0.97</v>
      </c>
      <c r="C2">
        <v>2.342</v>
      </c>
      <c r="D2" t="s">
        <v>107</v>
      </c>
      <c r="E2">
        <v>0.97</v>
      </c>
      <c r="F2">
        <v>2.342</v>
      </c>
    </row>
    <row r="3" spans="1:6">
      <c r="A3" t="s">
        <v>116</v>
      </c>
      <c r="B3">
        <v>1.28</v>
      </c>
      <c r="C3">
        <v>3.079</v>
      </c>
      <c r="D3" t="s">
        <v>116</v>
      </c>
      <c r="E3">
        <v>1.28</v>
      </c>
      <c r="F3">
        <v>3.079</v>
      </c>
    </row>
    <row r="4" spans="1:6">
      <c r="A4" t="s">
        <v>117</v>
      </c>
      <c r="B4">
        <v>1.64</v>
      </c>
      <c r="C4">
        <v>4.008</v>
      </c>
      <c r="D4" t="s">
        <v>117</v>
      </c>
      <c r="E4">
        <v>1.64</v>
      </c>
      <c r="F4">
        <v>4.008</v>
      </c>
    </row>
    <row r="5" spans="1:6">
      <c r="A5" t="s">
        <v>118</v>
      </c>
      <c r="B5">
        <v>2.03</v>
      </c>
      <c r="C5">
        <v>5.16</v>
      </c>
      <c r="D5" t="s">
        <v>118</v>
      </c>
      <c r="E5">
        <v>5</v>
      </c>
      <c r="F5">
        <v>5.16</v>
      </c>
    </row>
    <row r="6" spans="1:6">
      <c r="A6" t="s">
        <v>119</v>
      </c>
      <c r="B6">
        <v>2.5</v>
      </c>
      <c r="C6">
        <v>5.953</v>
      </c>
      <c r="D6" t="s">
        <v>119</v>
      </c>
      <c r="E6">
        <v>2.5</v>
      </c>
      <c r="F6">
        <v>5.953</v>
      </c>
    </row>
    <row r="7" spans="1:6">
      <c r="A7" t="s">
        <v>120</v>
      </c>
      <c r="B7">
        <v>2.8</v>
      </c>
      <c r="C7">
        <v>6.742</v>
      </c>
      <c r="D7" t="s">
        <v>120</v>
      </c>
      <c r="E7">
        <v>2.8</v>
      </c>
      <c r="F7">
        <v>6.742</v>
      </c>
    </row>
    <row r="8" spans="1:6">
      <c r="A8" t="s">
        <v>121</v>
      </c>
      <c r="B8">
        <v>3.28</v>
      </c>
      <c r="C8">
        <v>7.048</v>
      </c>
      <c r="D8" t="s">
        <v>121</v>
      </c>
      <c r="E8">
        <v>3.28</v>
      </c>
      <c r="F8">
        <v>7.048</v>
      </c>
    </row>
    <row r="9" spans="1:6">
      <c r="A9" t="s">
        <v>122</v>
      </c>
      <c r="B9">
        <v>3.1</v>
      </c>
      <c r="C9">
        <v>7.268</v>
      </c>
      <c r="D9" t="s">
        <v>122</v>
      </c>
      <c r="E9">
        <v>3.1</v>
      </c>
      <c r="F9">
        <v>7.268</v>
      </c>
    </row>
    <row r="10" spans="1:6">
      <c r="A10" t="s">
        <v>123</v>
      </c>
      <c r="B10">
        <v>2.77</v>
      </c>
      <c r="C10">
        <v>6.793</v>
      </c>
      <c r="D10" t="s">
        <v>123</v>
      </c>
      <c r="E10">
        <v>2.77</v>
      </c>
      <c r="F10">
        <v>6.793</v>
      </c>
    </row>
    <row r="11" spans="1:6">
      <c r="A11" t="s">
        <v>124</v>
      </c>
      <c r="B11">
        <v>2.8</v>
      </c>
      <c r="C11">
        <v>6.702</v>
      </c>
      <c r="D11" t="s">
        <v>124</v>
      </c>
      <c r="E11">
        <v>2.8</v>
      </c>
      <c r="F11">
        <v>6.702</v>
      </c>
    </row>
  </sheetData>
  <pageMargins left="0.75" right="0.75" top="1" bottom="1" header="0.511805555555556" footer="0.511805555555556"/>
  <headerFooter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6"/>
  <dimension ref="A1:AF42"/>
  <sheetViews>
    <sheetView workbookViewId="0">
      <selection activeCell="A1" sqref="A1"/>
    </sheetView>
  </sheetViews>
  <sheetFormatPr defaultColWidth="9" defaultRowHeight="13.5"/>
  <sheetData>
    <row r="1" spans="1:2">
      <c r="A1" t="s">
        <v>40</v>
      </c>
      <c r="B1">
        <v>2</v>
      </c>
    </row>
    <row r="2" spans="1:19">
      <c r="A2" t="s">
        <v>1</v>
      </c>
      <c r="B2">
        <v>14</v>
      </c>
      <c r="C2" t="s">
        <v>2</v>
      </c>
      <c r="D2">
        <v>14</v>
      </c>
      <c r="E2" t="s">
        <v>3</v>
      </c>
      <c r="G2" t="s">
        <v>4</v>
      </c>
      <c r="I2" t="s">
        <v>5</v>
      </c>
      <c r="K2" t="s">
        <v>6</v>
      </c>
      <c r="M2" t="s">
        <v>7</v>
      </c>
      <c r="O2" t="s">
        <v>8</v>
      </c>
      <c r="Q2" t="s">
        <v>9</v>
      </c>
      <c r="S2" t="s">
        <v>10</v>
      </c>
    </row>
    <row r="3" spans="1:4">
      <c r="A3" t="s">
        <v>11</v>
      </c>
      <c r="B3">
        <v>1</v>
      </c>
      <c r="C3" t="s">
        <v>11</v>
      </c>
      <c r="D3">
        <v>2</v>
      </c>
    </row>
    <row r="4" spans="1:4">
      <c r="A4" s="1" t="s">
        <v>41</v>
      </c>
      <c r="B4">
        <v>42.07</v>
      </c>
      <c r="D4">
        <v>44.37</v>
      </c>
    </row>
    <row r="5" spans="1:4">
      <c r="A5" t="s">
        <v>13</v>
      </c>
      <c r="B5">
        <v>0.08</v>
      </c>
      <c r="D5">
        <v>0.07</v>
      </c>
    </row>
    <row r="6" spans="1:21">
      <c r="A6" t="s">
        <v>14</v>
      </c>
      <c r="B6">
        <v>0.87</v>
      </c>
      <c r="D6">
        <v>0.65</v>
      </c>
      <c r="J6" s="39"/>
      <c r="S6" s="39"/>
      <c r="U6" s="39" t="s">
        <v>42</v>
      </c>
    </row>
    <row r="7" spans="1:21">
      <c r="A7" s="1" t="s">
        <v>43</v>
      </c>
      <c r="B7" s="2">
        <v>0</v>
      </c>
      <c r="D7" s="2">
        <v>0</v>
      </c>
      <c r="J7" s="39"/>
      <c r="S7" s="39"/>
      <c r="U7" s="39" t="s">
        <v>44</v>
      </c>
    </row>
    <row r="8" spans="1:4">
      <c r="A8" s="1" t="s">
        <v>45</v>
      </c>
      <c r="B8" s="2">
        <v>0.186</v>
      </c>
      <c r="D8" s="2">
        <v>0.1105</v>
      </c>
    </row>
    <row r="9" spans="2:4">
      <c r="B9" s="2"/>
      <c r="D9" s="2"/>
    </row>
    <row r="10" spans="2:4">
      <c r="B10" s="2"/>
      <c r="D10" s="2"/>
    </row>
    <row r="11" ht="14.25" customHeight="1" spans="1:32">
      <c r="A11" s="33" t="s">
        <v>47</v>
      </c>
      <c r="B11" s="33"/>
      <c r="C11" s="33"/>
      <c r="D11" s="33"/>
      <c r="E11" s="33"/>
      <c r="F11" s="33"/>
      <c r="G11" s="33"/>
      <c r="H11" s="33"/>
      <c r="L11" s="40" t="s">
        <v>49</v>
      </c>
      <c r="M11" s="40"/>
      <c r="N11" s="40"/>
      <c r="O11" s="40"/>
      <c r="P11" s="40"/>
      <c r="Q11" s="40"/>
      <c r="R11" s="40"/>
      <c r="S11" s="40"/>
      <c r="T11" s="40"/>
      <c r="U11" s="40"/>
      <c r="Y11" s="40" t="s">
        <v>50</v>
      </c>
      <c r="Z11" s="40"/>
      <c r="AA11" s="40"/>
      <c r="AB11" s="40"/>
      <c r="AC11" s="40"/>
      <c r="AD11" s="40"/>
      <c r="AE11" s="40"/>
      <c r="AF11" s="40"/>
    </row>
    <row r="12" spans="1:32">
      <c r="A12" s="34"/>
      <c r="B12" s="34"/>
      <c r="C12" s="34"/>
      <c r="D12" s="34"/>
      <c r="E12" s="34"/>
      <c r="F12" s="34"/>
      <c r="G12" s="34"/>
      <c r="H12" s="34"/>
      <c r="L12" s="34"/>
      <c r="M12" s="34"/>
      <c r="N12" s="34"/>
      <c r="O12" s="34"/>
      <c r="P12" s="34"/>
      <c r="Q12" s="34"/>
      <c r="R12" s="34"/>
      <c r="S12" s="34"/>
      <c r="T12" s="34"/>
      <c r="U12" s="34"/>
      <c r="Y12" s="34"/>
      <c r="Z12" s="34"/>
      <c r="AA12" s="34"/>
      <c r="AB12" s="34"/>
      <c r="AC12" s="34"/>
      <c r="AD12" s="34"/>
      <c r="AE12" s="34"/>
      <c r="AF12" s="34"/>
    </row>
    <row r="13" ht="14.25" customHeight="1" spans="1:32">
      <c r="A13" s="4" t="s">
        <v>17</v>
      </c>
      <c r="B13" s="4" t="s">
        <v>18</v>
      </c>
      <c r="C13" s="4" t="s">
        <v>51</v>
      </c>
      <c r="D13" s="4"/>
      <c r="E13" s="4" t="s">
        <v>20</v>
      </c>
      <c r="F13" s="4"/>
      <c r="G13" s="4" t="s">
        <v>21</v>
      </c>
      <c r="H13" s="4"/>
      <c r="L13" s="4" t="s">
        <v>17</v>
      </c>
      <c r="M13" s="4" t="s">
        <v>18</v>
      </c>
      <c r="N13" s="41" t="s">
        <v>20</v>
      </c>
      <c r="O13" s="41"/>
      <c r="P13" s="41"/>
      <c r="Q13" s="48" t="s">
        <v>21</v>
      </c>
      <c r="R13" s="49"/>
      <c r="S13" s="50"/>
      <c r="T13" s="41" t="s">
        <v>125</v>
      </c>
      <c r="U13" s="41"/>
      <c r="Y13" s="6" t="s">
        <v>17</v>
      </c>
      <c r="Z13" s="6" t="s">
        <v>18</v>
      </c>
      <c r="AA13" s="4" t="s">
        <v>54</v>
      </c>
      <c r="AB13" s="4"/>
      <c r="AC13" s="4"/>
      <c r="AD13" s="4" t="s">
        <v>52</v>
      </c>
      <c r="AE13" s="4" t="s">
        <v>24</v>
      </c>
      <c r="AF13" s="6" t="s">
        <v>55</v>
      </c>
    </row>
    <row r="14" ht="30.75" spans="1:32">
      <c r="A14" s="4"/>
      <c r="B14" s="4"/>
      <c r="C14" s="4" t="s">
        <v>56</v>
      </c>
      <c r="D14" s="4" t="s">
        <v>57</v>
      </c>
      <c r="E14" s="4" t="s">
        <v>56</v>
      </c>
      <c r="F14" s="4" t="s">
        <v>58</v>
      </c>
      <c r="G14" s="4" t="s">
        <v>56</v>
      </c>
      <c r="H14" s="4" t="s">
        <v>58</v>
      </c>
      <c r="L14" s="4"/>
      <c r="M14" s="4"/>
      <c r="N14" s="41" t="s">
        <v>59</v>
      </c>
      <c r="O14" s="41" t="s">
        <v>60</v>
      </c>
      <c r="P14" s="41" t="s">
        <v>61</v>
      </c>
      <c r="Q14" s="41" t="s">
        <v>59</v>
      </c>
      <c r="R14" s="41" t="s">
        <v>60</v>
      </c>
      <c r="S14" s="41" t="s">
        <v>62</v>
      </c>
      <c r="T14" s="4" t="s">
        <v>126</v>
      </c>
      <c r="U14" s="4" t="s">
        <v>61</v>
      </c>
      <c r="Y14" s="58"/>
      <c r="Z14" s="58"/>
      <c r="AA14" s="4" t="s">
        <v>63</v>
      </c>
      <c r="AB14" s="4" t="s">
        <v>64</v>
      </c>
      <c r="AC14" s="4" t="s">
        <v>62</v>
      </c>
      <c r="AD14" s="4"/>
      <c r="AE14" s="4"/>
      <c r="AF14" s="58"/>
    </row>
    <row r="15" spans="1:32">
      <c r="A15" t="s">
        <v>30</v>
      </c>
      <c r="B15" s="35" t="s">
        <v>75</v>
      </c>
      <c r="C15">
        <v>650.9</v>
      </c>
      <c r="D15">
        <v>23.3</v>
      </c>
      <c r="E15">
        <v>653.5</v>
      </c>
      <c r="F15">
        <v>23</v>
      </c>
      <c r="G15">
        <v>651.5</v>
      </c>
      <c r="H15">
        <v>23</v>
      </c>
      <c r="L15" s="35"/>
      <c r="M15" s="35"/>
      <c r="N15" s="42">
        <f>E15-C15</f>
        <v>2.60000000000002</v>
      </c>
      <c r="O15" s="42">
        <f>F15-D15</f>
        <v>-0.300000000000001</v>
      </c>
      <c r="P15" s="43">
        <f t="shared" ref="P15:P42" si="0">3.7*1.020019*(N15)+1.8*(O15)</f>
        <v>9.27258278000009</v>
      </c>
      <c r="Q15" s="42">
        <f>G15-C15</f>
        <v>0.600000000000023</v>
      </c>
      <c r="R15" s="42">
        <f>H15-D15</f>
        <v>-0.300000000000001</v>
      </c>
      <c r="S15" s="43">
        <f>IF(3.7*1.020019*(Q15)+1.8*(R15)&gt;=0,3.7*1.020019*(Q15)+1.8*(R15),0)</f>
        <v>1.72444218000008</v>
      </c>
      <c r="T15" s="11">
        <v>0.3</v>
      </c>
      <c r="U15" s="35">
        <f>T15*100/3.45</f>
        <v>8.69565217391304</v>
      </c>
      <c r="Y15" s="35"/>
      <c r="Z15" s="35"/>
      <c r="AA15" s="43">
        <v>9.27258278000009</v>
      </c>
      <c r="AB15" s="59">
        <v>7.5481406</v>
      </c>
      <c r="AC15" s="59">
        <v>1.72444218000008</v>
      </c>
      <c r="AD15" s="59">
        <v>8.69565217391304</v>
      </c>
      <c r="AE15" s="60">
        <v>0.868036169</v>
      </c>
      <c r="AF15" s="61">
        <v>0.185972152626074</v>
      </c>
    </row>
    <row r="16" spans="1:32">
      <c r="A16" t="s">
        <v>30</v>
      </c>
      <c r="B16" s="35" t="s">
        <v>83</v>
      </c>
      <c r="C16">
        <v>651.9</v>
      </c>
      <c r="D16">
        <v>23.4</v>
      </c>
      <c r="E16">
        <v>653.7</v>
      </c>
      <c r="F16">
        <v>23.2</v>
      </c>
      <c r="G16">
        <v>652.3</v>
      </c>
      <c r="H16">
        <v>23.1</v>
      </c>
      <c r="L16" s="35"/>
      <c r="M16" s="35"/>
      <c r="N16" s="42">
        <f t="shared" ref="N16:O31" si="1">E16-C16</f>
        <v>1.80000000000007</v>
      </c>
      <c r="O16" s="42">
        <f t="shared" si="1"/>
        <v>-0.199999999999999</v>
      </c>
      <c r="P16" s="43">
        <f t="shared" si="0"/>
        <v>6.43332654000026</v>
      </c>
      <c r="Q16" s="42">
        <f t="shared" ref="Q16:R31" si="2">G16-C16</f>
        <v>0.399999999999977</v>
      </c>
      <c r="R16" s="42">
        <f t="shared" si="2"/>
        <v>-0.299999999999997</v>
      </c>
      <c r="S16" s="43">
        <f t="shared" ref="S16:S42" si="3">IF(3.7*1.020019*(Q16)+1.8*(R16)&gt;=0,3.7*1.020019*(Q16)+1.8*(R16),0)</f>
        <v>0.969628119999919</v>
      </c>
      <c r="T16" s="51">
        <v>0.4</v>
      </c>
      <c r="U16" s="35">
        <f t="shared" ref="U16:U42" si="4">T16*100/3.45</f>
        <v>11.5942028985507</v>
      </c>
      <c r="Y16" s="35"/>
      <c r="Z16" s="35"/>
      <c r="AA16" s="43">
        <v>6.43332654000026</v>
      </c>
      <c r="AB16" s="59">
        <v>5.46369842000034</v>
      </c>
      <c r="AC16" s="59">
        <v>0.969628119999919</v>
      </c>
      <c r="AD16" s="59">
        <v>11.5942028985507</v>
      </c>
      <c r="AE16" s="60">
        <v>0.47124398872503</v>
      </c>
      <c r="AF16" s="61">
        <v>0.150719556044777</v>
      </c>
    </row>
    <row r="17" spans="1:32">
      <c r="A17" t="s">
        <v>30</v>
      </c>
      <c r="B17" s="36" t="s">
        <v>84</v>
      </c>
      <c r="C17">
        <v>629.4</v>
      </c>
      <c r="D17">
        <v>23.3</v>
      </c>
      <c r="E17">
        <v>632.3</v>
      </c>
      <c r="F17">
        <v>23.1</v>
      </c>
      <c r="G17">
        <v>630</v>
      </c>
      <c r="H17">
        <v>23</v>
      </c>
      <c r="L17" s="36"/>
      <c r="M17" s="36"/>
      <c r="N17" s="42">
        <f t="shared" si="1"/>
        <v>2.89999999999998</v>
      </c>
      <c r="O17" s="42">
        <f t="shared" si="1"/>
        <v>-0.199999999999999</v>
      </c>
      <c r="P17" s="43">
        <f t="shared" si="0"/>
        <v>10.5848038699999</v>
      </c>
      <c r="Q17" s="42">
        <f t="shared" si="2"/>
        <v>0.600000000000023</v>
      </c>
      <c r="R17" s="42">
        <f t="shared" si="2"/>
        <v>-0.300000000000001</v>
      </c>
      <c r="S17" s="43">
        <f t="shared" si="3"/>
        <v>1.72444218000008</v>
      </c>
      <c r="T17" s="52">
        <v>0.6</v>
      </c>
      <c r="U17" s="36">
        <f t="shared" si="4"/>
        <v>17.3913043478261</v>
      </c>
      <c r="Y17" s="36"/>
      <c r="Z17" s="36"/>
      <c r="AA17" s="43">
        <v>10.5848038699999</v>
      </c>
      <c r="AB17" s="59">
        <v>8.86036168999983</v>
      </c>
      <c r="AC17" s="59">
        <v>1.72444218000008</v>
      </c>
      <c r="AD17" s="59">
        <v>17.3913043478261</v>
      </c>
      <c r="AE17" s="60">
        <v>0.50947079717499</v>
      </c>
      <c r="AF17" s="61">
        <v>0.162916781565278</v>
      </c>
    </row>
    <row r="18" spans="1:32">
      <c r="A18" t="s">
        <v>30</v>
      </c>
      <c r="B18" s="35" t="s">
        <v>100</v>
      </c>
      <c r="C18">
        <v>470</v>
      </c>
      <c r="D18">
        <v>23.3</v>
      </c>
      <c r="E18">
        <v>470.8</v>
      </c>
      <c r="F18">
        <v>23.1</v>
      </c>
      <c r="G18">
        <v>468.1</v>
      </c>
      <c r="H18">
        <v>23</v>
      </c>
      <c r="L18" s="35"/>
      <c r="M18" s="35"/>
      <c r="N18" s="42">
        <f t="shared" si="1"/>
        <v>0.800000000000011</v>
      </c>
      <c r="O18" s="42">
        <f t="shared" si="1"/>
        <v>-0.199999999999999</v>
      </c>
      <c r="P18" s="43">
        <f t="shared" si="0"/>
        <v>2.65925624000004</v>
      </c>
      <c r="Q18" s="42">
        <f t="shared" si="2"/>
        <v>-1.89999999999998</v>
      </c>
      <c r="R18" s="42">
        <f t="shared" si="2"/>
        <v>-0.300000000000001</v>
      </c>
      <c r="S18" s="43">
        <f t="shared" si="3"/>
        <v>0</v>
      </c>
      <c r="T18" s="53">
        <v>0.8</v>
      </c>
      <c r="U18" s="35">
        <f t="shared" si="4"/>
        <v>23.1884057971014</v>
      </c>
      <c r="Y18" s="35"/>
      <c r="Z18" s="35"/>
      <c r="AA18" s="43">
        <v>2.65925624000004</v>
      </c>
      <c r="AB18" s="59">
        <v>2.65925624000004</v>
      </c>
      <c r="AC18" s="59">
        <v>0</v>
      </c>
      <c r="AD18" s="59">
        <v>23.1884057971014</v>
      </c>
      <c r="AE18" s="60">
        <v>0.114680425350002</v>
      </c>
      <c r="AF18" s="61">
        <v>0</v>
      </c>
    </row>
    <row r="19" spans="1:32">
      <c r="A19" t="s">
        <v>30</v>
      </c>
      <c r="B19" s="35" t="s">
        <v>102</v>
      </c>
      <c r="C19">
        <v>671.1</v>
      </c>
      <c r="D19">
        <v>23.3</v>
      </c>
      <c r="E19">
        <v>675.2</v>
      </c>
      <c r="F19">
        <v>23.1</v>
      </c>
      <c r="G19">
        <v>669.9</v>
      </c>
      <c r="H19">
        <v>22.9</v>
      </c>
      <c r="L19" s="35"/>
      <c r="M19" s="35"/>
      <c r="N19" s="42">
        <f t="shared" si="1"/>
        <v>4.10000000000002</v>
      </c>
      <c r="O19" s="42">
        <f t="shared" si="1"/>
        <v>-0.199999999999999</v>
      </c>
      <c r="P19" s="43">
        <f t="shared" si="0"/>
        <v>15.1136882300001</v>
      </c>
      <c r="Q19" s="42">
        <f t="shared" si="2"/>
        <v>-1.20000000000005</v>
      </c>
      <c r="R19" s="42">
        <f t="shared" si="2"/>
        <v>-0.400000000000002</v>
      </c>
      <c r="S19" s="43">
        <f t="shared" si="3"/>
        <v>0</v>
      </c>
      <c r="T19" s="53">
        <v>1</v>
      </c>
      <c r="U19" s="35">
        <f t="shared" si="4"/>
        <v>28.9855072463768</v>
      </c>
      <c r="Y19" s="35"/>
      <c r="Z19" s="35"/>
      <c r="AA19" s="43">
        <v>15.1136882300001</v>
      </c>
      <c r="AB19" s="59">
        <v>15.1136882300001</v>
      </c>
      <c r="AC19" s="59">
        <v>0</v>
      </c>
      <c r="AD19" s="59">
        <v>28.9855072463768</v>
      </c>
      <c r="AE19" s="60">
        <v>0.521422243935003</v>
      </c>
      <c r="AF19" s="61">
        <v>0</v>
      </c>
    </row>
    <row r="20" spans="1:32">
      <c r="A20" t="s">
        <v>30</v>
      </c>
      <c r="B20" s="36" t="s">
        <v>104</v>
      </c>
      <c r="C20">
        <v>692.9</v>
      </c>
      <c r="D20">
        <v>23.3</v>
      </c>
      <c r="E20">
        <v>697.4</v>
      </c>
      <c r="F20">
        <v>23.1</v>
      </c>
      <c r="G20">
        <v>693.3</v>
      </c>
      <c r="H20">
        <v>23</v>
      </c>
      <c r="L20" s="36"/>
      <c r="M20" s="36"/>
      <c r="N20" s="42">
        <f t="shared" si="1"/>
        <v>4.5</v>
      </c>
      <c r="O20" s="42">
        <f t="shared" si="1"/>
        <v>-0.199999999999999</v>
      </c>
      <c r="P20" s="43">
        <f t="shared" si="0"/>
        <v>16.62331635</v>
      </c>
      <c r="Q20" s="42">
        <f t="shared" si="2"/>
        <v>0.399999999999977</v>
      </c>
      <c r="R20" s="42">
        <f t="shared" si="2"/>
        <v>-0.300000000000001</v>
      </c>
      <c r="S20" s="43">
        <f t="shared" si="3"/>
        <v>0.969628119999913</v>
      </c>
      <c r="T20" s="53">
        <v>1.4</v>
      </c>
      <c r="U20" s="35">
        <f t="shared" si="4"/>
        <v>40.5797101449275</v>
      </c>
      <c r="Y20" s="36"/>
      <c r="Z20" s="36"/>
      <c r="AA20" s="43">
        <v>16.62331635</v>
      </c>
      <c r="AB20" s="59">
        <v>15.6536882300001</v>
      </c>
      <c r="AC20" s="59">
        <v>0.969628119999913</v>
      </c>
      <c r="AD20" s="59">
        <v>40.5797101449275</v>
      </c>
      <c r="AE20" s="60">
        <v>0.385751602810717</v>
      </c>
      <c r="AF20" s="61">
        <v>0.0583294030856793</v>
      </c>
    </row>
    <row r="21" spans="1:32">
      <c r="A21" t="s">
        <v>30</v>
      </c>
      <c r="B21" s="35" t="s">
        <v>106</v>
      </c>
      <c r="C21">
        <v>355</v>
      </c>
      <c r="D21">
        <v>23.3</v>
      </c>
      <c r="E21">
        <v>356.2</v>
      </c>
      <c r="F21">
        <v>23.1</v>
      </c>
      <c r="G21">
        <v>354.8</v>
      </c>
      <c r="H21">
        <v>23</v>
      </c>
      <c r="L21" s="35"/>
      <c r="M21" s="35"/>
      <c r="N21" s="42">
        <f t="shared" si="1"/>
        <v>1.19999999999999</v>
      </c>
      <c r="O21" s="42">
        <f t="shared" si="1"/>
        <v>-0.199999999999999</v>
      </c>
      <c r="P21" s="43">
        <f t="shared" si="0"/>
        <v>4.16888435999996</v>
      </c>
      <c r="Q21" s="42">
        <f t="shared" si="2"/>
        <v>-0.199999999999989</v>
      </c>
      <c r="R21" s="42">
        <f t="shared" si="2"/>
        <v>-0.300000000000001</v>
      </c>
      <c r="S21" s="43">
        <f t="shared" si="3"/>
        <v>0</v>
      </c>
      <c r="T21" s="54">
        <v>1.9</v>
      </c>
      <c r="U21" s="37">
        <f t="shared" si="4"/>
        <v>55.0724637681159</v>
      </c>
      <c r="Y21" s="35"/>
      <c r="Z21" s="35"/>
      <c r="AA21" s="43">
        <v>4.16888435999996</v>
      </c>
      <c r="AB21" s="59">
        <v>4.16888435999996</v>
      </c>
      <c r="AC21" s="59">
        <v>0</v>
      </c>
      <c r="AD21" s="59">
        <v>55.0724637681159</v>
      </c>
      <c r="AE21" s="60">
        <v>0.0756981633789467</v>
      </c>
      <c r="AF21" s="61">
        <v>0</v>
      </c>
    </row>
    <row r="22" spans="1:32">
      <c r="A22" t="s">
        <v>30</v>
      </c>
      <c r="B22" s="35" t="s">
        <v>108</v>
      </c>
      <c r="C22">
        <v>732.4</v>
      </c>
      <c r="D22">
        <v>23.2</v>
      </c>
      <c r="E22">
        <v>738.8</v>
      </c>
      <c r="F22">
        <v>23.1</v>
      </c>
      <c r="G22">
        <v>732.5</v>
      </c>
      <c r="H22">
        <v>23</v>
      </c>
      <c r="L22" s="35"/>
      <c r="M22" s="35"/>
      <c r="N22" s="42">
        <f t="shared" si="1"/>
        <v>6.39999999999998</v>
      </c>
      <c r="O22" s="42">
        <f t="shared" si="1"/>
        <v>-0.0999999999999979</v>
      </c>
      <c r="P22" s="43">
        <f t="shared" si="0"/>
        <v>23.9740499199999</v>
      </c>
      <c r="Q22" s="42">
        <f t="shared" si="2"/>
        <v>0.100000000000023</v>
      </c>
      <c r="R22" s="42">
        <f t="shared" si="2"/>
        <v>-0.199999999999999</v>
      </c>
      <c r="S22" s="43">
        <f t="shared" si="3"/>
        <v>0.0174070300000871</v>
      </c>
      <c r="T22" s="53">
        <v>2.9</v>
      </c>
      <c r="U22" s="35">
        <f t="shared" si="4"/>
        <v>84.0579710144928</v>
      </c>
      <c r="Y22" s="35"/>
      <c r="Z22" s="35"/>
      <c r="AA22" s="43">
        <v>23.9740499199999</v>
      </c>
      <c r="AB22" s="59">
        <v>23.9566428899998</v>
      </c>
      <c r="AC22" s="59">
        <v>0.0174070300000871</v>
      </c>
      <c r="AD22" s="59">
        <v>84.0579710144928</v>
      </c>
      <c r="AE22" s="60">
        <v>0.285001441277584</v>
      </c>
      <c r="AF22" s="61">
        <v>0.00072607799091824</v>
      </c>
    </row>
    <row r="23" spans="1:32">
      <c r="A23" t="s">
        <v>30</v>
      </c>
      <c r="B23" s="35" t="s">
        <v>110</v>
      </c>
      <c r="C23">
        <v>669</v>
      </c>
      <c r="D23">
        <v>23.2</v>
      </c>
      <c r="E23">
        <v>676.8</v>
      </c>
      <c r="F23">
        <v>23.1</v>
      </c>
      <c r="G23">
        <v>669.2</v>
      </c>
      <c r="H23">
        <v>23</v>
      </c>
      <c r="L23" s="35"/>
      <c r="M23" s="35"/>
      <c r="N23" s="42">
        <f t="shared" si="1"/>
        <v>7.79999999999995</v>
      </c>
      <c r="O23" s="42">
        <f t="shared" si="1"/>
        <v>-0.0999999999999979</v>
      </c>
      <c r="P23" s="43">
        <f t="shared" si="0"/>
        <v>29.2577483399998</v>
      </c>
      <c r="Q23" s="42">
        <f t="shared" si="2"/>
        <v>0.200000000000045</v>
      </c>
      <c r="R23" s="42">
        <f t="shared" si="2"/>
        <v>-0.199999999999999</v>
      </c>
      <c r="S23" s="43">
        <f t="shared" si="3"/>
        <v>0.394814060000173</v>
      </c>
      <c r="T23" s="53">
        <v>3.2</v>
      </c>
      <c r="U23" s="35">
        <f t="shared" si="4"/>
        <v>92.7536231884058</v>
      </c>
      <c r="Y23" s="35"/>
      <c r="Z23" s="35"/>
      <c r="AA23" s="43">
        <v>29.2577483399998</v>
      </c>
      <c r="AB23" s="59">
        <v>28.8629342799997</v>
      </c>
      <c r="AC23" s="59">
        <v>0.394814060000173</v>
      </c>
      <c r="AD23" s="59">
        <v>92.7536231884058</v>
      </c>
      <c r="AE23" s="60">
        <v>0.311178510206246</v>
      </c>
      <c r="AF23" s="61">
        <v>0.013494341923107</v>
      </c>
    </row>
    <row r="24" spans="1:32">
      <c r="A24" t="s">
        <v>30</v>
      </c>
      <c r="B24" s="37" t="s">
        <v>127</v>
      </c>
      <c r="C24">
        <v>799.1</v>
      </c>
      <c r="D24">
        <v>23.3</v>
      </c>
      <c r="E24">
        <v>801.8</v>
      </c>
      <c r="F24">
        <v>23.1</v>
      </c>
      <c r="G24">
        <v>798.9</v>
      </c>
      <c r="H24">
        <v>23.1</v>
      </c>
      <c r="L24" s="37"/>
      <c r="M24" s="37"/>
      <c r="N24" s="42">
        <f t="shared" si="1"/>
        <v>2.69999999999993</v>
      </c>
      <c r="O24" s="42">
        <f t="shared" si="1"/>
        <v>-0.199999999999999</v>
      </c>
      <c r="P24" s="43">
        <f t="shared" si="0"/>
        <v>9.82998980999974</v>
      </c>
      <c r="Q24" s="42">
        <f t="shared" si="2"/>
        <v>-0.200000000000045</v>
      </c>
      <c r="R24" s="42">
        <f t="shared" si="2"/>
        <v>-0.199999999999999</v>
      </c>
      <c r="S24" s="43">
        <f t="shared" si="3"/>
        <v>0</v>
      </c>
      <c r="T24" s="54">
        <v>3.6</v>
      </c>
      <c r="U24" s="37">
        <f t="shared" si="4"/>
        <v>104.347826086957</v>
      </c>
      <c r="Y24" s="37"/>
      <c r="Z24" s="37"/>
      <c r="AA24" s="43">
        <v>9.82998980999974</v>
      </c>
      <c r="AB24" s="59">
        <v>9.82998980999974</v>
      </c>
      <c r="AC24" s="59">
        <v>0</v>
      </c>
      <c r="AD24" s="59">
        <v>104.347826086957</v>
      </c>
      <c r="AE24" s="60">
        <v>0.0942040690124971</v>
      </c>
      <c r="AF24" s="61">
        <v>0</v>
      </c>
    </row>
    <row r="25" spans="1:32">
      <c r="A25" t="s">
        <v>30</v>
      </c>
      <c r="B25" s="35" t="s">
        <v>128</v>
      </c>
      <c r="C25">
        <v>675.9</v>
      </c>
      <c r="D25">
        <v>23.2</v>
      </c>
      <c r="E25">
        <v>686.5</v>
      </c>
      <c r="F25">
        <v>23.1</v>
      </c>
      <c r="G25">
        <v>675.8</v>
      </c>
      <c r="H25">
        <v>23</v>
      </c>
      <c r="L25" s="35"/>
      <c r="M25" s="35"/>
      <c r="N25" s="42">
        <f t="shared" si="1"/>
        <v>10.6</v>
      </c>
      <c r="O25" s="42">
        <f t="shared" si="1"/>
        <v>-0.0999999999999979</v>
      </c>
      <c r="P25" s="43">
        <f t="shared" si="0"/>
        <v>39.8251451800001</v>
      </c>
      <c r="Q25" s="42">
        <f t="shared" si="2"/>
        <v>-0.100000000000023</v>
      </c>
      <c r="R25" s="42">
        <f t="shared" si="2"/>
        <v>-0.199999999999999</v>
      </c>
      <c r="S25" s="43">
        <f t="shared" si="3"/>
        <v>0</v>
      </c>
      <c r="T25" s="53">
        <v>3.5</v>
      </c>
      <c r="U25" s="35">
        <f t="shared" si="4"/>
        <v>101.449275362319</v>
      </c>
      <c r="Y25" s="35"/>
      <c r="Z25" s="35"/>
      <c r="AA25" s="43">
        <v>39.8251451800001</v>
      </c>
      <c r="AB25" s="59">
        <v>39.8251451800001</v>
      </c>
      <c r="AC25" s="59">
        <v>0</v>
      </c>
      <c r="AD25" s="59">
        <v>101.449275362319</v>
      </c>
      <c r="AE25" s="60">
        <v>0.392562145345715</v>
      </c>
      <c r="AF25" s="61">
        <v>0</v>
      </c>
    </row>
    <row r="26" spans="1:32">
      <c r="A26" t="s">
        <v>30</v>
      </c>
      <c r="B26" s="35" t="s">
        <v>129</v>
      </c>
      <c r="C26">
        <v>580</v>
      </c>
      <c r="D26">
        <v>23.3</v>
      </c>
      <c r="E26">
        <v>591.5</v>
      </c>
      <c r="F26">
        <v>23.2</v>
      </c>
      <c r="G26">
        <v>580.4</v>
      </c>
      <c r="H26">
        <v>23.1</v>
      </c>
      <c r="L26" s="35"/>
      <c r="M26" s="35"/>
      <c r="N26" s="42">
        <f t="shared" si="1"/>
        <v>11.5</v>
      </c>
      <c r="O26" s="42">
        <f t="shared" si="1"/>
        <v>-0.100000000000001</v>
      </c>
      <c r="P26" s="43">
        <f t="shared" si="0"/>
        <v>43.22180845</v>
      </c>
      <c r="Q26" s="42">
        <f t="shared" si="2"/>
        <v>0.399999999999977</v>
      </c>
      <c r="R26" s="42">
        <f t="shared" si="2"/>
        <v>-0.199999999999999</v>
      </c>
      <c r="S26" s="43">
        <f t="shared" si="3"/>
        <v>1.14962811999992</v>
      </c>
      <c r="T26" s="53">
        <v>3.6</v>
      </c>
      <c r="U26" s="35">
        <f t="shared" si="4"/>
        <v>104.347826086957</v>
      </c>
      <c r="Y26" s="35"/>
      <c r="Z26" s="35"/>
      <c r="AA26" s="43">
        <v>43.22180845</v>
      </c>
      <c r="AB26" s="59">
        <v>42.0721803300001</v>
      </c>
      <c r="AC26" s="59">
        <v>1.14962811999992</v>
      </c>
      <c r="AD26" s="59">
        <v>104.347826086957</v>
      </c>
      <c r="AE26" s="60">
        <v>0.403191728162499</v>
      </c>
      <c r="AF26" s="61">
        <v>0.0265983345266506</v>
      </c>
    </row>
    <row r="27" spans="1:32">
      <c r="A27" t="s">
        <v>30</v>
      </c>
      <c r="B27" s="37" t="s">
        <v>130</v>
      </c>
      <c r="C27">
        <v>710.2</v>
      </c>
      <c r="D27">
        <v>23.2</v>
      </c>
      <c r="E27">
        <v>719.3</v>
      </c>
      <c r="F27">
        <v>23</v>
      </c>
      <c r="G27">
        <v>710.4</v>
      </c>
      <c r="H27">
        <v>22.9</v>
      </c>
      <c r="L27" s="37"/>
      <c r="M27" s="37"/>
      <c r="N27" s="42">
        <f t="shared" si="1"/>
        <v>9.09999999999991</v>
      </c>
      <c r="O27" s="42">
        <f t="shared" si="1"/>
        <v>-0.199999999999999</v>
      </c>
      <c r="P27" s="43">
        <f t="shared" si="0"/>
        <v>33.9840397299997</v>
      </c>
      <c r="Q27" s="42">
        <f t="shared" si="2"/>
        <v>0.199999999999932</v>
      </c>
      <c r="R27" s="42">
        <f t="shared" si="2"/>
        <v>-0.300000000000001</v>
      </c>
      <c r="S27" s="43">
        <f t="shared" si="3"/>
        <v>0.214814059999741</v>
      </c>
      <c r="T27" s="54">
        <v>3.1</v>
      </c>
      <c r="U27" s="37">
        <f t="shared" si="4"/>
        <v>89.8550724637681</v>
      </c>
      <c r="Y27" s="37"/>
      <c r="Z27" s="37"/>
      <c r="AA27" s="43">
        <v>33.9840397299997</v>
      </c>
      <c r="AB27" s="59">
        <v>33.7692256699999</v>
      </c>
      <c r="AC27" s="59">
        <v>0.214814059999741</v>
      </c>
      <c r="AD27" s="59">
        <v>89.8550724637681</v>
      </c>
      <c r="AE27" s="60">
        <v>0.37581880181129</v>
      </c>
      <c r="AF27" s="61">
        <v>0.00632102780324002</v>
      </c>
    </row>
    <row r="28" ht="14.25" spans="1:32">
      <c r="A28" t="s">
        <v>30</v>
      </c>
      <c r="B28" s="36" t="s">
        <v>131</v>
      </c>
      <c r="C28">
        <v>594.7</v>
      </c>
      <c r="D28">
        <v>23.3</v>
      </c>
      <c r="E28">
        <v>605.5</v>
      </c>
      <c r="F28">
        <v>23.2</v>
      </c>
      <c r="G28">
        <v>594.3</v>
      </c>
      <c r="H28">
        <v>23.1</v>
      </c>
      <c r="L28" s="36"/>
      <c r="M28" s="36"/>
      <c r="N28" s="44">
        <f t="shared" si="1"/>
        <v>10.8</v>
      </c>
      <c r="O28" s="44">
        <f t="shared" si="1"/>
        <v>-0.100000000000001</v>
      </c>
      <c r="P28" s="45">
        <f t="shared" si="0"/>
        <v>40.5799592399998</v>
      </c>
      <c r="Q28" s="44">
        <f t="shared" si="2"/>
        <v>-0.400000000000091</v>
      </c>
      <c r="R28" s="44">
        <f t="shared" si="2"/>
        <v>-0.199999999999999</v>
      </c>
      <c r="S28" s="43">
        <f t="shared" si="3"/>
        <v>0</v>
      </c>
      <c r="T28" s="55">
        <v>2.9</v>
      </c>
      <c r="U28" s="36">
        <f t="shared" si="4"/>
        <v>84.0579710144928</v>
      </c>
      <c r="Y28" s="36"/>
      <c r="Z28" s="36"/>
      <c r="AA28" s="62">
        <v>40.5799592399998</v>
      </c>
      <c r="AB28" s="63">
        <v>40.5799592399998</v>
      </c>
      <c r="AC28" s="63">
        <v>0</v>
      </c>
      <c r="AD28" s="63">
        <v>84.0579710144928</v>
      </c>
      <c r="AE28" s="64">
        <v>0.482761584062067</v>
      </c>
      <c r="AF28" s="65">
        <v>0</v>
      </c>
    </row>
    <row r="29" spans="1:32">
      <c r="A29" t="s">
        <v>35</v>
      </c>
      <c r="B29" s="38" t="s">
        <v>75</v>
      </c>
      <c r="C29">
        <v>650.9</v>
      </c>
      <c r="D29">
        <v>23.3</v>
      </c>
      <c r="E29">
        <v>663</v>
      </c>
      <c r="F29">
        <v>22.8</v>
      </c>
      <c r="G29">
        <v>651.9</v>
      </c>
      <c r="H29">
        <v>22.9</v>
      </c>
      <c r="L29" s="38"/>
      <c r="M29" s="38"/>
      <c r="N29" s="46">
        <f t="shared" si="1"/>
        <v>12.1</v>
      </c>
      <c r="O29" s="46">
        <f t="shared" si="1"/>
        <v>-0.5</v>
      </c>
      <c r="P29" s="47">
        <f t="shared" si="0"/>
        <v>44.7662506300001</v>
      </c>
      <c r="Q29" s="46">
        <f t="shared" si="2"/>
        <v>1</v>
      </c>
      <c r="R29" s="46">
        <f t="shared" si="2"/>
        <v>-0.400000000000002</v>
      </c>
      <c r="S29" s="56">
        <f t="shared" si="3"/>
        <v>3.0540703</v>
      </c>
      <c r="T29" s="57">
        <v>2.9</v>
      </c>
      <c r="U29" s="38">
        <f t="shared" si="4"/>
        <v>84.0579710144928</v>
      </c>
      <c r="Y29" s="38"/>
      <c r="Z29" s="38"/>
      <c r="AA29" s="66">
        <v>44.7662506300001</v>
      </c>
      <c r="AB29" s="67">
        <v>41.7121803300001</v>
      </c>
      <c r="AC29" s="67">
        <v>3.0540703</v>
      </c>
      <c r="AD29" s="67">
        <v>84.0579710144928</v>
      </c>
      <c r="AE29" s="68">
        <v>0.496231110822415</v>
      </c>
      <c r="AF29" s="69">
        <v>0.0682226064729511</v>
      </c>
    </row>
    <row r="30" spans="1:32">
      <c r="A30" t="s">
        <v>35</v>
      </c>
      <c r="B30" s="35" t="s">
        <v>83</v>
      </c>
      <c r="C30">
        <v>651.9</v>
      </c>
      <c r="D30">
        <v>23.4</v>
      </c>
      <c r="E30">
        <v>661.7</v>
      </c>
      <c r="F30">
        <v>23</v>
      </c>
      <c r="G30">
        <v>652.3</v>
      </c>
      <c r="H30">
        <v>23.1</v>
      </c>
      <c r="L30" s="35"/>
      <c r="M30" s="35"/>
      <c r="N30" s="42">
        <f t="shared" si="1"/>
        <v>9.80000000000007</v>
      </c>
      <c r="O30" s="42">
        <f t="shared" si="1"/>
        <v>-0.399999999999999</v>
      </c>
      <c r="P30" s="43">
        <f t="shared" si="0"/>
        <v>36.2658889400003</v>
      </c>
      <c r="Q30" s="42">
        <f t="shared" si="2"/>
        <v>0.399999999999977</v>
      </c>
      <c r="R30" s="42">
        <f t="shared" si="2"/>
        <v>-0.299999999999997</v>
      </c>
      <c r="S30" s="43">
        <f t="shared" si="3"/>
        <v>0.969628119999919</v>
      </c>
      <c r="T30" s="54">
        <v>3</v>
      </c>
      <c r="U30" s="37">
        <f t="shared" si="4"/>
        <v>86.9565217391304</v>
      </c>
      <c r="Y30" s="35"/>
      <c r="Z30" s="35"/>
      <c r="AA30" s="43">
        <v>36.2658889400003</v>
      </c>
      <c r="AB30" s="59">
        <v>35.2962608200003</v>
      </c>
      <c r="AC30" s="59">
        <v>0.969628119999919</v>
      </c>
      <c r="AD30" s="59">
        <v>86.9565217391304</v>
      </c>
      <c r="AE30" s="60">
        <v>0.405906999430004</v>
      </c>
      <c r="AF30" s="61">
        <v>0.0267366428437508</v>
      </c>
    </row>
    <row r="31" spans="1:32">
      <c r="A31" t="s">
        <v>35</v>
      </c>
      <c r="B31" s="36" t="s">
        <v>84</v>
      </c>
      <c r="C31">
        <v>629.4</v>
      </c>
      <c r="D31">
        <v>23.3</v>
      </c>
      <c r="E31">
        <v>642</v>
      </c>
      <c r="F31">
        <v>22.9</v>
      </c>
      <c r="G31">
        <v>630.1</v>
      </c>
      <c r="H31">
        <v>23.2</v>
      </c>
      <c r="L31" s="36"/>
      <c r="M31" s="36"/>
      <c r="N31" s="42">
        <f t="shared" si="1"/>
        <v>12.6</v>
      </c>
      <c r="O31" s="42">
        <f t="shared" si="1"/>
        <v>-0.400000000000002</v>
      </c>
      <c r="P31" s="43">
        <f t="shared" si="0"/>
        <v>46.8332857800001</v>
      </c>
      <c r="Q31" s="42">
        <f t="shared" si="2"/>
        <v>0.700000000000045</v>
      </c>
      <c r="R31" s="42">
        <f t="shared" si="2"/>
        <v>-0.100000000000001</v>
      </c>
      <c r="S31" s="43">
        <f t="shared" si="3"/>
        <v>2.46184921000017</v>
      </c>
      <c r="T31" s="53">
        <v>3.6</v>
      </c>
      <c r="U31" s="35">
        <f t="shared" si="4"/>
        <v>104.347826086957</v>
      </c>
      <c r="Y31" s="36"/>
      <c r="Z31" s="36"/>
      <c r="AA31" s="43">
        <v>46.8332857800001</v>
      </c>
      <c r="AB31" s="59">
        <v>44.3714365699999</v>
      </c>
      <c r="AC31" s="59">
        <v>2.46184921000017</v>
      </c>
      <c r="AD31" s="59">
        <v>104.347826086957</v>
      </c>
      <c r="AE31" s="60">
        <v>0.425226267129164</v>
      </c>
      <c r="AF31" s="61">
        <v>0.0525662286768589</v>
      </c>
    </row>
    <row r="32" spans="1:32">
      <c r="A32" t="s">
        <v>35</v>
      </c>
      <c r="B32" s="35" t="s">
        <v>100</v>
      </c>
      <c r="C32">
        <v>470</v>
      </c>
      <c r="D32">
        <v>23.3</v>
      </c>
      <c r="E32">
        <v>477</v>
      </c>
      <c r="F32">
        <v>22.9</v>
      </c>
      <c r="G32">
        <v>466.1</v>
      </c>
      <c r="H32">
        <v>23</v>
      </c>
      <c r="L32" s="35"/>
      <c r="M32" s="35"/>
      <c r="N32" s="42">
        <f t="shared" ref="N32:O42" si="5">E32-C32</f>
        <v>7</v>
      </c>
      <c r="O32" s="42">
        <f t="shared" si="5"/>
        <v>-0.400000000000002</v>
      </c>
      <c r="P32" s="43">
        <f t="shared" si="0"/>
        <v>25.6984921</v>
      </c>
      <c r="Q32" s="42">
        <f t="shared" ref="Q32:R42" si="6">G32-C32</f>
        <v>-3.89999999999998</v>
      </c>
      <c r="R32" s="42">
        <f t="shared" si="6"/>
        <v>-0.300000000000001</v>
      </c>
      <c r="S32" s="43">
        <f t="shared" si="3"/>
        <v>0</v>
      </c>
      <c r="T32" s="53">
        <v>3.4</v>
      </c>
      <c r="U32" s="35">
        <f t="shared" si="4"/>
        <v>98.5507246376812</v>
      </c>
      <c r="Y32" s="35"/>
      <c r="Z32" s="35"/>
      <c r="AA32" s="43">
        <v>25.6984921</v>
      </c>
      <c r="AB32" s="59">
        <v>25.6984921</v>
      </c>
      <c r="AC32" s="59">
        <v>0</v>
      </c>
      <c r="AD32" s="59">
        <v>98.5507246376812</v>
      </c>
      <c r="AE32" s="60">
        <v>0.260764111014706</v>
      </c>
      <c r="AF32" s="61">
        <v>0</v>
      </c>
    </row>
    <row r="33" spans="1:32">
      <c r="A33" t="s">
        <v>35</v>
      </c>
      <c r="B33" s="35" t="s">
        <v>102</v>
      </c>
      <c r="C33">
        <v>671.1</v>
      </c>
      <c r="D33">
        <v>23.3</v>
      </c>
      <c r="E33">
        <v>681.8</v>
      </c>
      <c r="F33">
        <v>22.9</v>
      </c>
      <c r="G33">
        <v>668.9</v>
      </c>
      <c r="H33">
        <v>23</v>
      </c>
      <c r="L33" s="35"/>
      <c r="M33" s="35"/>
      <c r="N33" s="42">
        <f t="shared" si="5"/>
        <v>10.6999999999999</v>
      </c>
      <c r="O33" s="42">
        <f t="shared" si="5"/>
        <v>-0.400000000000002</v>
      </c>
      <c r="P33" s="43">
        <f t="shared" si="0"/>
        <v>39.6625522099997</v>
      </c>
      <c r="Q33" s="42">
        <f t="shared" si="6"/>
        <v>-2.20000000000005</v>
      </c>
      <c r="R33" s="42">
        <f t="shared" si="6"/>
        <v>-0.300000000000001</v>
      </c>
      <c r="S33" s="43">
        <f t="shared" si="3"/>
        <v>0</v>
      </c>
      <c r="T33" s="54">
        <v>3.6</v>
      </c>
      <c r="U33" s="37">
        <f t="shared" si="4"/>
        <v>104.347826086957</v>
      </c>
      <c r="Y33" s="35"/>
      <c r="Z33" s="35"/>
      <c r="AA33" s="43">
        <v>39.6625522099997</v>
      </c>
      <c r="AB33" s="59">
        <v>39.6625522099997</v>
      </c>
      <c r="AC33" s="59">
        <v>0</v>
      </c>
      <c r="AD33" s="59">
        <v>104.347826086957</v>
      </c>
      <c r="AE33" s="60">
        <v>0.380099458679162</v>
      </c>
      <c r="AF33" s="61">
        <v>0</v>
      </c>
    </row>
    <row r="34" spans="1:32">
      <c r="A34" t="s">
        <v>35</v>
      </c>
      <c r="B34" s="36" t="s">
        <v>104</v>
      </c>
      <c r="C34">
        <v>692.9</v>
      </c>
      <c r="D34">
        <v>23.3</v>
      </c>
      <c r="E34">
        <v>702.5</v>
      </c>
      <c r="F34">
        <v>22.9</v>
      </c>
      <c r="G34">
        <v>693.4</v>
      </c>
      <c r="H34">
        <v>23</v>
      </c>
      <c r="L34" s="36"/>
      <c r="M34" s="36"/>
      <c r="N34" s="42">
        <f t="shared" si="5"/>
        <v>9.60000000000002</v>
      </c>
      <c r="O34" s="42">
        <f t="shared" si="5"/>
        <v>-0.400000000000002</v>
      </c>
      <c r="P34" s="43">
        <f t="shared" si="0"/>
        <v>35.5110748800001</v>
      </c>
      <c r="Q34" s="42">
        <f t="shared" si="6"/>
        <v>0.5</v>
      </c>
      <c r="R34" s="42">
        <f t="shared" si="6"/>
        <v>-0.300000000000001</v>
      </c>
      <c r="S34" s="43">
        <f t="shared" si="3"/>
        <v>1.34703515</v>
      </c>
      <c r="T34" s="53">
        <v>3.2</v>
      </c>
      <c r="U34" s="35">
        <f t="shared" si="4"/>
        <v>92.7536231884058</v>
      </c>
      <c r="Y34" s="36"/>
      <c r="Z34" s="36"/>
      <c r="AA34" s="43">
        <v>35.5110748800001</v>
      </c>
      <c r="AB34" s="59">
        <v>34.1640397300001</v>
      </c>
      <c r="AC34" s="59">
        <v>1.34703515</v>
      </c>
      <c r="AD34" s="59">
        <v>92.7536231884058</v>
      </c>
      <c r="AE34" s="60">
        <v>0.368331053339063</v>
      </c>
      <c r="AF34" s="61">
        <v>0.0379328182701294</v>
      </c>
    </row>
    <row r="35" spans="1:32">
      <c r="A35" t="s">
        <v>35</v>
      </c>
      <c r="B35" s="35" t="s">
        <v>106</v>
      </c>
      <c r="C35">
        <v>355</v>
      </c>
      <c r="D35">
        <v>23.3</v>
      </c>
      <c r="E35">
        <v>357.9</v>
      </c>
      <c r="F35">
        <v>22.9</v>
      </c>
      <c r="G35">
        <v>354.6</v>
      </c>
      <c r="H35">
        <v>23</v>
      </c>
      <c r="L35" s="35"/>
      <c r="M35" s="35"/>
      <c r="N35" s="42">
        <f t="shared" si="5"/>
        <v>2.89999999999998</v>
      </c>
      <c r="O35" s="42">
        <f t="shared" si="5"/>
        <v>-0.400000000000002</v>
      </c>
      <c r="P35" s="43">
        <f t="shared" si="0"/>
        <v>10.2248038699999</v>
      </c>
      <c r="Q35" s="42">
        <f t="shared" si="6"/>
        <v>-0.399999999999977</v>
      </c>
      <c r="R35" s="42">
        <f t="shared" si="6"/>
        <v>-0.300000000000001</v>
      </c>
      <c r="S35" s="43">
        <f t="shared" si="3"/>
        <v>0</v>
      </c>
      <c r="T35" s="53">
        <v>3</v>
      </c>
      <c r="U35" s="35">
        <f t="shared" si="4"/>
        <v>86.9565217391304</v>
      </c>
      <c r="Y35" s="35"/>
      <c r="Z35" s="35"/>
      <c r="AA35" s="43">
        <v>10.2248038699999</v>
      </c>
      <c r="AB35" s="59">
        <v>10.2248038699999</v>
      </c>
      <c r="AC35" s="59">
        <v>0</v>
      </c>
      <c r="AD35" s="59">
        <v>86.9565217391304</v>
      </c>
      <c r="AE35" s="60">
        <v>0.117585244504999</v>
      </c>
      <c r="AF35" s="61">
        <v>0</v>
      </c>
    </row>
    <row r="36" spans="1:32">
      <c r="A36" t="s">
        <v>35</v>
      </c>
      <c r="B36" s="35" t="s">
        <v>108</v>
      </c>
      <c r="C36">
        <v>732.4</v>
      </c>
      <c r="D36">
        <v>23.2</v>
      </c>
      <c r="E36">
        <v>737.5</v>
      </c>
      <c r="F36">
        <v>22.9</v>
      </c>
      <c r="G36">
        <v>732.5</v>
      </c>
      <c r="H36">
        <v>23</v>
      </c>
      <c r="L36" s="35"/>
      <c r="M36" s="35"/>
      <c r="N36" s="42">
        <f t="shared" si="5"/>
        <v>5.10000000000002</v>
      </c>
      <c r="O36" s="42">
        <f t="shared" si="5"/>
        <v>-0.300000000000001</v>
      </c>
      <c r="P36" s="43">
        <f t="shared" si="0"/>
        <v>18.7077585300001</v>
      </c>
      <c r="Q36" s="42">
        <f t="shared" si="6"/>
        <v>0.100000000000023</v>
      </c>
      <c r="R36" s="42">
        <f t="shared" si="6"/>
        <v>-0.199999999999999</v>
      </c>
      <c r="S36" s="43">
        <f t="shared" si="3"/>
        <v>0.0174070300000871</v>
      </c>
      <c r="T36" s="54">
        <v>2</v>
      </c>
      <c r="U36" s="37">
        <f t="shared" si="4"/>
        <v>57.9710144927536</v>
      </c>
      <c r="Y36" s="35"/>
      <c r="Z36" s="35"/>
      <c r="AA36" s="43">
        <v>18.7077585300001</v>
      </c>
      <c r="AB36" s="59">
        <v>18.6903515</v>
      </c>
      <c r="AC36" s="59">
        <v>0.0174070300000871</v>
      </c>
      <c r="AD36" s="59">
        <v>57.9710144927536</v>
      </c>
      <c r="AE36" s="60">
        <v>0.322408563375</v>
      </c>
      <c r="AF36" s="61">
        <v>0.000930471171742618</v>
      </c>
    </row>
    <row r="37" spans="1:32">
      <c r="A37" t="s">
        <v>35</v>
      </c>
      <c r="B37" s="35" t="s">
        <v>110</v>
      </c>
      <c r="C37">
        <v>669</v>
      </c>
      <c r="D37">
        <v>23.2</v>
      </c>
      <c r="E37">
        <v>673.9</v>
      </c>
      <c r="F37">
        <v>22.9</v>
      </c>
      <c r="G37">
        <v>669.2</v>
      </c>
      <c r="H37">
        <v>23</v>
      </c>
      <c r="L37" s="35"/>
      <c r="M37" s="35"/>
      <c r="N37" s="42">
        <f t="shared" si="5"/>
        <v>4.89999999999998</v>
      </c>
      <c r="O37" s="42">
        <f t="shared" si="5"/>
        <v>-0.300000000000001</v>
      </c>
      <c r="P37" s="43">
        <f t="shared" si="0"/>
        <v>17.9529444699999</v>
      </c>
      <c r="Q37" s="42">
        <f t="shared" si="6"/>
        <v>0.200000000000045</v>
      </c>
      <c r="R37" s="42">
        <f t="shared" si="6"/>
        <v>-0.199999999999999</v>
      </c>
      <c r="S37" s="43">
        <f t="shared" si="3"/>
        <v>0.394814060000173</v>
      </c>
      <c r="T37" s="53">
        <v>1.4</v>
      </c>
      <c r="U37" s="35">
        <f t="shared" si="4"/>
        <v>40.5797101449275</v>
      </c>
      <c r="Y37" s="35"/>
      <c r="Z37" s="35"/>
      <c r="AA37" s="43">
        <v>17.9529444699999</v>
      </c>
      <c r="AB37" s="59">
        <v>17.5581304099997</v>
      </c>
      <c r="AC37" s="59">
        <v>0.394814060000173</v>
      </c>
      <c r="AD37" s="59">
        <v>40.5797101449275</v>
      </c>
      <c r="AE37" s="60">
        <v>0.43268249938928</v>
      </c>
      <c r="AF37" s="61">
        <v>0.0219916048122314</v>
      </c>
    </row>
    <row r="38" spans="1:32">
      <c r="A38" t="s">
        <v>35</v>
      </c>
      <c r="B38" s="37" t="s">
        <v>127</v>
      </c>
      <c r="C38">
        <v>799.1</v>
      </c>
      <c r="D38">
        <v>23.3</v>
      </c>
      <c r="E38">
        <v>799.9</v>
      </c>
      <c r="F38">
        <v>22.9</v>
      </c>
      <c r="G38">
        <v>798.8</v>
      </c>
      <c r="H38">
        <v>23</v>
      </c>
      <c r="L38" s="37"/>
      <c r="M38" s="37"/>
      <c r="N38" s="42">
        <f t="shared" si="5"/>
        <v>0.799999999999955</v>
      </c>
      <c r="O38" s="42">
        <f t="shared" si="5"/>
        <v>-0.400000000000002</v>
      </c>
      <c r="P38" s="43">
        <f t="shared" si="0"/>
        <v>2.29925623999982</v>
      </c>
      <c r="Q38" s="42">
        <f t="shared" si="6"/>
        <v>-0.300000000000068</v>
      </c>
      <c r="R38" s="42">
        <f t="shared" si="6"/>
        <v>-0.300000000000001</v>
      </c>
      <c r="S38" s="43">
        <f t="shared" si="3"/>
        <v>0</v>
      </c>
      <c r="T38" s="53">
        <v>1.1</v>
      </c>
      <c r="U38" s="35">
        <f t="shared" si="4"/>
        <v>31.8840579710145</v>
      </c>
      <c r="Y38" s="37"/>
      <c r="Z38" s="37"/>
      <c r="AA38" s="43">
        <v>2.29925623999982</v>
      </c>
      <c r="AB38" s="59">
        <v>2.29925623999982</v>
      </c>
      <c r="AC38" s="59">
        <v>0</v>
      </c>
      <c r="AD38" s="59">
        <v>31.8840579710145</v>
      </c>
      <c r="AE38" s="60">
        <v>0.0721130366181763</v>
      </c>
      <c r="AF38" s="61">
        <v>0</v>
      </c>
    </row>
    <row r="39" spans="1:32">
      <c r="A39" t="s">
        <v>35</v>
      </c>
      <c r="B39" s="35" t="s">
        <v>128</v>
      </c>
      <c r="C39">
        <v>675.9</v>
      </c>
      <c r="D39">
        <v>23.2</v>
      </c>
      <c r="E39">
        <v>678.2</v>
      </c>
      <c r="F39">
        <v>22.9</v>
      </c>
      <c r="G39">
        <v>675.7</v>
      </c>
      <c r="H39">
        <v>23</v>
      </c>
      <c r="L39" s="35"/>
      <c r="M39" s="35"/>
      <c r="N39" s="42">
        <f t="shared" si="5"/>
        <v>2.30000000000007</v>
      </c>
      <c r="O39" s="42">
        <f t="shared" si="5"/>
        <v>-0.300000000000001</v>
      </c>
      <c r="P39" s="43">
        <f t="shared" si="0"/>
        <v>8.14036169000026</v>
      </c>
      <c r="Q39" s="42">
        <f t="shared" si="6"/>
        <v>-0.199999999999932</v>
      </c>
      <c r="R39" s="42">
        <f t="shared" si="6"/>
        <v>-0.199999999999999</v>
      </c>
      <c r="S39" s="43">
        <f t="shared" si="3"/>
        <v>0</v>
      </c>
      <c r="T39" s="54">
        <v>0.8</v>
      </c>
      <c r="U39" s="37">
        <f t="shared" si="4"/>
        <v>23.1884057971014</v>
      </c>
      <c r="Y39" s="35"/>
      <c r="Z39" s="35"/>
      <c r="AA39" s="43">
        <v>8.14036169000026</v>
      </c>
      <c r="AB39" s="59">
        <v>8.14036169000026</v>
      </c>
      <c r="AC39" s="59">
        <v>0</v>
      </c>
      <c r="AD39" s="59">
        <v>23.1884057971014</v>
      </c>
      <c r="AE39" s="60">
        <v>0.351053097881262</v>
      </c>
      <c r="AF39" s="61">
        <v>0</v>
      </c>
    </row>
    <row r="40" spans="1:32">
      <c r="A40" t="s">
        <v>35</v>
      </c>
      <c r="B40" s="35" t="s">
        <v>129</v>
      </c>
      <c r="C40">
        <v>580</v>
      </c>
      <c r="D40">
        <v>23.3</v>
      </c>
      <c r="E40">
        <v>582.9</v>
      </c>
      <c r="F40">
        <v>23</v>
      </c>
      <c r="G40">
        <v>580.4</v>
      </c>
      <c r="H40">
        <v>23.1</v>
      </c>
      <c r="L40" s="35"/>
      <c r="M40" s="35"/>
      <c r="N40" s="42">
        <f t="shared" si="5"/>
        <v>2.89999999999998</v>
      </c>
      <c r="O40" s="42">
        <f t="shared" si="5"/>
        <v>-0.300000000000001</v>
      </c>
      <c r="P40" s="43">
        <f t="shared" si="0"/>
        <v>10.4048038699999</v>
      </c>
      <c r="Q40" s="42">
        <f t="shared" si="6"/>
        <v>0.399999999999977</v>
      </c>
      <c r="R40" s="42">
        <f t="shared" si="6"/>
        <v>-0.199999999999999</v>
      </c>
      <c r="S40" s="43">
        <f t="shared" si="3"/>
        <v>1.14962811999992</v>
      </c>
      <c r="T40" s="53">
        <v>0.6</v>
      </c>
      <c r="U40" s="35">
        <f t="shared" si="4"/>
        <v>17.3913043478261</v>
      </c>
      <c r="Y40" s="35"/>
      <c r="Z40" s="35"/>
      <c r="AA40" s="43">
        <v>10.4048038699999</v>
      </c>
      <c r="AB40" s="59">
        <v>9.25517575</v>
      </c>
      <c r="AC40" s="59">
        <v>1.14962811999992</v>
      </c>
      <c r="AD40" s="59">
        <v>17.3913043478261</v>
      </c>
      <c r="AE40" s="60">
        <v>0.532172605625</v>
      </c>
      <c r="AF40" s="61">
        <v>0.110490128825458</v>
      </c>
    </row>
    <row r="41" spans="1:32">
      <c r="A41" t="s">
        <v>35</v>
      </c>
      <c r="B41" s="37" t="s">
        <v>130</v>
      </c>
      <c r="C41">
        <v>710.2</v>
      </c>
      <c r="D41">
        <v>23.2</v>
      </c>
      <c r="E41">
        <v>712.2</v>
      </c>
      <c r="F41">
        <v>22.9</v>
      </c>
      <c r="G41">
        <v>710.3</v>
      </c>
      <c r="H41">
        <v>22.9</v>
      </c>
      <c r="L41" s="37"/>
      <c r="M41" s="37"/>
      <c r="N41" s="42">
        <f t="shared" si="5"/>
        <v>2</v>
      </c>
      <c r="O41" s="42">
        <f t="shared" si="5"/>
        <v>-0.300000000000001</v>
      </c>
      <c r="P41" s="43">
        <f t="shared" si="0"/>
        <v>7.0081406</v>
      </c>
      <c r="Q41" s="42">
        <f t="shared" si="6"/>
        <v>0.0999999999999091</v>
      </c>
      <c r="R41" s="42">
        <f t="shared" si="6"/>
        <v>-0.300000000000001</v>
      </c>
      <c r="S41" s="43">
        <f t="shared" si="3"/>
        <v>0</v>
      </c>
      <c r="T41" s="53">
        <v>0.4</v>
      </c>
      <c r="U41" s="35">
        <f t="shared" si="4"/>
        <v>11.5942028985507</v>
      </c>
      <c r="Y41" s="37"/>
      <c r="Z41" s="37"/>
      <c r="AA41" s="43">
        <v>7.0081406</v>
      </c>
      <c r="AB41" s="59">
        <v>7.0081406</v>
      </c>
      <c r="AC41" s="59">
        <v>0</v>
      </c>
      <c r="AD41" s="59">
        <v>11.5942028985507</v>
      </c>
      <c r="AE41" s="60">
        <v>0.604452126750001</v>
      </c>
      <c r="AF41" s="61">
        <v>0</v>
      </c>
    </row>
    <row r="42" spans="1:32">
      <c r="A42" t="s">
        <v>35</v>
      </c>
      <c r="B42" s="35" t="s">
        <v>131</v>
      </c>
      <c r="C42">
        <v>594.7</v>
      </c>
      <c r="D42">
        <v>23.3</v>
      </c>
      <c r="E42">
        <v>596.3</v>
      </c>
      <c r="F42">
        <v>23.1</v>
      </c>
      <c r="G42">
        <v>594.3</v>
      </c>
      <c r="H42">
        <v>23</v>
      </c>
      <c r="L42" s="36"/>
      <c r="M42" s="36"/>
      <c r="N42" s="42">
        <f t="shared" si="5"/>
        <v>1.59999999999991</v>
      </c>
      <c r="O42" s="42">
        <f t="shared" si="5"/>
        <v>-0.199999999999999</v>
      </c>
      <c r="P42" s="43">
        <f t="shared" si="0"/>
        <v>5.67851247999966</v>
      </c>
      <c r="Q42" s="42">
        <f t="shared" si="6"/>
        <v>-0.400000000000091</v>
      </c>
      <c r="R42" s="42">
        <f t="shared" si="6"/>
        <v>-0.300000000000001</v>
      </c>
      <c r="S42" s="43">
        <f t="shared" si="3"/>
        <v>0</v>
      </c>
      <c r="T42" s="54">
        <v>0.3</v>
      </c>
      <c r="U42" s="37">
        <f t="shared" si="4"/>
        <v>8.69565217391304</v>
      </c>
      <c r="Y42" s="36"/>
      <c r="Z42" s="36"/>
      <c r="AA42" s="43">
        <v>5.67851247999966</v>
      </c>
      <c r="AB42" s="59">
        <v>5.67851247999966</v>
      </c>
      <c r="AC42" s="59">
        <v>0</v>
      </c>
      <c r="AD42" s="59">
        <v>8.69565217391304</v>
      </c>
      <c r="AE42" s="60">
        <v>0.653028935199961</v>
      </c>
      <c r="AF42" s="61">
        <v>0</v>
      </c>
    </row>
  </sheetData>
  <mergeCells count="19">
    <mergeCell ref="C13:D13"/>
    <mergeCell ref="E13:F13"/>
    <mergeCell ref="G13:H13"/>
    <mergeCell ref="N13:P13"/>
    <mergeCell ref="Q13:S13"/>
    <mergeCell ref="T13:U13"/>
    <mergeCell ref="AA13:AC13"/>
    <mergeCell ref="A13:A14"/>
    <mergeCell ref="B13:B14"/>
    <mergeCell ref="L13:L14"/>
    <mergeCell ref="M13:M14"/>
    <mergeCell ref="Y13:Y14"/>
    <mergeCell ref="Z13:Z14"/>
    <mergeCell ref="AD13:AD14"/>
    <mergeCell ref="AE13:AE14"/>
    <mergeCell ref="AF13:AF14"/>
    <mergeCell ref="A11:H12"/>
    <mergeCell ref="Y11:AF12"/>
    <mergeCell ref="L11:U12"/>
  </mergeCells>
  <pageMargins left="0.75" right="0.75" top="1" bottom="1" header="0.511805555555556" footer="0.511805555555556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51" name="Button 7" r:id="rId3">
              <controlPr print="0" defaultSize="0">
                <anchor moveWithCells="1">
                  <from>
                    <xdr:col>8</xdr:col>
                    <xdr:colOff>419100</xdr:colOff>
                    <xdr:row>7</xdr:row>
                    <xdr:rowOff>161925</xdr:rowOff>
                  </from>
                  <to>
                    <xdr:col>10</xdr:col>
                    <xdr:colOff>95250</xdr:colOff>
                    <xdr:row>9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2" name="Button 8" r:id="rId4">
              <controlPr print="0" defaultSize="0">
                <anchor moveWithCells="1">
                  <from>
                    <xdr:col>8</xdr:col>
                    <xdr:colOff>419100</xdr:colOff>
                    <xdr:row>5</xdr:row>
                    <xdr:rowOff>133350</xdr:rowOff>
                  </from>
                  <to>
                    <xdr:col>10</xdr:col>
                    <xdr:colOff>9525</xdr:colOff>
                    <xdr:row>7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5"/>
  <dimension ref="A1:S40"/>
  <sheetViews>
    <sheetView workbookViewId="0">
      <selection activeCell="K20" sqref="K20"/>
    </sheetView>
  </sheetViews>
  <sheetFormatPr defaultColWidth="9" defaultRowHeight="13.5"/>
  <sheetData>
    <row r="1" spans="1:2">
      <c r="A1" t="s">
        <v>0</v>
      </c>
      <c r="B1">
        <v>1</v>
      </c>
    </row>
    <row r="2" spans="1:19">
      <c r="A2" t="s">
        <v>1</v>
      </c>
      <c r="B2">
        <v>14</v>
      </c>
      <c r="C2" t="s">
        <v>2</v>
      </c>
      <c r="E2" t="s">
        <v>3</v>
      </c>
      <c r="G2" t="s">
        <v>4</v>
      </c>
      <c r="I2" t="s">
        <v>5</v>
      </c>
      <c r="K2" t="s">
        <v>6</v>
      </c>
      <c r="M2" t="s">
        <v>7</v>
      </c>
      <c r="O2" t="s">
        <v>8</v>
      </c>
      <c r="Q2" t="s">
        <v>9</v>
      </c>
      <c r="S2" t="s">
        <v>10</v>
      </c>
    </row>
    <row r="3" spans="1:2">
      <c r="A3" t="s">
        <v>11</v>
      </c>
      <c r="B3">
        <v>2</v>
      </c>
    </row>
    <row r="4" spans="1:2">
      <c r="A4" s="1" t="s">
        <v>12</v>
      </c>
      <c r="B4">
        <v>3.28</v>
      </c>
    </row>
    <row r="5" spans="1:2">
      <c r="A5" t="s">
        <v>13</v>
      </c>
      <c r="B5">
        <v>0.39</v>
      </c>
    </row>
    <row r="6" spans="1:2">
      <c r="A6" t="s">
        <v>14</v>
      </c>
      <c r="B6">
        <v>0.93</v>
      </c>
    </row>
    <row r="7" spans="1:2">
      <c r="A7" s="1" t="s">
        <v>15</v>
      </c>
      <c r="B7" s="2">
        <v>0.0244</v>
      </c>
    </row>
    <row r="8" spans="1:4">
      <c r="A8" t="s">
        <v>16</v>
      </c>
      <c r="B8" s="2">
        <v>0</v>
      </c>
      <c r="D8" s="2"/>
    </row>
    <row r="11" ht="14.25" spans="1:12">
      <c r="A11" s="3" t="s">
        <v>17</v>
      </c>
      <c r="B11" s="3" t="s">
        <v>18</v>
      </c>
      <c r="C11" s="4" t="s">
        <v>19</v>
      </c>
      <c r="D11" s="4" t="s">
        <v>20</v>
      </c>
      <c r="E11" s="4"/>
      <c r="F11" s="4" t="s">
        <v>21</v>
      </c>
      <c r="G11" s="4"/>
      <c r="H11" s="4"/>
      <c r="I11" s="4" t="s">
        <v>22</v>
      </c>
      <c r="J11" s="4" t="s">
        <v>23</v>
      </c>
      <c r="K11" s="4" t="s">
        <v>24</v>
      </c>
      <c r="L11" s="4" t="s">
        <v>25</v>
      </c>
    </row>
    <row r="12" ht="14.25" spans="1:12">
      <c r="A12" s="3"/>
      <c r="B12" s="5"/>
      <c r="C12" s="6"/>
      <c r="D12" s="4" t="s">
        <v>26</v>
      </c>
      <c r="E12" s="4" t="s">
        <v>27</v>
      </c>
      <c r="F12" s="4" t="s">
        <v>26</v>
      </c>
      <c r="G12" s="4" t="s">
        <v>28</v>
      </c>
      <c r="H12" s="4" t="s">
        <v>29</v>
      </c>
      <c r="I12" s="4"/>
      <c r="J12" s="4"/>
      <c r="K12" s="4"/>
      <c r="L12" s="4"/>
    </row>
    <row r="13" spans="1:12">
      <c r="A13" s="7" t="s">
        <v>30</v>
      </c>
      <c r="B13" s="8" t="s">
        <v>96</v>
      </c>
      <c r="C13" s="9">
        <v>8.74</v>
      </c>
      <c r="D13" s="9">
        <v>9.18</v>
      </c>
      <c r="E13" s="10">
        <v>0.44</v>
      </c>
      <c r="F13" s="9">
        <v>8.65</v>
      </c>
      <c r="G13" s="10">
        <v>-0.529999999999999</v>
      </c>
      <c r="H13" s="11">
        <v>0</v>
      </c>
      <c r="I13" s="21">
        <v>0.44</v>
      </c>
      <c r="J13" s="22">
        <v>0.473</v>
      </c>
      <c r="K13" s="21">
        <v>0.930232558139534</v>
      </c>
      <c r="L13" s="23">
        <v>0</v>
      </c>
    </row>
    <row r="14" spans="1:12">
      <c r="A14" s="7" t="s">
        <v>30</v>
      </c>
      <c r="B14" s="8" t="s">
        <v>97</v>
      </c>
      <c r="C14" s="9">
        <v>1.29</v>
      </c>
      <c r="D14" s="9">
        <v>1.8</v>
      </c>
      <c r="E14" s="10">
        <v>0.51</v>
      </c>
      <c r="F14" s="9">
        <v>1.15</v>
      </c>
      <c r="G14" s="10">
        <v>-0.65</v>
      </c>
      <c r="H14" s="11">
        <v>0</v>
      </c>
      <c r="I14" s="21">
        <v>0.51</v>
      </c>
      <c r="J14" s="22">
        <v>0.825</v>
      </c>
      <c r="K14" s="21">
        <v>0.618181818181818</v>
      </c>
      <c r="L14" s="23">
        <v>0</v>
      </c>
    </row>
    <row r="15" spans="1:12">
      <c r="A15" s="7" t="s">
        <v>30</v>
      </c>
      <c r="B15" s="8" t="s">
        <v>98</v>
      </c>
      <c r="C15" s="9">
        <v>8.04</v>
      </c>
      <c r="D15" s="9">
        <v>8.74</v>
      </c>
      <c r="E15" s="10">
        <v>0.700000000000001</v>
      </c>
      <c r="F15" s="9">
        <v>7.95</v>
      </c>
      <c r="G15" s="10">
        <v>-0.79</v>
      </c>
      <c r="H15" s="11">
        <v>0</v>
      </c>
      <c r="I15" s="21">
        <v>0.700000000000001</v>
      </c>
      <c r="J15" s="22">
        <v>1.245</v>
      </c>
      <c r="K15" s="21">
        <v>0.562248995983937</v>
      </c>
      <c r="L15" s="23">
        <v>0</v>
      </c>
    </row>
    <row r="16" spans="1:12">
      <c r="A16" s="7" t="s">
        <v>30</v>
      </c>
      <c r="B16" s="8" t="s">
        <v>105</v>
      </c>
      <c r="C16" s="12">
        <v>2.23</v>
      </c>
      <c r="D16" s="12">
        <v>3</v>
      </c>
      <c r="E16" s="10">
        <v>0.77</v>
      </c>
      <c r="F16" s="12">
        <v>2.2</v>
      </c>
      <c r="G16" s="10">
        <v>-0.8</v>
      </c>
      <c r="H16" s="11">
        <v>0</v>
      </c>
      <c r="I16" s="21">
        <v>0.77</v>
      </c>
      <c r="J16" s="22">
        <v>1.743</v>
      </c>
      <c r="K16" s="21">
        <v>0.441767068273092</v>
      </c>
      <c r="L16" s="23">
        <v>0</v>
      </c>
    </row>
    <row r="17" spans="1:12">
      <c r="A17" s="7" t="s">
        <v>30</v>
      </c>
      <c r="B17" s="8" t="s">
        <v>107</v>
      </c>
      <c r="C17" s="9">
        <v>4.05</v>
      </c>
      <c r="D17" s="9">
        <v>5.02</v>
      </c>
      <c r="E17" s="10">
        <v>0.97</v>
      </c>
      <c r="F17" s="9">
        <v>3.93</v>
      </c>
      <c r="G17" s="10">
        <v>-1.09</v>
      </c>
      <c r="H17" s="11">
        <v>0</v>
      </c>
      <c r="I17" s="21">
        <v>0.97</v>
      </c>
      <c r="J17" s="22">
        <v>2.342</v>
      </c>
      <c r="K17" s="21">
        <v>0.414175918018787</v>
      </c>
      <c r="L17" s="23">
        <v>0</v>
      </c>
    </row>
    <row r="18" spans="1:12">
      <c r="A18" s="7" t="s">
        <v>30</v>
      </c>
      <c r="B18" s="8" t="s">
        <v>116</v>
      </c>
      <c r="C18" s="9">
        <v>6.32</v>
      </c>
      <c r="D18" s="9">
        <v>7.6</v>
      </c>
      <c r="E18" s="10">
        <v>1.28</v>
      </c>
      <c r="F18" s="13">
        <v>6.24</v>
      </c>
      <c r="G18" s="10">
        <v>-1.36</v>
      </c>
      <c r="H18" s="11">
        <v>0</v>
      </c>
      <c r="I18" s="21">
        <v>1.28</v>
      </c>
      <c r="J18" s="22">
        <v>3.079</v>
      </c>
      <c r="K18" s="21">
        <v>0.415719389412147</v>
      </c>
      <c r="L18" s="23">
        <v>0</v>
      </c>
    </row>
    <row r="19" spans="1:12">
      <c r="A19" s="7" t="s">
        <v>30</v>
      </c>
      <c r="B19" s="8" t="s">
        <v>117</v>
      </c>
      <c r="C19" s="9">
        <v>7.98</v>
      </c>
      <c r="D19" s="9">
        <v>9.62</v>
      </c>
      <c r="E19" s="10">
        <v>1.64</v>
      </c>
      <c r="F19" s="13">
        <v>7.91</v>
      </c>
      <c r="G19" s="10">
        <v>-1.71</v>
      </c>
      <c r="H19" s="11">
        <v>0</v>
      </c>
      <c r="I19" s="21">
        <v>1.64</v>
      </c>
      <c r="J19" s="22">
        <v>4.008</v>
      </c>
      <c r="K19" s="21">
        <v>0.409181636726547</v>
      </c>
      <c r="L19" s="23">
        <v>0</v>
      </c>
    </row>
    <row r="20" spans="1:12">
      <c r="A20" s="7" t="s">
        <v>30</v>
      </c>
      <c r="B20" s="8" t="s">
        <v>118</v>
      </c>
      <c r="C20" s="9">
        <v>14.28</v>
      </c>
      <c r="D20" s="9">
        <v>16.31</v>
      </c>
      <c r="E20" s="10">
        <v>2.03</v>
      </c>
      <c r="F20" s="13">
        <v>14.19</v>
      </c>
      <c r="G20" s="10">
        <v>-2.12</v>
      </c>
      <c r="H20" s="11">
        <v>0</v>
      </c>
      <c r="I20" s="21">
        <v>2.03</v>
      </c>
      <c r="J20" s="22">
        <v>5.16</v>
      </c>
      <c r="K20" s="21">
        <v>0.393410852713178</v>
      </c>
      <c r="L20" s="23">
        <v>0</v>
      </c>
    </row>
    <row r="21" spans="1:12">
      <c r="A21" s="7" t="s">
        <v>30</v>
      </c>
      <c r="B21" s="8" t="s">
        <v>119</v>
      </c>
      <c r="C21" s="9">
        <v>12.58</v>
      </c>
      <c r="D21" s="9">
        <v>15.08</v>
      </c>
      <c r="E21" s="10">
        <v>2.5</v>
      </c>
      <c r="F21" s="13">
        <v>12.55</v>
      </c>
      <c r="G21" s="10">
        <v>-2.53</v>
      </c>
      <c r="H21" s="11">
        <v>0</v>
      </c>
      <c r="I21" s="21">
        <v>2.5</v>
      </c>
      <c r="J21" s="22">
        <v>5.953</v>
      </c>
      <c r="K21" s="21">
        <v>0.419956324542248</v>
      </c>
      <c r="L21" s="23">
        <v>0</v>
      </c>
    </row>
    <row r="22" spans="1:12">
      <c r="A22" s="7" t="s">
        <v>30</v>
      </c>
      <c r="B22" s="8" t="s">
        <v>120</v>
      </c>
      <c r="C22" s="9">
        <v>6.85</v>
      </c>
      <c r="D22" s="9">
        <v>9.65</v>
      </c>
      <c r="E22" s="10">
        <v>2.8</v>
      </c>
      <c r="F22" s="13">
        <v>6.8</v>
      </c>
      <c r="G22" s="10">
        <v>-2.85</v>
      </c>
      <c r="H22" s="11">
        <v>0</v>
      </c>
      <c r="I22" s="21">
        <v>2.8</v>
      </c>
      <c r="J22" s="22">
        <v>6.742</v>
      </c>
      <c r="K22" s="21">
        <v>0.415307030554732</v>
      </c>
      <c r="L22" s="23">
        <v>0</v>
      </c>
    </row>
    <row r="23" spans="1:12">
      <c r="A23" s="7" t="s">
        <v>30</v>
      </c>
      <c r="B23" s="8" t="s">
        <v>121</v>
      </c>
      <c r="C23" s="9">
        <v>11.92</v>
      </c>
      <c r="D23" s="9">
        <v>15.21</v>
      </c>
      <c r="E23" s="10">
        <v>3.29</v>
      </c>
      <c r="F23" s="13">
        <v>11.93</v>
      </c>
      <c r="G23" s="10">
        <v>-3.28</v>
      </c>
      <c r="H23" s="11">
        <v>0.00999999999999979</v>
      </c>
      <c r="I23" s="21">
        <v>3.28</v>
      </c>
      <c r="J23" s="22">
        <v>7.048</v>
      </c>
      <c r="K23" s="21">
        <v>0.465380249716232</v>
      </c>
      <c r="L23" s="23">
        <v>0.00303951367781148</v>
      </c>
    </row>
    <row r="24" spans="1:12">
      <c r="A24" s="7" t="s">
        <v>30</v>
      </c>
      <c r="B24" s="8" t="s">
        <v>122</v>
      </c>
      <c r="C24" s="9">
        <v>16.9</v>
      </c>
      <c r="D24" s="9">
        <v>20</v>
      </c>
      <c r="E24" s="10">
        <v>3.1</v>
      </c>
      <c r="F24" s="13">
        <v>16.78</v>
      </c>
      <c r="G24" s="10">
        <v>-3.22</v>
      </c>
      <c r="H24" s="11">
        <v>0</v>
      </c>
      <c r="I24" s="21">
        <v>3.1</v>
      </c>
      <c r="J24" s="22">
        <v>7.268</v>
      </c>
      <c r="K24" s="21">
        <v>0.42652724270776</v>
      </c>
      <c r="L24" s="23">
        <v>0</v>
      </c>
    </row>
    <row r="25" spans="1:12">
      <c r="A25" s="7" t="s">
        <v>30</v>
      </c>
      <c r="B25" s="8" t="s">
        <v>123</v>
      </c>
      <c r="C25" s="9">
        <v>12.43</v>
      </c>
      <c r="D25" s="9">
        <v>15.34</v>
      </c>
      <c r="E25" s="10">
        <v>2.91</v>
      </c>
      <c r="F25" s="13">
        <v>12.57</v>
      </c>
      <c r="G25" s="10">
        <v>-2.77</v>
      </c>
      <c r="H25" s="11">
        <v>0.140000000000001</v>
      </c>
      <c r="I25" s="21">
        <v>2.77</v>
      </c>
      <c r="J25" s="22">
        <v>6.793</v>
      </c>
      <c r="K25" s="21">
        <v>0.407772707198587</v>
      </c>
      <c r="L25" s="23">
        <v>0.048109965635739</v>
      </c>
    </row>
    <row r="26" ht="14.25" spans="1:12">
      <c r="A26" s="7" t="s">
        <v>30</v>
      </c>
      <c r="B26" s="14" t="s">
        <v>124</v>
      </c>
      <c r="C26" s="15">
        <v>13.65</v>
      </c>
      <c r="D26" s="15">
        <v>16.52</v>
      </c>
      <c r="E26" s="10">
        <v>2.87</v>
      </c>
      <c r="F26" s="16">
        <v>13.72</v>
      </c>
      <c r="G26" s="10">
        <v>-2.8</v>
      </c>
      <c r="H26" s="11">
        <v>0.0700000000000003</v>
      </c>
      <c r="I26" s="21">
        <v>2.8</v>
      </c>
      <c r="J26" s="22">
        <v>6.702</v>
      </c>
      <c r="K26" s="21">
        <v>0.417785735601313</v>
      </c>
      <c r="L26" s="23">
        <v>0.0243902439024391</v>
      </c>
    </row>
    <row r="27" spans="1:12">
      <c r="A27" s="7"/>
      <c r="B27" s="8" t="s">
        <v>96</v>
      </c>
      <c r="C27" s="9">
        <v>8.74</v>
      </c>
      <c r="D27" s="17">
        <v>11.47</v>
      </c>
      <c r="E27" s="18">
        <v>2.73</v>
      </c>
      <c r="F27" s="17">
        <v>8.7</v>
      </c>
      <c r="G27" s="18">
        <v>-2.77</v>
      </c>
      <c r="H27" s="11">
        <v>0</v>
      </c>
      <c r="I27" s="24">
        <v>2.73</v>
      </c>
      <c r="J27" s="25">
        <v>6.632</v>
      </c>
      <c r="K27" s="24">
        <v>0.411640530759952</v>
      </c>
      <c r="L27" s="26">
        <v>0</v>
      </c>
    </row>
    <row r="28" spans="1:12">
      <c r="A28" s="7"/>
      <c r="B28" s="8" t="s">
        <v>97</v>
      </c>
      <c r="C28" s="9">
        <v>1.29</v>
      </c>
      <c r="D28" s="9">
        <v>4.19</v>
      </c>
      <c r="E28" s="10">
        <v>2.9</v>
      </c>
      <c r="F28" s="9">
        <v>1.23</v>
      </c>
      <c r="G28" s="10">
        <v>-2.96</v>
      </c>
      <c r="H28" s="11">
        <v>0</v>
      </c>
      <c r="I28" s="21">
        <v>2.9</v>
      </c>
      <c r="J28" s="22">
        <v>6.725</v>
      </c>
      <c r="K28" s="21">
        <v>0.431226765799257</v>
      </c>
      <c r="L28" s="23">
        <v>0</v>
      </c>
    </row>
    <row r="29" spans="1:12">
      <c r="A29" s="7"/>
      <c r="B29" s="8" t="s">
        <v>98</v>
      </c>
      <c r="C29" s="9">
        <v>8.04</v>
      </c>
      <c r="D29" s="9">
        <v>11.15</v>
      </c>
      <c r="E29" s="19">
        <v>3.11</v>
      </c>
      <c r="F29" s="9">
        <v>8</v>
      </c>
      <c r="G29" s="10">
        <v>-3.15</v>
      </c>
      <c r="H29" s="11">
        <v>0</v>
      </c>
      <c r="I29" s="27">
        <v>3.11</v>
      </c>
      <c r="J29" s="28">
        <v>7.195</v>
      </c>
      <c r="K29" s="27">
        <v>0.432244614315497</v>
      </c>
      <c r="L29" s="29">
        <v>0</v>
      </c>
    </row>
    <row r="30" spans="1:12">
      <c r="A30" s="7"/>
      <c r="B30" s="8" t="s">
        <v>105</v>
      </c>
      <c r="C30" s="12">
        <v>2.23</v>
      </c>
      <c r="D30" s="12">
        <v>5.35</v>
      </c>
      <c r="E30" s="10">
        <v>3.12</v>
      </c>
      <c r="F30" s="12">
        <v>2.25</v>
      </c>
      <c r="G30" s="20">
        <v>-3.1</v>
      </c>
      <c r="H30" s="11">
        <v>0.02</v>
      </c>
      <c r="I30" s="21">
        <v>3.1</v>
      </c>
      <c r="J30" s="22">
        <v>7</v>
      </c>
      <c r="K30" s="21">
        <v>0.442857142857143</v>
      </c>
      <c r="L30" s="23">
        <v>0.00641025641025642</v>
      </c>
    </row>
    <row r="31" spans="1:12">
      <c r="A31" s="7"/>
      <c r="B31" s="8" t="s">
        <v>107</v>
      </c>
      <c r="C31" s="9">
        <v>4.05</v>
      </c>
      <c r="D31" s="9">
        <v>6.97</v>
      </c>
      <c r="E31" s="10">
        <v>2.92</v>
      </c>
      <c r="F31" s="9">
        <v>3.96</v>
      </c>
      <c r="G31" s="10">
        <v>-3.01</v>
      </c>
      <c r="H31" s="11">
        <v>0</v>
      </c>
      <c r="I31" s="21">
        <v>2.92</v>
      </c>
      <c r="J31" s="22">
        <v>6.728</v>
      </c>
      <c r="K31" s="21">
        <v>0.434007134363853</v>
      </c>
      <c r="L31" s="23">
        <v>0</v>
      </c>
    </row>
    <row r="32" spans="1:12">
      <c r="A32" s="7"/>
      <c r="B32" s="8" t="s">
        <v>116</v>
      </c>
      <c r="C32" s="9">
        <v>6.32</v>
      </c>
      <c r="D32" s="9">
        <v>8.71</v>
      </c>
      <c r="E32" s="10">
        <v>2.39</v>
      </c>
      <c r="F32" s="13">
        <v>6.25</v>
      </c>
      <c r="G32" s="10">
        <v>-2.46</v>
      </c>
      <c r="H32" s="11">
        <v>0</v>
      </c>
      <c r="I32" s="21">
        <v>2.39</v>
      </c>
      <c r="J32" s="22">
        <v>5.975</v>
      </c>
      <c r="K32" s="21">
        <v>0.4</v>
      </c>
      <c r="L32" s="23">
        <v>0</v>
      </c>
    </row>
    <row r="33" spans="1:12">
      <c r="A33" s="7"/>
      <c r="B33" s="8" t="s">
        <v>117</v>
      </c>
      <c r="C33" s="9">
        <v>7.98</v>
      </c>
      <c r="D33" s="9">
        <v>10.17</v>
      </c>
      <c r="E33" s="20">
        <v>2.19</v>
      </c>
      <c r="F33" s="13">
        <v>7.92</v>
      </c>
      <c r="G33" s="10">
        <v>-2.25</v>
      </c>
      <c r="H33" s="11">
        <v>0</v>
      </c>
      <c r="I33" s="30">
        <v>2.19</v>
      </c>
      <c r="J33" s="31">
        <v>5.203</v>
      </c>
      <c r="K33" s="30">
        <v>0.420911012877186</v>
      </c>
      <c r="L33" s="32">
        <v>0</v>
      </c>
    </row>
    <row r="34" spans="1:12">
      <c r="A34" s="7"/>
      <c r="B34" s="8" t="s">
        <v>118</v>
      </c>
      <c r="C34" s="9">
        <v>14.28</v>
      </c>
      <c r="D34" s="9">
        <v>15.97</v>
      </c>
      <c r="E34" s="10">
        <v>1.69</v>
      </c>
      <c r="F34" s="13">
        <v>14.17</v>
      </c>
      <c r="G34" s="10">
        <v>-1.8</v>
      </c>
      <c r="H34" s="11">
        <v>0</v>
      </c>
      <c r="I34" s="21">
        <v>1.69</v>
      </c>
      <c r="J34" s="22">
        <v>4.043</v>
      </c>
      <c r="K34" s="21">
        <v>0.418006430868168</v>
      </c>
      <c r="L34" s="23">
        <v>0</v>
      </c>
    </row>
    <row r="35" spans="1:12">
      <c r="A35" s="7"/>
      <c r="B35" s="8" t="s">
        <v>119</v>
      </c>
      <c r="C35" s="9">
        <v>12.58</v>
      </c>
      <c r="D35" s="9">
        <v>13.91</v>
      </c>
      <c r="E35" s="19">
        <v>1.33</v>
      </c>
      <c r="F35" s="13">
        <v>12.53</v>
      </c>
      <c r="G35" s="10">
        <v>-1.38</v>
      </c>
      <c r="H35" s="11">
        <v>0</v>
      </c>
      <c r="I35" s="27">
        <v>1.33</v>
      </c>
      <c r="J35" s="28">
        <v>3.11</v>
      </c>
      <c r="K35" s="27">
        <v>0.427652733118971</v>
      </c>
      <c r="L35" s="29">
        <v>0</v>
      </c>
    </row>
    <row r="36" spans="1:12">
      <c r="A36" s="7"/>
      <c r="B36" s="8" t="s">
        <v>120</v>
      </c>
      <c r="C36" s="9">
        <v>6.85</v>
      </c>
      <c r="D36" s="9">
        <v>7.72</v>
      </c>
      <c r="E36" s="10">
        <v>0.87</v>
      </c>
      <c r="F36" s="13">
        <v>6.78</v>
      </c>
      <c r="G36" s="10">
        <v>-0.94</v>
      </c>
      <c r="H36" s="11">
        <v>0</v>
      </c>
      <c r="I36" s="21">
        <v>0.87</v>
      </c>
      <c r="J36" s="22">
        <v>2.369</v>
      </c>
      <c r="K36" s="21">
        <v>0.367243562684677</v>
      </c>
      <c r="L36" s="23">
        <v>0</v>
      </c>
    </row>
    <row r="37" spans="1:12">
      <c r="A37" s="7"/>
      <c r="B37" s="8" t="s">
        <v>121</v>
      </c>
      <c r="C37" s="9">
        <v>11.92</v>
      </c>
      <c r="D37" s="9">
        <v>12.73</v>
      </c>
      <c r="E37" s="10">
        <v>0.81</v>
      </c>
      <c r="F37" s="13">
        <v>11.9</v>
      </c>
      <c r="G37" s="10">
        <v>-0.83</v>
      </c>
      <c r="H37" s="11">
        <v>0</v>
      </c>
      <c r="I37" s="21">
        <v>0.81</v>
      </c>
      <c r="J37" s="22">
        <v>1.769</v>
      </c>
      <c r="K37" s="21">
        <v>0.457885811192765</v>
      </c>
      <c r="L37" s="23">
        <v>0</v>
      </c>
    </row>
    <row r="38" spans="1:12">
      <c r="A38" s="7"/>
      <c r="B38" s="8" t="s">
        <v>122</v>
      </c>
      <c r="C38" s="9">
        <v>16.9</v>
      </c>
      <c r="D38" s="9">
        <v>17.41</v>
      </c>
      <c r="E38" s="10">
        <v>0.510000000000002</v>
      </c>
      <c r="F38" s="13">
        <v>16.74</v>
      </c>
      <c r="G38" s="10">
        <v>-0.670000000000002</v>
      </c>
      <c r="H38" s="11">
        <v>0</v>
      </c>
      <c r="I38" s="21">
        <v>0.510000000000002</v>
      </c>
      <c r="J38" s="22">
        <v>1.271</v>
      </c>
      <c r="K38" s="21">
        <v>0.401258851298192</v>
      </c>
      <c r="L38" s="23">
        <v>0</v>
      </c>
    </row>
    <row r="39" spans="1:12">
      <c r="A39" s="7"/>
      <c r="B39" s="8" t="s">
        <v>123</v>
      </c>
      <c r="C39" s="9">
        <v>12.43</v>
      </c>
      <c r="D39" s="9">
        <v>12.84</v>
      </c>
      <c r="E39" s="20">
        <v>0.41</v>
      </c>
      <c r="F39" s="13">
        <v>12.5</v>
      </c>
      <c r="G39" s="10">
        <v>-0.34</v>
      </c>
      <c r="H39" s="11">
        <v>0.0700000000000003</v>
      </c>
      <c r="I39" s="30">
        <v>0.34</v>
      </c>
      <c r="J39" s="31">
        <v>0.852</v>
      </c>
      <c r="K39" s="30">
        <v>0.39906103286385</v>
      </c>
      <c r="L39" s="32">
        <v>0.170731707317074</v>
      </c>
    </row>
    <row r="40" ht="14.25" spans="1:12">
      <c r="A40" s="7"/>
      <c r="B40" s="14" t="s">
        <v>124</v>
      </c>
      <c r="C40" s="15">
        <v>13.65</v>
      </c>
      <c r="D40" s="9">
        <v>14.18</v>
      </c>
      <c r="E40" s="10">
        <v>0.529999999999999</v>
      </c>
      <c r="F40" s="13">
        <v>13.68</v>
      </c>
      <c r="G40" s="10">
        <v>-0.5</v>
      </c>
      <c r="H40" s="11">
        <v>0.0299999999999994</v>
      </c>
      <c r="I40" s="21">
        <v>0.5</v>
      </c>
      <c r="J40" s="22">
        <v>0.499</v>
      </c>
      <c r="K40" s="21">
        <v>1.00200400801603</v>
      </c>
      <c r="L40" s="23">
        <v>0.0566037735849045</v>
      </c>
    </row>
  </sheetData>
  <mergeCells count="9">
    <mergeCell ref="D11:E11"/>
    <mergeCell ref="F11:H11"/>
    <mergeCell ref="A11:A12"/>
    <mergeCell ref="B11:B12"/>
    <mergeCell ref="C11:C12"/>
    <mergeCell ref="I11:I12"/>
    <mergeCell ref="J11:J12"/>
    <mergeCell ref="K11:K12"/>
    <mergeCell ref="L11:L12"/>
  </mergeCells>
  <pageMargins left="0.75" right="0.75" top="1" bottom="1" header="0.511805555555556" footer="0.511805555555556"/>
  <pageSetup paperSize="9" orientation="portrait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9</vt:i4>
      </vt:variant>
    </vt:vector>
  </HeadingPairs>
  <TitlesOfParts>
    <vt:vector size="9" baseType="lpstr">
      <vt:lpstr>首页</vt:lpstr>
      <vt:lpstr>挠度</vt:lpstr>
      <vt:lpstr>应变</vt:lpstr>
      <vt:lpstr>栏杆推力</vt:lpstr>
      <vt:lpstr>生成Word报告</vt:lpstr>
      <vt:lpstr>水准测量转换</vt:lpstr>
      <vt:lpstr>草稿</vt:lpstr>
      <vt:lpstr>应变测试</vt:lpstr>
      <vt:lpstr>挠度测试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林迪南</cp:lastModifiedBy>
  <dcterms:created xsi:type="dcterms:W3CDTF">2015-06-05T18:19:00Z</dcterms:created>
  <dcterms:modified xsi:type="dcterms:W3CDTF">2019-01-31T10:53:39Z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2052-10.8.0.6308</vt:lpwstr>
  </property>
</Properties>
</file>