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水准测量草稿" sheetId="12" r:id="rId10"/>
    <sheet name="应变测试" sheetId="6" state="hidden" r:id="rId11"/>
    <sheet name="挠度测试" sheetId="5" state="hidden" r:id="rId12"/>
  </sheets>
  <definedNames>
    <definedName name="_xlnm._FilterDatabase" localSheetId="1" hidden="1">仪器管理!$L$9:$R$27</definedName>
  </definedNames>
  <calcPr calcId="144525" concurrentCalc="0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<sst xmlns="http://schemas.openxmlformats.org/spreadsheetml/2006/main" count="785" uniqueCount="273">
  <si>
    <t>临界校准日期</t>
  </si>
  <si>
    <t>排序</t>
  </si>
  <si>
    <t>特征字符串</t>
  </si>
  <si>
    <t>特征型号</t>
  </si>
  <si>
    <t>报告名称</t>
  </si>
  <si>
    <t>序号</t>
  </si>
  <si>
    <t>报告资产名称</t>
  </si>
  <si>
    <t>资产名称</t>
  </si>
  <si>
    <t>资产编号</t>
  </si>
  <si>
    <t>规格型号</t>
  </si>
  <si>
    <t>旧系统仪器设备编号</t>
  </si>
  <si>
    <t>校准有效期至</t>
  </si>
  <si>
    <t>出厂编号</t>
  </si>
  <si>
    <t>选择</t>
  </si>
  <si>
    <t>数量</t>
  </si>
  <si>
    <t>仪器名称</t>
  </si>
  <si>
    <t>型号规格</t>
  </si>
  <si>
    <t>管理编号</t>
  </si>
  <si>
    <t>数据库文件名</t>
  </si>
  <si>
    <t>校准通知.xls</t>
  </si>
  <si>
    <t>皮尺</t>
  </si>
  <si>
    <t>综合测试仪</t>
  </si>
  <si>
    <t>02FB050519007</t>
  </si>
  <si>
    <t>JMZX-3001L</t>
  </si>
  <si>
    <t>00180323</t>
  </si>
  <si>
    <t>水准仪</t>
  </si>
  <si>
    <t>DiNi03</t>
  </si>
  <si>
    <t>02FB050218035</t>
  </si>
  <si>
    <t>746300</t>
  </si>
  <si>
    <t>02FB050519008</t>
  </si>
  <si>
    <t>00180324</t>
  </si>
  <si>
    <t>DiNi 0.3mm per km</t>
  </si>
  <si>
    <t>02FB050217025</t>
  </si>
  <si>
    <t>744390</t>
  </si>
  <si>
    <t>钢卷尺</t>
  </si>
  <si>
    <t>(0～5)m</t>
  </si>
  <si>
    <t>智能综合测试仪</t>
  </si>
  <si>
    <t>02FB050519009</t>
  </si>
  <si>
    <t>JMZX-3006L</t>
  </si>
  <si>
    <t>00180344</t>
  </si>
  <si>
    <t>无线遥测振动(索力)测试分析系统</t>
  </si>
  <si>
    <t>TST5927</t>
  </si>
  <si>
    <t>02FB050112009</t>
  </si>
  <si>
    <t>(B)05-143</t>
  </si>
  <si>
    <t>1204074</t>
  </si>
  <si>
    <t>02FB050112008</t>
  </si>
  <si>
    <t>(B)05-142</t>
  </si>
  <si>
    <t>1204075</t>
  </si>
  <si>
    <t>尺寸和挠度</t>
  </si>
  <si>
    <t>(0～30)m</t>
  </si>
  <si>
    <t>02FB050112006</t>
  </si>
  <si>
    <t>(B)05-146</t>
  </si>
  <si>
    <t>1204077</t>
  </si>
  <si>
    <t>02FB050112010</t>
  </si>
  <si>
    <t>(B)05-145</t>
  </si>
  <si>
    <t>1204078</t>
  </si>
  <si>
    <t>02FB050112007</t>
  </si>
  <si>
    <t>(B)05-147</t>
  </si>
  <si>
    <t>1204076</t>
  </si>
  <si>
    <t>02FB050112018</t>
  </si>
  <si>
    <t>(B)05-141</t>
  </si>
  <si>
    <t>1204079</t>
  </si>
  <si>
    <t>百分表</t>
  </si>
  <si>
    <t>(0～10)mm</t>
  </si>
  <si>
    <t>02FB050112005</t>
  </si>
  <si>
    <t>(B)05-144</t>
  </si>
  <si>
    <t>1204073</t>
  </si>
  <si>
    <t>02FB050112004</t>
  </si>
  <si>
    <t>(B)05-148</t>
  </si>
  <si>
    <t>1204072</t>
  </si>
  <si>
    <t>(0～30)mm</t>
  </si>
  <si>
    <t>全站仪</t>
  </si>
  <si>
    <t>NTS-362RL</t>
  </si>
  <si>
    <t>02FB050211002</t>
  </si>
  <si>
    <t>(B)02-215</t>
  </si>
  <si>
    <t>S69890</t>
  </si>
  <si>
    <t>R1+</t>
  </si>
  <si>
    <t>02FB050218034</t>
  </si>
  <si>
    <t>1H30397</t>
  </si>
  <si>
    <t>应变</t>
  </si>
  <si>
    <t>振弦式读数仪</t>
  </si>
  <si>
    <t>TS60</t>
  </si>
  <si>
    <t>02FB050217003</t>
  </si>
  <si>
    <t>883847</t>
  </si>
  <si>
    <t>TS30</t>
  </si>
  <si>
    <t>02FB050214004</t>
  </si>
  <si>
    <t>(B)02-297</t>
  </si>
  <si>
    <t>363993</t>
  </si>
  <si>
    <t>无线遥测静态应变测试分析系统</t>
  </si>
  <si>
    <t>TST3821E</t>
  </si>
  <si>
    <t>动测和索力</t>
  </si>
  <si>
    <t>桥梁实验模态无线测试分析系统</t>
  </si>
  <si>
    <t>TST5926E</t>
  </si>
  <si>
    <t>无线遥测动态应变测试分析系统</t>
  </si>
  <si>
    <t>TST5925EV</t>
  </si>
  <si>
    <t>动态信号</t>
  </si>
  <si>
    <t>动态信号采集及分析系统</t>
  </si>
  <si>
    <t>动态信号测试分析系统</t>
  </si>
  <si>
    <t>DH5920</t>
  </si>
  <si>
    <t>砼强度</t>
  </si>
  <si>
    <t>回弹仪</t>
  </si>
  <si>
    <t>钢筋扫描</t>
  </si>
  <si>
    <t>钢筋扫描仪</t>
  </si>
  <si>
    <t>裂缝宽度</t>
  </si>
  <si>
    <t>裂缝宽度监测仪</t>
  </si>
  <si>
    <t>钢筋锈蚀仪</t>
  </si>
  <si>
    <t>状态参数</t>
  </si>
  <si>
    <t>贯入式砂浆强度</t>
  </si>
  <si>
    <t>贯入式砂浆强度检测仪</t>
  </si>
  <si>
    <t>混凝土电阻率仪</t>
  </si>
  <si>
    <t>监测</t>
  </si>
  <si>
    <t>应变计</t>
  </si>
  <si>
    <t>表面式应变计</t>
  </si>
  <si>
    <t>自定义仪器</t>
  </si>
  <si>
    <t>埋入</t>
  </si>
  <si>
    <t>自定义仪器4</t>
  </si>
  <si>
    <t>自定义仪器5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</si>
  <si>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</si>
  <si>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</si>
  <si>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</si>
  <si>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</si>
  <si>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</si>
  <si>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</si>
  <si>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</si>
  <si>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</si>
  <si>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</si>
  <si>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</si>
  <si>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</si>
  <si>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理论挠度截图区</t>
  </si>
  <si>
    <t>报告工况</t>
  </si>
  <si>
    <t>若图片数量少于组数，则图片不会黏贴到Word计算书中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</si>
  <si>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</si>
  <si>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</si>
  <si>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t>A-A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</si>
  <si>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</si>
  <si>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</si>
  <si>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</si>
  <si>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</si>
  <si>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</si>
  <si>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</si>
  <si>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</si>
  <si>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</si>
  <si>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</si>
  <si>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</si>
  <si>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</si>
  <si>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</si>
  <si>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</si>
  <si>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</si>
  <si>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</si>
  <si>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</si>
  <si>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</si>
  <si>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</si>
  <si>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</si>
  <si>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</si>
  <si>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</si>
  <si>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</si>
  <si>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</si>
  <si>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</si>
  <si>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</si>
  <si>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</si>
  <si>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A-5</t>
  </si>
  <si>
    <t>A-6</t>
  </si>
  <si>
    <t>A-7</t>
  </si>
  <si>
    <t>A-8</t>
  </si>
  <si>
    <t>A-9</t>
  </si>
  <si>
    <t>应变组数</t>
  </si>
  <si>
    <t>理论应变截图区</t>
  </si>
  <si>
    <t>组名</t>
  </si>
  <si>
    <t>若图片数量少于组数，则图片不会黏贴到word计算书中</t>
  </si>
  <si>
    <t>最大弹性应变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</si>
  <si>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</si>
  <si>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</si>
  <si>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</si>
  <si>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</si>
  <si>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</si>
  <si>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</si>
  <si>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</si>
  <si>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</si>
  <si>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</si>
  <si>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</si>
  <si>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</si>
  <si>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</si>
  <si>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</si>
  <si>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</si>
  <si>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</si>
  <si>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</si>
  <si>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</si>
  <si>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</si>
  <si>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</si>
  <si>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</si>
  <si>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</si>
  <si>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</si>
  <si>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残余应变</t>
  </si>
  <si>
    <t>总应变</t>
  </si>
  <si>
    <t>弹性应变</t>
  </si>
  <si>
    <t>A-10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</si>
  <si>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</si>
  <si>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</si>
  <si>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</si>
  <si>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</si>
  <si>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</si>
  <si>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</si>
  <si>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</si>
  <si>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</si>
  <si>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</si>
  <si>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</si>
  <si>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</si>
  <si>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</si>
  <si>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</si>
  <si>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</si>
  <si>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</si>
  <si>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</si>
  <si>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</si>
  <si>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</si>
  <si>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</si>
  <si>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</si>
  <si>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</si>
  <si>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</si>
  <si>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</si>
  <si>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</t>
  </si>
  <si>
    <t>4#</t>
  </si>
  <si>
    <t>5#</t>
  </si>
  <si>
    <t>6#</t>
  </si>
  <si>
    <t>7#</t>
  </si>
  <si>
    <t>8#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</si>
  <si>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</si>
  <si>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</si>
  <si>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</si>
  <si>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</si>
  <si>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</si>
  <si>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</si>
  <si>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1初读</t>
  </si>
  <si>
    <t>1满载</t>
  </si>
  <si>
    <t>1退载</t>
  </si>
  <si>
    <t>2初读</t>
  </si>
  <si>
    <t>2满载</t>
  </si>
  <si>
    <t>2退载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</si>
  <si>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</si>
  <si>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</si>
  <si>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</si>
  <si>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</si>
  <si>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</si>
  <si>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</si>
  <si>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</si>
  <si>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</si>
  <si>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</si>
  <si>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</si>
  <si>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</si>
  <si>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</si>
  <si>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</si>
  <si>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</si>
  <si>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</si>
  <si>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</si>
  <si>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</si>
  <si>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</si>
  <si>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</si>
  <si>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</si>
  <si>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</si>
  <si>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</si>
  <si>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</si>
  <si>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</si>
  <si>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</si>
  <si>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</si>
  <si>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</si>
  <si>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</si>
  <si>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</si>
  <si>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</si>
  <si>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</si>
  <si>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</si>
  <si>
    <t>Z1</t>
  </si>
  <si>
    <t>Z2</t>
  </si>
  <si>
    <t>Z3</t>
  </si>
  <si>
    <t>Z4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</si>
</sst>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6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134"/>
    </font>
    <font>
      <sz val="12"/>
      <color indexed="8"/>
      <name val="Times New Roman"/>
      <charset val="134"/>
    </font>
    <font>
      <sz val="11"/>
      <color theme="1"/>
      <name val="Times New Roman"/>
      <charset val="134"/>
    </font>
    <font>
      <sz val="12"/>
      <color theme="1"/>
      <name val="Times New Roman"/>
      <charset val="134"/>
    </font>
    <font>
      <b/>
      <sz val="1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0"/>
      <name val="宋体"/>
      <charset val="0"/>
    </font>
    <font>
      <b/>
      <sz val="10"/>
      <name val="宋体"/>
      <charset val="0"/>
    </font>
    <font>
      <b/>
      <sz val="10"/>
      <name val="Arial"/>
      <charset val="0"/>
    </font>
    <font>
      <sz val="10"/>
      <name val="Arial"/>
      <charset val="0"/>
    </font>
    <font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26" fillId="22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36" borderId="23" applyNumberFormat="0" applyFont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0" fillId="0" borderId="17" applyNumberFormat="0" applyFill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9" fillId="16" borderId="21" applyNumberFormat="0" applyAlignment="0" applyProtection="0">
      <alignment vertical="center"/>
    </xf>
    <xf numFmtId="0" fontId="21" fillId="16" borderId="18" applyNumberFormat="0" applyAlignment="0" applyProtection="0">
      <alignment vertical="center"/>
    </xf>
    <xf numFmtId="0" fontId="19" fillId="12" borderId="16" applyNumberFormat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7" fillId="0" borderId="19" applyNumberFormat="0" applyFill="0" applyAlignment="0" applyProtection="0">
      <alignment vertical="center"/>
    </xf>
    <xf numFmtId="0" fontId="31" fillId="0" borderId="22" applyNumberFormat="0" applyFill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5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0" fontId="5" fillId="0" borderId="0" xfId="0" applyFont="1"/>
    <xf numFmtId="2" fontId="6" fillId="2" borderId="1" xfId="0" applyNumberFormat="1" applyFont="1" applyFill="1" applyBorder="1" applyAlignment="1">
      <alignment horizontal="center" vertical="center"/>
    </xf>
    <xf numFmtId="0" fontId="7" fillId="2" borderId="0" xfId="0" applyFont="1" applyFill="1"/>
    <xf numFmtId="0" fontId="0" fillId="5" borderId="0" xfId="0" applyFill="1"/>
    <xf numFmtId="2" fontId="6" fillId="5" borderId="1" xfId="0" applyNumberFormat="1" applyFont="1" applyFill="1" applyBorder="1" applyAlignment="1">
      <alignment horizontal="center" vertical="center"/>
    </xf>
    <xf numFmtId="0" fontId="7" fillId="5" borderId="0" xfId="0" applyFont="1" applyFill="1"/>
    <xf numFmtId="2" fontId="0" fillId="5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7" fillId="2" borderId="0" xfId="0" applyNumberFormat="1" applyFont="1" applyFill="1"/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7" fontId="7" fillId="5" borderId="0" xfId="0" applyNumberFormat="1" applyFont="1" applyFill="1"/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176" fontId="8" fillId="2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176" fontId="8" fillId="5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/>
    </xf>
    <xf numFmtId="176" fontId="8" fillId="5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9" fontId="11" fillId="0" borderId="0" xfId="0" applyNumberFormat="1" applyFont="1" applyFill="1" applyBorder="1" applyAlignment="1" applyProtection="1">
      <alignment vertical="center" wrapText="1"/>
      <protection hidden="1"/>
    </xf>
    <xf numFmtId="49" fontId="12" fillId="0" borderId="0" xfId="0" applyNumberFormat="1" applyFont="1" applyFill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4" fillId="0" borderId="0" xfId="0" applyNumberFormat="1" applyFont="1" applyFill="1" applyBorder="1" applyAlignment="1" applyProtection="1">
      <alignment vertical="center" wrapText="1"/>
      <protection hidden="1"/>
    </xf>
    <xf numFmtId="0" fontId="8" fillId="0" borderId="0" xfId="0" applyFont="1" applyAlignment="1">
      <alignment horizontal="justify" indent="2"/>
    </xf>
    <xf numFmtId="49" fontId="0" fillId="0" borderId="0" xfId="0" applyNumberFormat="1"/>
    <xf numFmtId="0" fontId="0" fillId="0" borderId="0" xfId="0" applyNumberForma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0.799999999999997</c:v>
                </c:pt>
                <c:pt idx="1">
                  <c:v>0.780000000000001</c:v>
                </c:pt>
                <c:pt idx="2">
                  <c:v>0.780000000000008</c:v>
                </c:pt>
                <c:pt idx="3">
                  <c:v>0.219999999999999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0549"/>
        <c:axId val="176905820"/>
      </c:lineChart>
      <c:catAx>
        <c:axId val="1217054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76905820"/>
        <c:crosses val="autoZero"/>
        <c:auto val="1"/>
        <c:lblAlgn val="ctr"/>
        <c:lblOffset val="100"/>
        <c:noMultiLvlLbl val="0"/>
      </c:catAx>
      <c:valAx>
        <c:axId val="1769058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17054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挠度!$F$17:$F$22</c:f>
              <c:numCache>
                <c:formatCode>0.00_ </c:formatCode>
                <c:ptCount val="6"/>
                <c:pt idx="0">
                  <c:v>2.88</c:v>
                </c:pt>
                <c:pt idx="1">
                  <c:v>3.51</c:v>
                </c:pt>
                <c:pt idx="2">
                  <c:v>3.95</c:v>
                </c:pt>
                <c:pt idx="3">
                  <c:v>4.1</c:v>
                </c:pt>
                <c:pt idx="4">
                  <c:v>3.84</c:v>
                </c:pt>
                <c:pt idx="5">
                  <c:v>3.58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挠度!$B$17:$B$22</c:f>
              <c:strCache>
                <c:ptCount val="6"/>
                <c:pt idx="0" c:formatCode="0.00_ ">
                  <c:v>A-4</c:v>
                </c:pt>
                <c:pt idx="1" c:formatCode="0.00_ ">
                  <c:v>A-5</c:v>
                </c:pt>
                <c:pt idx="2" c:formatCode="0.00_ ">
                  <c:v>A-6</c:v>
                </c:pt>
                <c:pt idx="3" c:formatCode="0.00_ ">
                  <c:v>A-7</c:v>
                </c:pt>
                <c:pt idx="4" c:formatCode="0.00_ ">
                  <c:v>A-8</c:v>
                </c:pt>
                <c:pt idx="5" c:formatCode="0.00_ ">
                  <c:v>A-9</c:v>
                </c:pt>
              </c:strCache>
            </c:strRef>
          </c:cat>
          <c:val>
            <c:numRef>
              <c:f>挠度!$Q$17:$Q$22</c:f>
              <c:numCache>
                <c:formatCode>0.00_ </c:formatCode>
                <c:ptCount val="6"/>
                <c:pt idx="0">
                  <c:v>1.54</c:v>
                </c:pt>
                <c:pt idx="1">
                  <c:v>1.95</c:v>
                </c:pt>
                <c:pt idx="2">
                  <c:v>2.25</c:v>
                </c:pt>
                <c:pt idx="3">
                  <c:v>2.39</c:v>
                </c:pt>
                <c:pt idx="4">
                  <c:v>2.24000000000001</c:v>
                </c:pt>
                <c:pt idx="5">
                  <c:v>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891559"/>
        <c:axId val="771251373"/>
      </c:lineChart>
      <c:catAx>
        <c:axId val="743891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251373"/>
        <c:crosses val="autoZero"/>
        <c:auto val="1"/>
        <c:lblAlgn val="ctr"/>
        <c:lblOffset val="100"/>
        <c:noMultiLvlLbl val="0"/>
      </c:catAx>
      <c:valAx>
        <c:axId val="77125137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3891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43</c:v>
                </c:pt>
                <c:pt idx="1">
                  <c:v>41</c:v>
                </c:pt>
                <c:pt idx="2">
                  <c:v>32</c:v>
                </c:pt>
                <c:pt idx="3">
                  <c:v>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849551"/>
        <c:axId val="621923857"/>
      </c:lineChart>
      <c:catAx>
        <c:axId val="517849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21923857"/>
        <c:crosses val="autoZero"/>
        <c:auto val="1"/>
        <c:lblAlgn val="ctr"/>
        <c:lblOffset val="100"/>
        <c:noMultiLvlLbl val="0"/>
      </c:catAx>
      <c:valAx>
        <c:axId val="62192385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7849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应变!$J$19:$J$24</c:f>
              <c:numCache>
                <c:formatCode>0_ </c:formatCode>
                <c:ptCount val="6"/>
                <c:pt idx="0">
                  <c:v>67</c:v>
                </c:pt>
                <c:pt idx="1">
                  <c:v>81</c:v>
                </c:pt>
                <c:pt idx="2">
                  <c:v>87</c:v>
                </c:pt>
                <c:pt idx="3">
                  <c:v>90</c:v>
                </c:pt>
                <c:pt idx="4">
                  <c:v>87</c:v>
                </c:pt>
                <c:pt idx="5">
                  <c:v>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应变!$B$19:$B$24</c:f>
              <c:strCache>
                <c:ptCount val="6"/>
                <c:pt idx="0" c:formatCode="0.00">
                  <c:v>A-5</c:v>
                </c:pt>
                <c:pt idx="1" c:formatCode="0.00">
                  <c:v>A-6</c:v>
                </c:pt>
                <c:pt idx="2" c:formatCode="0.00">
                  <c:v>A-7</c:v>
                </c:pt>
                <c:pt idx="3" c:formatCode="0.00">
                  <c:v>A-8</c:v>
                </c:pt>
                <c:pt idx="4" c:formatCode="0.00">
                  <c:v>A-9</c:v>
                </c:pt>
                <c:pt idx="5" c:formatCode="0.00">
                  <c:v>A-10</c:v>
                </c:pt>
              </c:strCache>
            </c:strRef>
          </c:cat>
          <c:val>
            <c:numRef>
              <c:f>应变!$AB$19:$AB$24</c:f>
              <c:numCache>
                <c:formatCode>0_ </c:formatCode>
                <c:ptCount val="6"/>
                <c:pt idx="0">
                  <c:v>32</c:v>
                </c:pt>
                <c:pt idx="1">
                  <c:v>29</c:v>
                </c:pt>
                <c:pt idx="2">
                  <c:v>35</c:v>
                </c:pt>
                <c:pt idx="3">
                  <c:v>45</c:v>
                </c:pt>
                <c:pt idx="4">
                  <c:v>41</c:v>
                </c:pt>
                <c:pt idx="5">
                  <c:v>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873537"/>
        <c:axId val="927479909"/>
      </c:lineChart>
      <c:catAx>
        <c:axId val="81187353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7479909"/>
        <c:crosses val="autoZero"/>
        <c:auto val="1"/>
        <c:lblAlgn val="ctr"/>
        <c:lblOffset val="100"/>
        <c:noMultiLvlLbl val="0"/>
      </c:catAx>
      <c:valAx>
        <c:axId val="92747990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81187353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_ ">
                  <c:v>A-1</c:v>
                </c:pt>
                <c:pt idx="1" c:formatCode="0.00_ ">
                  <c:v>A-2</c:v>
                </c:pt>
                <c:pt idx="2" c:formatCode="0.00_ ">
                  <c:v>A-3</c:v>
                </c:pt>
                <c:pt idx="3" c:formatCode="0.00_ ">
                  <c:v>A-4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2.07</c:v>
                </c:pt>
                <c:pt idx="1">
                  <c:v>1.91</c:v>
                </c:pt>
                <c:pt idx="2">
                  <c:v>1.7</c:v>
                </c:pt>
                <c:pt idx="3">
                  <c:v>0.41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CheckBox" val="0"/>
</file>

<file path=xl/ctrlProps/ctrlProp16.xml><?xml version="1.0" encoding="utf-8"?>
<formControlPr xmlns="http://schemas.microsoft.com/office/spreadsheetml/2009/9/main" objectType="CheckBox" val="0"/>
</file>

<file path=xl/ctrlProps/ctrlProp17.xml><?xml version="1.0" encoding="utf-8"?>
<formControlPr xmlns="http://schemas.microsoft.com/office/spreadsheetml/2009/9/main" objectType="CheckBox" val="0"/>
</file>

<file path=xl/ctrlProps/ctrlProp18.xml><?xml version="1.0" encoding="utf-8"?>
<formControlPr xmlns="http://schemas.microsoft.com/office/spreadsheetml/2009/9/main" objectType="CheckBox" val="0"/>
</file>

<file path=xl/ctrlProps/ctrlProp19.xml><?xml version="1.0" encoding="utf-8"?>
<formControlPr xmlns="http://schemas.microsoft.com/office/spreadsheetml/2009/9/main" objectType="CheckBox" val="0"/>
</file>

<file path=xl/ctrlProps/ctrlProp20.xml><?xml version="1.0" encoding="utf-8"?>
<formControlPr xmlns="http://schemas.microsoft.com/office/spreadsheetml/2009/9/main" objectType="CheckBox" val="0"/>
</file>

<file path=xl/ctrlProps/ctrlProp21.xml><?xml version="1.0" encoding="utf-8"?>
<formControlPr xmlns="http://schemas.microsoft.com/office/spreadsheetml/2009/9/main" objectType="CheckBox" val="0"/>
</file>

<file path=xl/ctrlProps/ctrlProp22.xml><?xml version="1.0" encoding="utf-8"?>
<formControlPr xmlns="http://schemas.microsoft.com/office/spreadsheetml/2009/9/main" objectType="CheckBox" val="0"/>
</file>

<file path=xl/ctrlProps/ctrlProp23.xml><?xml version="1.0" encoding="utf-8"?>
<formControlPr xmlns="http://schemas.microsoft.com/office/spreadsheetml/2009/9/main" objectType="CheckBox" val="0"/>
</file>

<file path=xl/ctrlProps/ctrlProp24.xml><?xml version="1.0" encoding="utf-8"?>
<formControlPr xmlns="http://schemas.microsoft.com/office/spreadsheetml/2009/9/main" objectType="CheckBox" val="0"/>
</file>

<file path=xl/ctrlProps/ctrlProp25.xml><?xml version="1.0" encoding="utf-8"?>
<formControlPr xmlns="http://schemas.microsoft.com/office/spreadsheetml/2009/9/main" objectType="CheckBox" val="0"/>
</file>

<file path=xl/ctrlProps/ctrlProp26.xml><?xml version="1.0" encoding="utf-8"?>
<formControlPr xmlns="http://schemas.microsoft.com/office/spreadsheetml/2009/9/main" objectType="CheckBox" val="0"/>
</file>

<file path=xl/ctrlProps/ctrlProp27.xml><?xml version="1.0" encoding="utf-8"?>
<formControlPr xmlns="http://schemas.microsoft.com/office/spreadsheetml/2009/9/main" objectType="CheckBox" val="0"/>
</file>

<file path=xl/ctrlProps/ctrlProp28.xml><?xml version="1.0" encoding="utf-8"?>
<formControlPr xmlns="http://schemas.microsoft.com/office/spreadsheetml/2009/9/main" objectType="CheckBox" val="0"/>
</file>

<file path=xl/ctrlProps/ctrlProp29.xml><?xml version="1.0" encoding="utf-8"?>
<formControlPr xmlns="http://schemas.microsoft.com/office/spreadsheetml/2009/9/main" objectType="CheckBox" val="0"/>
</file>

<file path=xl/ctrlProps/ctrlProp30.xml><?xml version="1.0" encoding="utf-8"?>
<formControlPr xmlns="http://schemas.microsoft.com/office/spreadsheetml/2009/9/main" objectType="CheckBox" checked="Checked" val="0"/>
</file>

<file path=xl/ctrlProps/ctrlProp31.xml><?xml version="1.0" encoding="utf-8"?>
<formControlPr xmlns="http://schemas.microsoft.com/office/spreadsheetml/2009/9/main" objectType="CheckBox" checked="Checked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val="0"/>
</file>

<file path=xl/ctrlProps/ctrlProp34.xml><?xml version="1.0" encoding="utf-8"?>
<formControlPr xmlns="http://schemas.microsoft.com/office/spreadsheetml/2009/9/main" objectType="CheckBox" val="0"/>
</file>

<file path=xl/ctrlProps/ctrlProp35.xml><?xml version="1.0" encoding="utf-8"?>
<formControlPr xmlns="http://schemas.microsoft.com/office/spreadsheetml/2009/9/main" objectType="CheckBox" checked="Checked" val="0"/>
</file>

<file path=xl/ctrlProps/ctrlProp36.xml><?xml version="1.0" encoding="utf-8"?>
<formControlPr xmlns="http://schemas.microsoft.com/office/spreadsheetml/2009/9/main" objectType="CheckBox" val="0"/>
</file>

<file path=xl/ctrlProps/ctrlProp37.xml><?xml version="1.0" encoding="utf-8"?>
<formControlPr xmlns="http://schemas.microsoft.com/office/spreadsheetml/2009/9/main" objectType="CheckBox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CheckBox" val="0"/>
</file>

<file path=xl/ctrlProps/ctrlProp40.xml><?xml version="1.0" encoding="utf-8"?>
<formControlPr xmlns="http://schemas.microsoft.com/office/spreadsheetml/2009/9/main" objectType="CheckBox" val="0"/>
</file>

<file path=xl/ctrlProps/ctrlProp41.xml><?xml version="1.0" encoding="utf-8"?>
<formControlPr xmlns="http://schemas.microsoft.com/office/spreadsheetml/2009/9/main" objectType="CheckBox" val="0"/>
</file>

<file path=xl/ctrlProps/ctrlProp42.xml><?xml version="1.0" encoding="utf-8"?>
<formControlPr xmlns="http://schemas.microsoft.com/office/spreadsheetml/2009/9/main" objectType="CheckBox" val="0"/>
</file>

<file path=xl/ctrlProps/ctrlProp43.xml><?xml version="1.0" encoding="utf-8"?>
<formControlPr xmlns="http://schemas.microsoft.com/office/spreadsheetml/2009/9/main" objectType="CheckBox" val="0"/>
</file>

<file path=xl/ctrlProps/ctrlProp44.xml><?xml version="1.0" encoding="utf-8"?>
<formControlPr xmlns="http://schemas.microsoft.com/office/spreadsheetml/2009/9/main" objectType="CheckBox" val="0"/>
</file>

<file path=xl/ctrlProps/ctrlProp45.xml><?xml version="1.0" encoding="utf-8"?>
<formControlPr xmlns="http://schemas.microsoft.com/office/spreadsheetml/2009/9/main" objectType="CheckBox" val="0"/>
</file>

<file path=xl/ctrlProps/ctrlProp46.xml><?xml version="1.0" encoding="utf-8"?>
<formControlPr xmlns="http://schemas.microsoft.com/office/spreadsheetml/2009/9/main" objectType="CheckBox" val="0"/>
</file>

<file path=xl/ctrlProps/ctrlProp47.xml><?xml version="1.0" encoding="utf-8"?>
<formControlPr xmlns="http://schemas.microsoft.com/office/spreadsheetml/2009/9/main" objectType="CheckBox" val="0"/>
</file>

<file path=xl/ctrlProps/ctrlProp48.xml><?xml version="1.0" encoding="utf-8"?>
<formControlPr xmlns="http://schemas.microsoft.com/office/spreadsheetml/2009/9/main" objectType="CheckBox" val="0"/>
</file>

<file path=xl/ctrlProps/ctrlProp49.xml><?xml version="1.0" encoding="utf-8"?>
<formControlPr xmlns="http://schemas.microsoft.com/office/spreadsheetml/2009/9/main" objectType="CheckBox" val="0"/>
</file>

<file path=xl/ctrlProps/ctrlProp50.xml><?xml version="1.0" encoding="utf-8"?>
<formControlPr xmlns="http://schemas.microsoft.com/office/spreadsheetml/2009/9/main" objectType="CheckBox" checked="Checked" val="0"/>
</file>

<file path=xl/ctrlProps/ctrlProp51.xml><?xml version="1.0" encoding="utf-8"?>
<formControlPr xmlns="http://schemas.microsoft.com/office/spreadsheetml/2009/9/main" objectType="CheckBox" checked="Checked" val="0"/>
</file>

<file path=xl/ctrlProps/ctrlProp52.xml><?xml version="1.0" encoding="utf-8"?>
<formControlPr xmlns="http://schemas.microsoft.com/office/spreadsheetml/2009/9/main" objectType="CheckBox" checked="Checked" val="0"/>
</file>

<file path=xl/ctrlProps/ctrlProp53.xml><?xml version="1.0" encoding="utf-8"?>
<formControlPr xmlns="http://schemas.microsoft.com/office/spreadsheetml/2009/9/main" objectType="CheckBox" checked="Checked" val="0"/>
</file>

<file path=xl/ctrlProps/ctrlProp54.xml><?xml version="1.0" encoding="utf-8"?>
<formControlPr xmlns="http://schemas.microsoft.com/office/spreadsheetml/2009/9/main" objectType="CheckBox" checked="Checked" val="0"/>
</file>

<file path=xl/ctrlProps/ctrlProp55.xml><?xml version="1.0" encoding="utf-8"?>
<formControlPr xmlns="http://schemas.microsoft.com/office/spreadsheetml/2009/9/main" objectType="CheckBox" checked="Checked" val="0"/>
</file>

<file path=xl/ctrlProps/ctrlProp56.xml><?xml version="1.0" encoding="utf-8"?>
<formControlPr xmlns="http://schemas.microsoft.com/office/spreadsheetml/2009/9/main" objectType="CheckBox" checked="Checked" val="0"/>
</file>

<file path=xl/ctrlProps/ctrlProp57.xml><?xml version="1.0" encoding="utf-8"?>
<formControlPr xmlns="http://schemas.microsoft.com/office/spreadsheetml/2009/9/main" objectType="CheckBox" checked="Checked" val="0"/>
</file>

<file path=xl/ctrlProps/ctrlProp58.xml><?xml version="1.0" encoding="utf-8"?>
<formControlPr xmlns="http://schemas.microsoft.com/office/spreadsheetml/2009/9/main" objectType="CheckBox" checked="Checked" val="0"/>
</file>

<file path=xl/ctrlProps/ctrlProp59.xml><?xml version="1.0" encoding="utf-8"?>
<formControlPr xmlns="http://schemas.microsoft.com/office/spreadsheetml/2009/9/main" objectType="CheckBox" checked="Checked" val="0"/>
</file>

<file path=xl/ctrlProps/ctrlProp60.xml><?xml version="1.0" encoding="utf-8"?>
<formControlPr xmlns="http://schemas.microsoft.com/office/spreadsheetml/2009/9/main" objectType="CheckBox" checked="Checked" val="0"/>
</file>

<file path=xl/ctrlProps/ctrlProp61.xml><?xml version="1.0" encoding="utf-8"?>
<formControlPr xmlns="http://schemas.microsoft.com/office/spreadsheetml/2009/9/main" objectType="CheckBox" checked="Checked" val="0"/>
</file>

<file path=xl/ctrlProps/ctrlProp62.xml><?xml version="1.0" encoding="utf-8"?>
<formControlPr xmlns="http://schemas.microsoft.com/office/spreadsheetml/2009/9/main" objectType="CheckBox" checked="Checked" val="0"/>
</file>

<file path=xl/ctrlProps/ctrlProp63.xml><?xml version="1.0" encoding="utf-8"?>
<formControlPr xmlns="http://schemas.microsoft.com/office/spreadsheetml/2009/9/main" objectType="CheckBox" checked="Checked" val="0"/>
</file>

<file path=xl/ctrlProps/ctrlProp64.xml><?xml version="1.0" encoding="utf-8"?>
<formControlPr xmlns="http://schemas.microsoft.com/office/spreadsheetml/2009/9/main" objectType="CheckBox" val="0"/>
</file>

<file path=xl/ctrlProps/ctrlProp65.xml><?xml version="1.0" encoding="utf-8"?>
<formControlPr xmlns="http://schemas.microsoft.com/office/spreadsheetml/2009/9/main" objectType="CheckBox" val="0"/>
</file>

<file path=xl/ctrlProps/ctrlProp66.xml><?xml version="1.0" encoding="utf-8"?>
<formControlPr xmlns="http://schemas.microsoft.com/office/spreadsheetml/2009/9/main" objectType="CheckBox" val="0"/>
</file>

<file path=xl/ctrlProps/ctrlProp67.xml><?xml version="1.0" encoding="utf-8"?>
<formControlPr xmlns="http://schemas.microsoft.com/office/spreadsheetml/2009/9/main" objectType="CheckBox" val="0"/>
</file>

<file path=xl/ctrlProps/ctrlProp68.xml><?xml version="1.0" encoding="utf-8"?>
<formControlPr xmlns="http://schemas.microsoft.com/office/spreadsheetml/2009/9/main" objectType="CheckBox" val="0"/>
</file>

<file path=xl/ctrlProps/ctrlProp69.xml><?xml version="1.0" encoding="utf-8"?>
<formControlPr xmlns="http://schemas.microsoft.com/office/spreadsheetml/2009/9/main" objectType="CheckBox" val="0"/>
</file>

<file path=xl/ctrlProps/ctrlProp70.xml><?xml version="1.0" encoding="utf-8"?>
<formControlPr xmlns="http://schemas.microsoft.com/office/spreadsheetml/2009/9/main" objectType="CheckBox" val="0"/>
</file>

<file path=xl/ctrlProps/ctrlProp71.xml><?xml version="1.0" encoding="utf-8"?>
<formControlPr xmlns="http://schemas.microsoft.com/office/spreadsheetml/2009/9/main" objectType="CheckBox" val="0"/>
</file>

<file path=xl/ctrlProps/ctrlProp72.xml><?xml version="1.0" encoding="utf-8"?>
<formControlPr xmlns="http://schemas.microsoft.com/office/spreadsheetml/2009/9/main" objectType="CheckBox" val="0"/>
</file>

<file path=xl/ctrlProps/ctrlProp73.xml><?xml version="1.0" encoding="utf-8"?>
<formControlPr xmlns="http://schemas.microsoft.com/office/spreadsheetml/2009/9/main" objectType="CheckBox" val="0"/>
</file>

<file path=xl/ctrlProps/ctrlProp74.xml><?xml version="1.0" encoding="utf-8"?>
<formControlPr xmlns="http://schemas.microsoft.com/office/spreadsheetml/2009/9/main" objectType="CheckBox" val="0"/>
</file>

<file path=xl/ctrlProps/ctrlProp75.xml><?xml version="1.0" encoding="utf-8"?>
<formControlPr xmlns="http://schemas.microsoft.com/office/spreadsheetml/2009/9/main" objectType="CheckBox" val="0"/>
</file>

<file path=xl/ctrlProps/ctrlProp76.xml><?xml version="1.0" encoding="utf-8"?>
<formControlPr xmlns="http://schemas.microsoft.com/office/spreadsheetml/2009/9/main" objectType="CheckBox" val="0"/>
</file>

<file path=xl/ctrlProps/ctrlProp77.xml><?xml version="1.0" encoding="utf-8"?>
<formControlPr xmlns="http://schemas.microsoft.com/office/spreadsheetml/2009/9/main" objectType="CheckBox" val="0"/>
</file>

<file path=xl/ctrlProps/ctrlProp78.xml><?xml version="1.0" encoding="utf-8"?>
<formControlPr xmlns="http://schemas.microsoft.com/office/spreadsheetml/2009/9/main" objectType="CheckBox" val="0"/>
</file>

<file path=xl/ctrlProps/ctrlProp79.xml><?xml version="1.0" encoding="utf-8"?>
<formControlPr xmlns="http://schemas.microsoft.com/office/spreadsheetml/2009/9/main" objectType="CheckBox" val="0"/>
</file>

<file path=xl/ctrlProps/ctrlProp80.xml><?xml version="1.0" encoding="utf-8"?>
<formControlPr xmlns="http://schemas.microsoft.com/office/spreadsheetml/2009/9/main" objectType="CheckBox" val="0"/>
</file>

<file path=xl/ctrlProps/ctrlProp81.xml><?xml version="1.0" encoding="utf-8"?>
<formControlPr xmlns="http://schemas.microsoft.com/office/spreadsheetml/2009/9/main" objectType="Button" val="0"/>
</file>

<file path=xl/ctrlProps/ctrlProp82.xml><?xml version="1.0" encoding="utf-8"?>
<formControlPr xmlns="http://schemas.microsoft.com/office/spreadsheetml/2009/9/main" objectType="Button" val="0"/>
</file>

<file path=xl/ctrlProps/ctrlProp83.xml><?xml version="1.0" encoding="utf-8"?>
<formControlPr xmlns="http://schemas.microsoft.com/office/spreadsheetml/2009/9/main" objectType="Button" val="0"/>
</file>

<file path=xl/ctrlProps/ctrlProp84.xml><?xml version="1.0" encoding="utf-8"?>
<formControlPr xmlns="http://schemas.microsoft.com/office/spreadsheetml/2009/9/main" objectType="Button" val="0"/>
</file>

<file path=xl/ctrlProps/ctrlProp85.xml><?xml version="1.0" encoding="utf-8"?>
<formControlPr xmlns="http://schemas.microsoft.com/office/spreadsheetml/2009/9/main" objectType="Button" val="0"/>
</file>

<file path=xl/ctrlProps/ctrlProp86.xml><?xml version="1.0" encoding="utf-8"?>
<formControlPr xmlns="http://schemas.microsoft.com/office/spreadsheetml/2009/9/main" objectType="GBox" noThreeD="1" val="0"/>
</file>

<file path=xl/ctrlProps/ctrlProp87.xml><?xml version="1.0" encoding="utf-8"?>
<formControlPr xmlns="http://schemas.microsoft.com/office/spreadsheetml/2009/9/main" objectType="Button" val="0"/>
</file>

<file path=xl/ctrlProps/ctrlProp88.xml><?xml version="1.0" encoding="utf-8"?>
<formControlPr xmlns="http://schemas.microsoft.com/office/spreadsheetml/2009/9/main" objectType="Button" val="0"/>
</file>

<file path=xl/ctrlProps/ctrlProp89.xml><?xml version="1.0" encoding="utf-8"?>
<formControlPr xmlns="http://schemas.microsoft.com/office/spreadsheetml/2009/9/main" objectType="Button" val="0"/>
</file>

<file path=xl/ctrlProps/ctrlProp90.xml><?xml version="1.0" encoding="utf-8"?>
<formControlPr xmlns="http://schemas.microsoft.com/office/spreadsheetml/2009/9/main" objectType="Button" val="0"/>
</file>

<file path=xl/ctrlProps/ctrlProp91.xml><?xml version="1.0" encoding="utf-8"?>
<formControlPr xmlns="http://schemas.microsoft.com/office/spreadsheetml/2009/9/main" objectType="Button" val="0"/>
</file>

<file path=xl/ctrlProps/ctrlProp92.xml><?xml version="1.0" encoding="utf-8"?>
<formControlPr xmlns="http://schemas.microsoft.com/office/spreadsheetml/2009/9/main" objectType="GBox" noThreeD="1" val="0"/>
</file>

<file path=xl/ctrlProps/ctrlProp93.xml><?xml version="1.0" encoding="utf-8"?>
<formControlPr xmlns="http://schemas.microsoft.com/office/spreadsheetml/2009/9/main" objectType="Button" val="0"/>
</file>

<file path=xl/ctrlProps/ctrlProp94.xml><?xml version="1.0" encoding="utf-8"?>
<formControlPr xmlns="http://schemas.microsoft.com/office/spreadsheetml/2009/9/main" objectType="Button" val="0"/>
</file>

<file path=xl/ctrlProps/ctrlProp95.xml><?xml version="1.0" encoding="utf-8"?>
<formControlPr xmlns="http://schemas.microsoft.com/office/spreadsheetml/2009/9/main" objectType="Button" val="0"/>
</file>

<file path=xl/ctrlProps/ctrlProp96.xml><?xml version="1.0" encoding="utf-8"?>
<formControlPr xmlns="http://schemas.microsoft.com/office/spreadsheetml/2009/9/main" objectType="Button" val="0"/>
</file>

<file path=xl/ctrlProps/ctrlProp97.xml><?xml version="1.0" encoding="utf-8"?>
<formControlPr xmlns="http://schemas.microsoft.com/office/spreadsheetml/2009/9/main" objectType="Button" val="0"/>
</file>

<file path=xl/ctrlProps/ctrlProp98.xml><?xml version="1.0" encoding="utf-8"?>
<formControlPr xmlns="http://schemas.microsoft.com/office/spreadsheetml/2009/9/main" objectType="Button" val="0"/>
</file>

<file path=xl/ctrlProps/ctrlProp99.xml><?xml version="1.0" encoding="utf-8"?>
<formControlPr xmlns="http://schemas.microsoft.com/office/spreadsheetml/2009/9/main" objectType="CheckBox" checked="Checked" val="0"/>
</file>

<file path=xl/ctrlProps/ctrlProp100.xml><?xml version="1.0" encoding="utf-8"?>
<formControlPr xmlns="http://schemas.microsoft.com/office/spreadsheetml/2009/9/main" objectType="GBox" val="0"/>
</file>

<file path=xl/ctrlProps/ctrlProp101.xml><?xml version="1.0" encoding="utf-8"?>
<formControlPr xmlns="http://schemas.microsoft.com/office/spreadsheetml/2009/9/main" objectType="GBox" val="0"/>
</file>

<file path=xl/ctrlProps/ctrlProp102.xml><?xml version="1.0" encoding="utf-8"?>
<formControlPr xmlns="http://schemas.microsoft.com/office/spreadsheetml/2009/9/main" objectType="Button" val="0"/>
</file>

<file path=xl/ctrlProps/ctrlProp103.xml><?xml version="1.0" encoding="utf-8"?>
<formControlPr xmlns="http://schemas.microsoft.com/office/spreadsheetml/2009/9/main" objectType="Button" val="0"/>
</file>

<file path=xl/ctrlProps/ctrlProp104.xml><?xml version="1.0" encoding="utf-8"?>
<formControlPr xmlns="http://schemas.microsoft.com/office/spreadsheetml/2009/9/main" objectType="CheckBox" checked="Checked" val="0"/>
</file>

<file path=xl/ctrlProps/ctrlProp105.xml><?xml version="1.0" encoding="utf-8"?>
<formControlPr xmlns="http://schemas.microsoft.com/office/spreadsheetml/2009/9/main" objectType="Button" val="0"/>
</file>

<file path=xl/ctrlProps/ctrlProp106.xml><?xml version="1.0" encoding="utf-8"?>
<formControlPr xmlns="http://schemas.microsoft.com/office/spreadsheetml/2009/9/main" objectType="Button" val="0"/>
</file>

<file path=xl/ctrlProps/ctrlProp107.xml><?xml version="1.0" encoding="utf-8"?>
<formControlPr xmlns="http://schemas.microsoft.com/office/spreadsheetml/2009/9/main" objectType="Button" val="0"/>
</file>

<file path=xl/ctrlProps/ctrlProp108.xml><?xml version="1.0" encoding="utf-8"?>
<formControlPr xmlns="http://schemas.microsoft.com/office/spreadsheetml/2009/9/main" objectType="Button" val="0"/>
</file>

<file path=xl/ctrlProps/ctrlProp109.xml><?xml version="1.0" encoding="utf-8"?>
<formControlPr xmlns="http://schemas.microsoft.com/office/spreadsheetml/2009/9/main" objectType="Button" val="0"/>
</file>

<file path=xl/ctrlProps/ctrlProp110.xml><?xml version="1.0" encoding="utf-8"?>
<formControlPr xmlns="http://schemas.microsoft.com/office/spreadsheetml/2009/9/main" objectType="Button" val="0"/>
</file>

<file path=xl/ctrlProps/ctrlProp111.xml><?xml version="1.0" encoding="utf-8"?>
<formControlPr xmlns="http://schemas.microsoft.com/office/spreadsheetml/2009/9/main" objectType="Button" val="0"/>
</file>

<file path=xl/ctrlProps/ctrlProp112.xml><?xml version="1.0" encoding="utf-8"?>
<formControlPr xmlns="http://schemas.microsoft.com/office/spreadsheetml/2009/9/main" objectType="Button" val="0"/>
</file>

<file path=xl/ctrlProps/ctrlProp113.xml><?xml version="1.0" encoding="utf-8"?>
<formControlPr xmlns="http://schemas.microsoft.com/office/spreadsheetml/2009/9/main" objectType="Button" val="0"/>
</file>

<file path=xl/ctrlProps/ctrlProp114.xml><?xml version="1.0" encoding="utf-8"?>
<formControlPr xmlns="http://schemas.microsoft.com/office/spreadsheetml/2009/9/main" objectType="Button" val="0"/>
</file>

<file path=xl/ctrlProps/ctrlProp115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png"/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5.png"/><Relationship Id="rId4" Type="http://schemas.openxmlformats.org/officeDocument/2006/relationships/chart" Target="../charts/chart8.xml"/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v4.0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8</xdr:col>
      <xdr:colOff>514350</xdr:colOff>
      <xdr:row>31</xdr:row>
      <xdr:rowOff>123825</xdr:rowOff>
    </xdr:from>
    <xdr:to>
      <xdr:col>12</xdr:col>
      <xdr:colOff>1028065</xdr:colOff>
      <xdr:row>36</xdr:row>
      <xdr:rowOff>133350</xdr:rowOff>
    </xdr:to>
    <xdr:sp>
      <xdr:nvSpPr>
        <xdr:cNvPr id="2" name="文本框 1"/>
        <xdr:cNvSpPr txBox="1"/>
      </xdr:nvSpPr>
      <xdr:spPr>
        <a:xfrm>
          <a:off x="6858000" y="5467350"/>
          <a:ext cx="3847465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en-US" altLang="zh-CN" sz="1100"/>
            <a:t>1</a:t>
          </a:r>
          <a:r>
            <a:rPr lang="zh-CN" altLang="en-US" sz="1100"/>
            <a:t>、若特征字符串相同则必须填特征型号以进行区分；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、可手动修改排序以修改搜索列表中各个仪器出现的顺序；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、搜索结果的仪器校准有效期至均晚于临界校准日期；</a:t>
          </a:r>
          <a:endParaRPr lang="zh-CN" altLang="en-US" sz="1100"/>
        </a:p>
        <a:p>
          <a:pPr algn="l"/>
          <a:endParaRPr lang="zh-CN" altLang="en-US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33</xdr:row>
          <xdr:rowOff>114300</xdr:rowOff>
        </xdr:from>
        <xdr:to>
          <xdr:col>6</xdr:col>
          <xdr:colOff>323850</xdr:colOff>
          <xdr:row>35</xdr:row>
          <xdr:rowOff>9525</xdr:rowOff>
        </xdr:to>
        <xdr:sp macro="[0]!ListAvailableInstrument">
          <xdr:nvSpPr>
            <xdr:cNvPr id="23563" name="Button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>
            <a:xfrm>
              <a:off x="3400425" y="5800725"/>
              <a:ext cx="1438275" cy="2381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搜索可用仪器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257810</xdr:colOff>
          <xdr:row>36</xdr:row>
          <xdr:rowOff>9525</xdr:rowOff>
        </xdr:from>
        <xdr:to>
          <xdr:col>6</xdr:col>
          <xdr:colOff>286385</xdr:colOff>
          <xdr:row>37</xdr:row>
          <xdr:rowOff>104775</xdr:rowOff>
        </xdr:to>
        <xdr:sp macro="[0]!ClearInstrumentList">
          <xdr:nvSpPr>
            <xdr:cNvPr id="23564" name="Button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>
            <a:xfrm>
              <a:off x="3401060" y="6210300"/>
              <a:ext cx="1400175" cy="2667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手动清空列表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3</xdr:row>
          <xdr:rowOff>85725</xdr:rowOff>
        </xdr:from>
        <xdr:to>
          <xdr:col>21</xdr:col>
          <xdr:colOff>618490</xdr:colOff>
          <xdr:row>5</xdr:row>
          <xdr:rowOff>27940</xdr:rowOff>
        </xdr:to>
        <xdr:sp macro="[0]!GetSelectedInstrument">
          <xdr:nvSpPr>
            <xdr:cNvPr id="23694" name="Button 142" hidden="1">
              <a:extLst>
                <a:ext uri="{63B3BB69-23CF-44E3-9099-C40C66FF867C}">
                  <a14:compatExt spid="_x0000_s23694"/>
                </a:ext>
              </a:extLst>
            </xdr:cNvPr>
            <xdr:cNvSpPr/>
          </xdr:nvSpPr>
          <xdr:spPr>
            <a:xfrm>
              <a:off x="20469225" y="600075"/>
              <a:ext cx="1199515" cy="28511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选择勾选仪器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39</xdr:row>
          <xdr:rowOff>64135</xdr:rowOff>
        </xdr:from>
        <xdr:to>
          <xdr:col>3</xdr:col>
          <xdr:colOff>542925</xdr:colOff>
          <xdr:row>40</xdr:row>
          <xdr:rowOff>116205</xdr:rowOff>
        </xdr:to>
        <xdr:sp>
          <xdr:nvSpPr>
            <xdr:cNvPr id="24099" name="Check Box 20" hidden="1">
              <a:extLst>
                <a:ext uri="{63B3BB69-23CF-44E3-9099-C40C66FF867C}">
                  <a14:compatExt spid="_x0000_s24099"/>
                </a:ext>
              </a:extLst>
            </xdr:cNvPr>
            <xdr:cNvSpPr/>
          </xdr:nvSpPr>
          <xdr:spPr>
            <a:xfrm>
              <a:off x="1961515" y="6779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全站仪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37</xdr:row>
          <xdr:rowOff>92710</xdr:rowOff>
        </xdr:from>
        <xdr:to>
          <xdr:col>4</xdr:col>
          <xdr:colOff>645160</xdr:colOff>
          <xdr:row>38</xdr:row>
          <xdr:rowOff>144780</xdr:rowOff>
        </xdr:to>
        <xdr:sp>
          <xdr:nvSpPr>
            <xdr:cNvPr id="24111" name="Check Box 19" hidden="1">
              <a:extLst>
                <a:ext uri="{63B3BB69-23CF-44E3-9099-C40C66FF867C}">
                  <a14:compatExt spid="_x0000_s24111"/>
                </a:ext>
              </a:extLst>
            </xdr:cNvPr>
            <xdr:cNvSpPr/>
          </xdr:nvSpPr>
          <xdr:spPr>
            <a:xfrm>
              <a:off x="1961515" y="64649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混凝土电阻率仪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35</xdr:row>
          <xdr:rowOff>92710</xdr:rowOff>
        </xdr:from>
        <xdr:to>
          <xdr:col>4</xdr:col>
          <xdr:colOff>645160</xdr:colOff>
          <xdr:row>36</xdr:row>
          <xdr:rowOff>144780</xdr:rowOff>
        </xdr:to>
        <xdr:sp>
          <xdr:nvSpPr>
            <xdr:cNvPr id="24110" name="Check Box 18" hidden="1">
              <a:extLst>
                <a:ext uri="{63B3BB69-23CF-44E3-9099-C40C66FF867C}">
                  <a14:compatExt spid="_x0000_s24110"/>
                </a:ext>
              </a:extLst>
            </xdr:cNvPr>
            <xdr:cNvSpPr/>
          </xdr:nvSpPr>
          <xdr:spPr>
            <a:xfrm>
              <a:off x="1961515" y="61220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贯入式砂浆强度检测仪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33</xdr:row>
          <xdr:rowOff>92710</xdr:rowOff>
        </xdr:from>
        <xdr:to>
          <xdr:col>4</xdr:col>
          <xdr:colOff>645160</xdr:colOff>
          <xdr:row>34</xdr:row>
          <xdr:rowOff>144780</xdr:rowOff>
        </xdr:to>
        <xdr:sp>
          <xdr:nvSpPr>
            <xdr:cNvPr id="24109" name="Check Box 17" hidden="1">
              <a:extLst>
                <a:ext uri="{63B3BB69-23CF-44E3-9099-C40C66FF867C}">
                  <a14:compatExt spid="_x0000_s24109"/>
                </a:ext>
              </a:extLst>
            </xdr:cNvPr>
            <xdr:cNvSpPr/>
          </xdr:nvSpPr>
          <xdr:spPr>
            <a:xfrm>
              <a:off x="1961515" y="57791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钢筋锈蚀仪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206375</xdr:colOff>
          <xdr:row>31</xdr:row>
          <xdr:rowOff>73025</xdr:rowOff>
        </xdr:from>
        <xdr:to>
          <xdr:col>3</xdr:col>
          <xdr:colOff>520700</xdr:colOff>
          <xdr:row>32</xdr:row>
          <xdr:rowOff>115570</xdr:rowOff>
        </xdr:to>
        <xdr:sp>
          <xdr:nvSpPr>
            <xdr:cNvPr id="23557" name="Check Box 16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978025" y="541655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29</xdr:row>
          <xdr:rowOff>41910</xdr:rowOff>
        </xdr:from>
        <xdr:to>
          <xdr:col>4</xdr:col>
          <xdr:colOff>645160</xdr:colOff>
          <xdr:row>30</xdr:row>
          <xdr:rowOff>93980</xdr:rowOff>
        </xdr:to>
        <xdr:sp>
          <xdr:nvSpPr>
            <xdr:cNvPr id="24108" name="Check Box 15" hidden="1">
              <a:extLst>
                <a:ext uri="{63B3BB69-23CF-44E3-9099-C40C66FF867C}">
                  <a14:compatExt spid="_x0000_s24108"/>
                </a:ext>
              </a:extLst>
            </xdr:cNvPr>
            <xdr:cNvSpPr/>
          </xdr:nvSpPr>
          <xdr:spPr>
            <a:xfrm>
              <a:off x="1961515" y="5042535"/>
              <a:ext cx="182689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钢筋扫描仪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189865</xdr:colOff>
          <xdr:row>27</xdr:row>
          <xdr:rowOff>41910</xdr:rowOff>
        </xdr:from>
        <xdr:to>
          <xdr:col>3</xdr:col>
          <xdr:colOff>92710</xdr:colOff>
          <xdr:row>28</xdr:row>
          <xdr:rowOff>93980</xdr:rowOff>
        </xdr:to>
        <xdr:sp>
          <xdr:nvSpPr>
            <xdr:cNvPr id="24107" name="Check Box 14" hidden="1">
              <a:extLst>
                <a:ext uri="{63B3BB69-23CF-44E3-9099-C40C66FF867C}">
                  <a14:compatExt spid="_x0000_s24107"/>
                </a:ext>
              </a:extLst>
            </xdr:cNvPr>
            <xdr:cNvSpPr/>
          </xdr:nvSpPr>
          <xdr:spPr>
            <a:xfrm>
              <a:off x="1961515" y="4699635"/>
              <a:ext cx="58864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回弹仪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</xdr:colOff>
          <xdr:row>25</xdr:row>
          <xdr:rowOff>41910</xdr:rowOff>
        </xdr:from>
        <xdr:to>
          <xdr:col>4</xdr:col>
          <xdr:colOff>233680</xdr:colOff>
          <xdr:row>26</xdr:row>
          <xdr:rowOff>65405</xdr:rowOff>
        </xdr:to>
        <xdr:sp>
          <xdr:nvSpPr>
            <xdr:cNvPr id="24104" name="Check Box 13" hidden="1">
              <a:extLst>
                <a:ext uri="{63B3BB69-23CF-44E3-9099-C40C66FF867C}">
                  <a14:compatExt spid="_x0000_s24104"/>
                </a:ext>
              </a:extLst>
            </xdr:cNvPr>
            <xdr:cNvSpPr/>
          </xdr:nvSpPr>
          <xdr:spPr>
            <a:xfrm>
              <a:off x="1948815" y="4328160"/>
              <a:ext cx="14281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180340</xdr:colOff>
          <xdr:row>23</xdr:row>
          <xdr:rowOff>60960</xdr:rowOff>
        </xdr:from>
        <xdr:to>
          <xdr:col>4</xdr:col>
          <xdr:colOff>427990</xdr:colOff>
          <xdr:row>24</xdr:row>
          <xdr:rowOff>113030</xdr:rowOff>
        </xdr:to>
        <xdr:sp>
          <xdr:nvSpPr>
            <xdr:cNvPr id="24112" name="Check Box 12" hidden="1">
              <a:extLst>
                <a:ext uri="{63B3BB69-23CF-44E3-9099-C40C66FF867C}">
                  <a14:compatExt spid="_x0000_s24112"/>
                </a:ext>
              </a:extLst>
            </xdr:cNvPr>
            <xdr:cNvSpPr/>
          </xdr:nvSpPr>
          <xdr:spPr>
            <a:xfrm>
              <a:off x="1951990" y="4004310"/>
              <a:ext cx="161925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动态信号采集及分析系统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21</xdr:row>
          <xdr:rowOff>54610</xdr:rowOff>
        </xdr:from>
        <xdr:to>
          <xdr:col>4</xdr:col>
          <xdr:colOff>640080</xdr:colOff>
          <xdr:row>22</xdr:row>
          <xdr:rowOff>106680</xdr:rowOff>
        </xdr:to>
        <xdr:sp>
          <xdr:nvSpPr>
            <xdr:cNvPr id="24103" name="Check Box 11" hidden="1">
              <a:extLst>
                <a:ext uri="{63B3BB69-23CF-44E3-9099-C40C66FF867C}">
                  <a14:compatExt spid="_x0000_s24103"/>
                </a:ext>
              </a:extLst>
            </xdr:cNvPr>
            <xdr:cNvSpPr/>
          </xdr:nvSpPr>
          <xdr:spPr>
            <a:xfrm>
              <a:off x="1936115" y="3655060"/>
              <a:ext cx="184721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无线遥测动态应变测试分析系统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165100</xdr:colOff>
          <xdr:row>19</xdr:row>
          <xdr:rowOff>57150</xdr:rowOff>
        </xdr:from>
        <xdr:to>
          <xdr:col>5</xdr:col>
          <xdr:colOff>640715</xdr:colOff>
          <xdr:row>20</xdr:row>
          <xdr:rowOff>99695</xdr:rowOff>
        </xdr:to>
        <xdr:sp>
          <xdr:nvSpPr>
            <xdr:cNvPr id="23558" name="Check Box 10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936750" y="3314700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17</xdr:row>
          <xdr:rowOff>67310</xdr:rowOff>
        </xdr:from>
        <xdr:to>
          <xdr:col>4</xdr:col>
          <xdr:colOff>147320</xdr:colOff>
          <xdr:row>18</xdr:row>
          <xdr:rowOff>119380</xdr:rowOff>
        </xdr:to>
        <xdr:sp>
          <xdr:nvSpPr>
            <xdr:cNvPr id="24102" name="Check Box 9" hidden="1">
              <a:extLst>
                <a:ext uri="{63B3BB69-23CF-44E3-9099-C40C66FF867C}">
                  <a14:compatExt spid="_x0000_s24102"/>
                </a:ext>
              </a:extLst>
            </xdr:cNvPr>
            <xdr:cNvSpPr/>
          </xdr:nvSpPr>
          <xdr:spPr>
            <a:xfrm>
              <a:off x="1936115" y="2981960"/>
              <a:ext cx="1354455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桥梁实验模态测试系统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15</xdr:row>
          <xdr:rowOff>67310</xdr:rowOff>
        </xdr:from>
        <xdr:to>
          <xdr:col>5</xdr:col>
          <xdr:colOff>106045</xdr:colOff>
          <xdr:row>16</xdr:row>
          <xdr:rowOff>119380</xdr:rowOff>
        </xdr:to>
        <xdr:sp>
          <xdr:nvSpPr>
            <xdr:cNvPr id="24105" name="Check Box 8" hidden="1">
              <a:extLst>
                <a:ext uri="{63B3BB69-23CF-44E3-9099-C40C66FF867C}">
                  <a14:compatExt spid="_x0000_s24105"/>
                </a:ext>
              </a:extLst>
            </xdr:cNvPr>
            <xdr:cNvSpPr/>
          </xdr:nvSpPr>
          <xdr:spPr>
            <a:xfrm>
              <a:off x="1936115" y="2639060"/>
              <a:ext cx="199898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无线遥测静态应变测试分析系统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13</xdr:row>
          <xdr:rowOff>54610</xdr:rowOff>
        </xdr:from>
        <xdr:to>
          <xdr:col>3</xdr:col>
          <xdr:colOff>504825</xdr:colOff>
          <xdr:row>14</xdr:row>
          <xdr:rowOff>106680</xdr:rowOff>
        </xdr:to>
        <xdr:sp>
          <xdr:nvSpPr>
            <xdr:cNvPr id="24101" name="Check Box 7" hidden="1">
              <a:extLst>
                <a:ext uri="{63B3BB69-23CF-44E3-9099-C40C66FF867C}">
                  <a14:compatExt spid="_x0000_s24101"/>
                </a:ext>
              </a:extLst>
            </xdr:cNvPr>
            <xdr:cNvSpPr/>
          </xdr:nvSpPr>
          <xdr:spPr>
            <a:xfrm>
              <a:off x="1923415" y="22834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振弦式读数仪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  <a:p>
              <a:pPr algn="l" rtl="0"/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923415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933575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7</xdr:row>
          <xdr:rowOff>45085</xdr:rowOff>
        </xdr:from>
        <xdr:to>
          <xdr:col>3</xdr:col>
          <xdr:colOff>504825</xdr:colOff>
          <xdr:row>8</xdr:row>
          <xdr:rowOff>97155</xdr:rowOff>
        </xdr:to>
        <xdr:sp>
          <xdr:nvSpPr>
            <xdr:cNvPr id="24098" name="Check Box 4" hidden="1">
              <a:extLst>
                <a:ext uri="{63B3BB69-23CF-44E3-9099-C40C66FF867C}">
                  <a14:compatExt spid="_x0000_s24098"/>
                </a:ext>
              </a:extLst>
            </xdr:cNvPr>
            <xdr:cNvSpPr/>
          </xdr:nvSpPr>
          <xdr:spPr>
            <a:xfrm>
              <a:off x="1923415" y="1245235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水准仪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5</xdr:row>
          <xdr:rowOff>63500</xdr:rowOff>
        </xdr:from>
        <xdr:to>
          <xdr:col>4</xdr:col>
          <xdr:colOff>552450</xdr:colOff>
          <xdr:row>6</xdr:row>
          <xdr:rowOff>106045</xdr:rowOff>
        </xdr:to>
        <xdr:sp>
          <xdr:nvSpPr>
            <xdr:cNvPr id="23562" name="Check Box 3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914525" y="9207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3</xdr:row>
          <xdr:rowOff>60325</xdr:rowOff>
        </xdr:from>
        <xdr:to>
          <xdr:col>4</xdr:col>
          <xdr:colOff>558800</xdr:colOff>
          <xdr:row>4</xdr:row>
          <xdr:rowOff>102870</xdr:rowOff>
        </xdr:to>
        <xdr:sp>
          <xdr:nvSpPr>
            <xdr:cNvPr id="23561" name="Check Box 2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920875" y="574675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164465</xdr:colOff>
          <xdr:row>1</xdr:row>
          <xdr:rowOff>67310</xdr:rowOff>
        </xdr:from>
        <xdr:to>
          <xdr:col>3</xdr:col>
          <xdr:colOff>517525</xdr:colOff>
          <xdr:row>2</xdr:row>
          <xdr:rowOff>119380</xdr:rowOff>
        </xdr:to>
        <xdr:sp>
          <xdr:nvSpPr>
            <xdr:cNvPr id="24100" name="Check Box 1" hidden="1">
              <a:extLst>
                <a:ext uri="{63B3BB69-23CF-44E3-9099-C40C66FF867C}">
                  <a14:compatExt spid="_x0000_s24100"/>
                </a:ext>
              </a:extLst>
            </xdr:cNvPr>
            <xdr:cNvSpPr/>
          </xdr:nvSpPr>
          <xdr:spPr>
            <a:xfrm>
              <a:off x="1936115" y="2387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皮尺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6</xdr:row>
          <xdr:rowOff>9525</xdr:rowOff>
        </xdr:from>
        <xdr:to>
          <xdr:col>22</xdr:col>
          <xdr:colOff>18415</xdr:colOff>
          <xdr:row>7</xdr:row>
          <xdr:rowOff>113665</xdr:rowOff>
        </xdr:to>
        <xdr:sp macro="[0]!ClearSelectedInstrumentList">
          <xdr:nvSpPr>
            <xdr:cNvPr id="24121" name="Button 569" hidden="1">
              <a:extLst>
                <a:ext uri="{63B3BB69-23CF-44E3-9099-C40C66FF867C}">
                  <a14:compatExt spid="_x0000_s24121"/>
                </a:ext>
              </a:extLst>
            </xdr:cNvPr>
            <xdr:cNvSpPr/>
          </xdr:nvSpPr>
          <xdr:spPr>
            <a:xfrm>
              <a:off x="20478750" y="1038225"/>
              <a:ext cx="1275715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手动清空已选仪器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41</xdr:row>
          <xdr:rowOff>38100</xdr:rowOff>
        </xdr:from>
        <xdr:to>
          <xdr:col>3</xdr:col>
          <xdr:colOff>555625</xdr:colOff>
          <xdr:row>42</xdr:row>
          <xdr:rowOff>90805</xdr:rowOff>
        </xdr:to>
        <xdr:sp>
          <xdr:nvSpPr>
            <xdr:cNvPr id="24122" name="Check Box 21" hidden="1">
              <a:extLst>
                <a:ext uri="{63B3BB69-23CF-44E3-9099-C40C66FF867C}">
                  <a14:compatExt spid="_x0000_s24122"/>
                </a:ext>
              </a:extLst>
            </xdr:cNvPr>
            <xdr:cNvSpPr/>
          </xdr:nvSpPr>
          <xdr:spPr>
            <a:xfrm>
              <a:off x="1974215" y="70961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自定义仪器1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43</xdr:row>
          <xdr:rowOff>50800</xdr:rowOff>
        </xdr:from>
        <xdr:to>
          <xdr:col>3</xdr:col>
          <xdr:colOff>555625</xdr:colOff>
          <xdr:row>44</xdr:row>
          <xdr:rowOff>103505</xdr:rowOff>
        </xdr:to>
        <xdr:sp>
          <xdr:nvSpPr>
            <xdr:cNvPr id="24123" name="Check Box 22" hidden="1">
              <a:extLst>
                <a:ext uri="{63B3BB69-23CF-44E3-9099-C40C66FF867C}">
                  <a14:compatExt spid="_x0000_s24123"/>
                </a:ext>
              </a:extLst>
            </xdr:cNvPr>
            <xdr:cNvSpPr/>
          </xdr:nvSpPr>
          <xdr:spPr>
            <a:xfrm>
              <a:off x="1974215" y="74517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自定义仪器2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202565</xdr:colOff>
          <xdr:row>45</xdr:row>
          <xdr:rowOff>50800</xdr:rowOff>
        </xdr:from>
        <xdr:to>
          <xdr:col>3</xdr:col>
          <xdr:colOff>555625</xdr:colOff>
          <xdr:row>46</xdr:row>
          <xdr:rowOff>103505</xdr:rowOff>
        </xdr:to>
        <xdr:sp>
          <xdr:nvSpPr>
            <xdr:cNvPr id="24124" name="Check Box 23" hidden="1">
              <a:extLst>
                <a:ext uri="{63B3BB69-23CF-44E3-9099-C40C66FF867C}">
                  <a14:compatExt spid="_x0000_s24124"/>
                </a:ext>
              </a:extLst>
            </xdr:cNvPr>
            <xdr:cNvSpPr/>
          </xdr:nvSpPr>
          <xdr:spPr>
            <a:xfrm>
              <a:off x="1974215" y="77946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自定义仪器3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215265</xdr:colOff>
          <xdr:row>47</xdr:row>
          <xdr:rowOff>50800</xdr:rowOff>
        </xdr:from>
        <xdr:to>
          <xdr:col>3</xdr:col>
          <xdr:colOff>568325</xdr:colOff>
          <xdr:row>48</xdr:row>
          <xdr:rowOff>103505</xdr:rowOff>
        </xdr:to>
        <xdr:sp>
          <xdr:nvSpPr>
            <xdr:cNvPr id="24125" name="Check Box 24" hidden="1">
              <a:extLst>
                <a:ext uri="{63B3BB69-23CF-44E3-9099-C40C66FF867C}">
                  <a14:compatExt spid="_x0000_s24125"/>
                </a:ext>
              </a:extLst>
            </xdr:cNvPr>
            <xdr:cNvSpPr/>
          </xdr:nvSpPr>
          <xdr:spPr>
            <a:xfrm>
              <a:off x="1986915" y="81375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自定义仪器4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227965</xdr:colOff>
          <xdr:row>49</xdr:row>
          <xdr:rowOff>50800</xdr:rowOff>
        </xdr:from>
        <xdr:to>
          <xdr:col>3</xdr:col>
          <xdr:colOff>581025</xdr:colOff>
          <xdr:row>50</xdr:row>
          <xdr:rowOff>103505</xdr:rowOff>
        </xdr:to>
        <xdr:sp>
          <xdr:nvSpPr>
            <xdr:cNvPr id="24126" name="Check Box 25" hidden="1">
              <a:extLst>
                <a:ext uri="{63B3BB69-23CF-44E3-9099-C40C66FF867C}">
                  <a14:compatExt spid="_x0000_s24126"/>
                </a:ext>
              </a:extLst>
            </xdr:cNvPr>
            <xdr:cNvSpPr/>
          </xdr:nvSpPr>
          <xdr:spPr>
            <a:xfrm>
              <a:off x="1999615" y="8480425"/>
              <a:ext cx="1038860" cy="22415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自定义仪器5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38</xdr:row>
          <xdr:rowOff>57150</xdr:rowOff>
        </xdr:from>
        <xdr:to>
          <xdr:col>6</xdr:col>
          <xdr:colOff>294640</xdr:colOff>
          <xdr:row>40</xdr:row>
          <xdr:rowOff>18415</xdr:rowOff>
        </xdr:to>
        <xdr:sp macro="[0]!OpenUpgradeInstrumentDbHelp">
          <xdr:nvSpPr>
            <xdr:cNvPr id="24433" name="Button 881" hidden="1">
              <a:extLst>
                <a:ext uri="{63B3BB69-23CF-44E3-9099-C40C66FF867C}">
                  <a14:compatExt spid="_x0000_s24433"/>
                </a:ext>
              </a:extLst>
            </xdr:cNvPr>
            <xdr:cNvSpPr/>
          </xdr:nvSpPr>
          <xdr:spPr>
            <a:xfrm>
              <a:off x="3409950" y="6600825"/>
              <a:ext cx="1399540" cy="30416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如何更新数据库？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25" name="Check Box 973" hidden="1">
              <a:extLst>
                <a:ext uri="{63B3BB69-23CF-44E3-9099-C40C66FF867C}">
                  <a14:compatExt spid="_x0000_s2452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26" name="Check Box 974" hidden="1">
              <a:extLst>
                <a:ext uri="{63B3BB69-23CF-44E3-9099-C40C66FF867C}">
                  <a14:compatExt spid="_x0000_s2452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27" name="Check Box 975" hidden="1">
              <a:extLst>
                <a:ext uri="{63B3BB69-23CF-44E3-9099-C40C66FF867C}">
                  <a14:compatExt spid="_x0000_s2452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28" name="Check Box 976" hidden="1">
              <a:extLst>
                <a:ext uri="{63B3BB69-23CF-44E3-9099-C40C66FF867C}">
                  <a14:compatExt spid="_x0000_s2452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29" name="Check Box 977" hidden="1">
              <a:extLst>
                <a:ext uri="{63B3BB69-23CF-44E3-9099-C40C66FF867C}">
                  <a14:compatExt spid="_x0000_s2452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30" name="Check Box 978" hidden="1">
              <a:extLst>
                <a:ext uri="{63B3BB69-23CF-44E3-9099-C40C66FF867C}">
                  <a14:compatExt spid="_x0000_s2453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31" name="Check Box 979" hidden="1">
              <a:extLst>
                <a:ext uri="{63B3BB69-23CF-44E3-9099-C40C66FF867C}">
                  <a14:compatExt spid="_x0000_s2453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32" name="Check Box 980" hidden="1">
              <a:extLst>
                <a:ext uri="{63B3BB69-23CF-44E3-9099-C40C66FF867C}">
                  <a14:compatExt spid="_x0000_s2453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3" name="Check Box 981" hidden="1">
              <a:extLst>
                <a:ext uri="{63B3BB69-23CF-44E3-9099-C40C66FF867C}">
                  <a14:compatExt spid="_x0000_s24533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4" name="Check Box 982" hidden="1">
              <a:extLst>
                <a:ext uri="{63B3BB69-23CF-44E3-9099-C40C66FF867C}">
                  <a14:compatExt spid="_x0000_s2453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35" name="Check Box 983" hidden="1">
              <a:extLst>
                <a:ext uri="{63B3BB69-23CF-44E3-9099-C40C66FF867C}">
                  <a14:compatExt spid="_x0000_s24535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36" name="Check Box 984" hidden="1">
              <a:extLst>
                <a:ext uri="{63B3BB69-23CF-44E3-9099-C40C66FF867C}">
                  <a14:compatExt spid="_x0000_s24536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37" name="Check Box 985" hidden="1">
              <a:extLst>
                <a:ext uri="{63B3BB69-23CF-44E3-9099-C40C66FF867C}">
                  <a14:compatExt spid="_x0000_s24537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38" name="Check Box 986" hidden="1">
              <a:extLst>
                <a:ext uri="{63B3BB69-23CF-44E3-9099-C40C66FF867C}">
                  <a14:compatExt spid="_x0000_s24538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39" name="Check Box 987" hidden="1">
              <a:extLst>
                <a:ext uri="{63B3BB69-23CF-44E3-9099-C40C66FF867C}">
                  <a14:compatExt spid="_x0000_s24539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40" name="Check Box 988" hidden="1">
              <a:extLst>
                <a:ext uri="{63B3BB69-23CF-44E3-9099-C40C66FF867C}">
                  <a14:compatExt spid="_x0000_s24540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41" name="Check Box 989" hidden="1">
              <a:extLst>
                <a:ext uri="{63B3BB69-23CF-44E3-9099-C40C66FF867C}">
                  <a14:compatExt spid="_x0000_s24541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42" name="Check Box 990" hidden="1">
              <a:extLst>
                <a:ext uri="{63B3BB69-23CF-44E3-9099-C40C66FF867C}">
                  <a14:compatExt spid="_x0000_s24542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43" name="Check Box 991" hidden="1">
              <a:extLst>
                <a:ext uri="{63B3BB69-23CF-44E3-9099-C40C66FF867C}">
                  <a14:compatExt spid="_x0000_s24543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0</xdr:rowOff>
        </xdr:from>
        <xdr:to>
          <xdr:col>20</xdr:col>
          <xdr:colOff>0</xdr:colOff>
          <xdr:row>11</xdr:row>
          <xdr:rowOff>0</xdr:rowOff>
        </xdr:to>
        <xdr:sp>
          <xdr:nvSpPr>
            <xdr:cNvPr id="24544" name="Check Box 992" hidden="1">
              <a:extLst>
                <a:ext uri="{63B3BB69-23CF-44E3-9099-C40C66FF867C}">
                  <a14:compatExt spid="_x0000_s24544"/>
                </a:ext>
              </a:extLst>
            </xdr:cNvPr>
            <xdr:cNvSpPr/>
          </xdr:nvSpPr>
          <xdr:spPr>
            <a:xfrm>
              <a:off x="19678650" y="17145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20</xdr:col>
          <xdr:colOff>0</xdr:colOff>
          <xdr:row>12</xdr:row>
          <xdr:rowOff>0</xdr:rowOff>
        </xdr:to>
        <xdr:sp>
          <xdr:nvSpPr>
            <xdr:cNvPr id="24545" name="Check Box 993" hidden="1">
              <a:extLst>
                <a:ext uri="{63B3BB69-23CF-44E3-9099-C40C66FF867C}">
                  <a14:compatExt spid="_x0000_s24545"/>
                </a:ext>
              </a:extLst>
            </xdr:cNvPr>
            <xdr:cNvSpPr/>
          </xdr:nvSpPr>
          <xdr:spPr>
            <a:xfrm>
              <a:off x="19678650" y="18859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0</xdr:rowOff>
        </xdr:from>
        <xdr:to>
          <xdr:col>20</xdr:col>
          <xdr:colOff>0</xdr:colOff>
          <xdr:row>13</xdr:row>
          <xdr:rowOff>0</xdr:rowOff>
        </xdr:to>
        <xdr:sp>
          <xdr:nvSpPr>
            <xdr:cNvPr id="24546" name="Check Box 994" hidden="1">
              <a:extLst>
                <a:ext uri="{63B3BB69-23CF-44E3-9099-C40C66FF867C}">
                  <a14:compatExt spid="_x0000_s24546"/>
                </a:ext>
              </a:extLst>
            </xdr:cNvPr>
            <xdr:cNvSpPr/>
          </xdr:nvSpPr>
          <xdr:spPr>
            <a:xfrm>
              <a:off x="19678650" y="20574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0</xdr:rowOff>
        </xdr:from>
        <xdr:to>
          <xdr:col>20</xdr:col>
          <xdr:colOff>0</xdr:colOff>
          <xdr:row>14</xdr:row>
          <xdr:rowOff>0</xdr:rowOff>
        </xdr:to>
        <xdr:sp>
          <xdr:nvSpPr>
            <xdr:cNvPr id="24547" name="Check Box 995" hidden="1">
              <a:extLst>
                <a:ext uri="{63B3BB69-23CF-44E3-9099-C40C66FF867C}">
                  <a14:compatExt spid="_x0000_s24547"/>
                </a:ext>
              </a:extLst>
            </xdr:cNvPr>
            <xdr:cNvSpPr/>
          </xdr:nvSpPr>
          <xdr:spPr>
            <a:xfrm>
              <a:off x="19678650" y="22288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20</xdr:col>
          <xdr:colOff>0</xdr:colOff>
          <xdr:row>15</xdr:row>
          <xdr:rowOff>0</xdr:rowOff>
        </xdr:to>
        <xdr:sp>
          <xdr:nvSpPr>
            <xdr:cNvPr id="24548" name="Check Box 996" hidden="1">
              <a:extLst>
                <a:ext uri="{63B3BB69-23CF-44E3-9099-C40C66FF867C}">
                  <a14:compatExt spid="_x0000_s24548"/>
                </a:ext>
              </a:extLst>
            </xdr:cNvPr>
            <xdr:cNvSpPr/>
          </xdr:nvSpPr>
          <xdr:spPr>
            <a:xfrm>
              <a:off x="19678650" y="24003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0</xdr:rowOff>
        </xdr:from>
        <xdr:to>
          <xdr:col>20</xdr:col>
          <xdr:colOff>0</xdr:colOff>
          <xdr:row>16</xdr:row>
          <xdr:rowOff>0</xdr:rowOff>
        </xdr:to>
        <xdr:sp>
          <xdr:nvSpPr>
            <xdr:cNvPr id="24549" name="Check Box 997" hidden="1">
              <a:extLst>
                <a:ext uri="{63B3BB69-23CF-44E3-9099-C40C66FF867C}">
                  <a14:compatExt spid="_x0000_s24549"/>
                </a:ext>
              </a:extLst>
            </xdr:cNvPr>
            <xdr:cNvSpPr/>
          </xdr:nvSpPr>
          <xdr:spPr>
            <a:xfrm>
              <a:off x="19678650" y="25717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0</xdr:rowOff>
        </xdr:from>
        <xdr:to>
          <xdr:col>20</xdr:col>
          <xdr:colOff>0</xdr:colOff>
          <xdr:row>17</xdr:row>
          <xdr:rowOff>0</xdr:rowOff>
        </xdr:to>
        <xdr:sp>
          <xdr:nvSpPr>
            <xdr:cNvPr id="24550" name="Check Box 998" hidden="1">
              <a:extLst>
                <a:ext uri="{63B3BB69-23CF-44E3-9099-C40C66FF867C}">
                  <a14:compatExt spid="_x0000_s24550"/>
                </a:ext>
              </a:extLst>
            </xdr:cNvPr>
            <xdr:cNvSpPr/>
          </xdr:nvSpPr>
          <xdr:spPr>
            <a:xfrm>
              <a:off x="19678650" y="27432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51" name="Check Box 999" hidden="1">
              <a:extLst>
                <a:ext uri="{63B3BB69-23CF-44E3-9099-C40C66FF867C}">
                  <a14:compatExt spid="_x0000_s24551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52" name="Check Box 1000" hidden="1">
              <a:extLst>
                <a:ext uri="{63B3BB69-23CF-44E3-9099-C40C66FF867C}">
                  <a14:compatExt spid="_x0000_s24552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53" name="Check Box 1001" hidden="1">
              <a:extLst>
                <a:ext uri="{63B3BB69-23CF-44E3-9099-C40C66FF867C}">
                  <a14:compatExt spid="_x0000_s24553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54" name="Check Box 1002" hidden="1">
              <a:extLst>
                <a:ext uri="{63B3BB69-23CF-44E3-9099-C40C66FF867C}">
                  <a14:compatExt spid="_x0000_s24554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0</xdr:colOff>
          <xdr:row>6</xdr:row>
          <xdr:rowOff>0</xdr:rowOff>
        </xdr:to>
        <xdr:sp>
          <xdr:nvSpPr>
            <xdr:cNvPr id="24555" name="Check Box 1003" hidden="1">
              <a:extLst>
                <a:ext uri="{63B3BB69-23CF-44E3-9099-C40C66FF867C}">
                  <a14:compatExt spid="_x0000_s24555"/>
                </a:ext>
              </a:extLst>
            </xdr:cNvPr>
            <xdr:cNvSpPr/>
          </xdr:nvSpPr>
          <xdr:spPr>
            <a:xfrm>
              <a:off x="19678650" y="8572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20</xdr:col>
          <xdr:colOff>0</xdr:colOff>
          <xdr:row>7</xdr:row>
          <xdr:rowOff>0</xdr:rowOff>
        </xdr:to>
        <xdr:sp>
          <xdr:nvSpPr>
            <xdr:cNvPr id="24556" name="Check Box 1004" hidden="1">
              <a:extLst>
                <a:ext uri="{63B3BB69-23CF-44E3-9099-C40C66FF867C}">
                  <a14:compatExt spid="_x0000_s24556"/>
                </a:ext>
              </a:extLst>
            </xdr:cNvPr>
            <xdr:cNvSpPr/>
          </xdr:nvSpPr>
          <xdr:spPr>
            <a:xfrm>
              <a:off x="19678650" y="10287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0</xdr:rowOff>
        </xdr:from>
        <xdr:to>
          <xdr:col>20</xdr:col>
          <xdr:colOff>0</xdr:colOff>
          <xdr:row>8</xdr:row>
          <xdr:rowOff>0</xdr:rowOff>
        </xdr:to>
        <xdr:sp>
          <xdr:nvSpPr>
            <xdr:cNvPr id="24557" name="Check Box 1005" hidden="1">
              <a:extLst>
                <a:ext uri="{63B3BB69-23CF-44E3-9099-C40C66FF867C}">
                  <a14:compatExt spid="_x0000_s24557"/>
                </a:ext>
              </a:extLst>
            </xdr:cNvPr>
            <xdr:cNvSpPr/>
          </xdr:nvSpPr>
          <xdr:spPr>
            <a:xfrm>
              <a:off x="19678650" y="12001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20</xdr:col>
          <xdr:colOff>0</xdr:colOff>
          <xdr:row>9</xdr:row>
          <xdr:rowOff>0</xdr:rowOff>
        </xdr:to>
        <xdr:sp>
          <xdr:nvSpPr>
            <xdr:cNvPr id="24558" name="Check Box 1006" hidden="1">
              <a:extLst>
                <a:ext uri="{63B3BB69-23CF-44E3-9099-C40C66FF867C}">
                  <a14:compatExt spid="_x0000_s24558"/>
                </a:ext>
              </a:extLst>
            </xdr:cNvPr>
            <xdr:cNvSpPr/>
          </xdr:nvSpPr>
          <xdr:spPr>
            <a:xfrm>
              <a:off x="19678650" y="13716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>
          <xdr:nvSpPr>
            <xdr:cNvPr id="24559" name="Check Box 1007" hidden="1">
              <a:extLst>
                <a:ext uri="{63B3BB69-23CF-44E3-9099-C40C66FF867C}">
                  <a14:compatExt spid="_x0000_s24559"/>
                </a:ext>
              </a:extLst>
            </xdr:cNvPr>
            <xdr:cNvSpPr/>
          </xdr:nvSpPr>
          <xdr:spPr>
            <a:xfrm>
              <a:off x="19678650" y="15430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0" name="Check Box 1008" hidden="1">
              <a:extLst>
                <a:ext uri="{63B3BB69-23CF-44E3-9099-C40C66FF867C}">
                  <a14:compatExt spid="_x0000_s24560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1" name="Check Box 1009" hidden="1">
              <a:extLst>
                <a:ext uri="{63B3BB69-23CF-44E3-9099-C40C66FF867C}">
                  <a14:compatExt spid="_x0000_s24561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2" name="Check Box 1010" hidden="1">
              <a:extLst>
                <a:ext uri="{63B3BB69-23CF-44E3-9099-C40C66FF867C}">
                  <a14:compatExt spid="_x0000_s24562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sp>
          <xdr:nvSpPr>
            <xdr:cNvPr id="24563" name="Check Box 1011" hidden="1">
              <a:extLst>
                <a:ext uri="{63B3BB69-23CF-44E3-9099-C40C66FF867C}">
                  <a14:compatExt spid="_x0000_s24563"/>
                </a:ext>
              </a:extLst>
            </xdr:cNvPr>
            <xdr:cNvSpPr/>
          </xdr:nvSpPr>
          <xdr:spPr>
            <a:xfrm>
              <a:off x="19678650" y="6858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>
          <xdr:nvSpPr>
            <xdr:cNvPr id="24564" name="Check Box 1012" hidden="1">
              <a:extLst>
                <a:ext uri="{63B3BB69-23CF-44E3-9099-C40C66FF867C}">
                  <a14:compatExt spid="_x0000_s24564"/>
                </a:ext>
              </a:extLst>
            </xdr:cNvPr>
            <xdr:cNvSpPr/>
          </xdr:nvSpPr>
          <xdr:spPr>
            <a:xfrm>
              <a:off x="19678650" y="1714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3</xdr:row>
          <xdr:rowOff>0</xdr:rowOff>
        </xdr:to>
        <xdr:sp>
          <xdr:nvSpPr>
            <xdr:cNvPr id="24565" name="Check Box 1013" hidden="1">
              <a:extLst>
                <a:ext uri="{63B3BB69-23CF-44E3-9099-C40C66FF867C}">
                  <a14:compatExt spid="_x0000_s24565"/>
                </a:ext>
              </a:extLst>
            </xdr:cNvPr>
            <xdr:cNvSpPr/>
          </xdr:nvSpPr>
          <xdr:spPr>
            <a:xfrm>
              <a:off x="19678650" y="34290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</xdr:row>
          <xdr:rowOff>0</xdr:rowOff>
        </xdr:from>
        <xdr:to>
          <xdr:col>20</xdr:col>
          <xdr:colOff>0</xdr:colOff>
          <xdr:row>4</xdr:row>
          <xdr:rowOff>0</xdr:rowOff>
        </xdr:to>
        <xdr:sp>
          <xdr:nvSpPr>
            <xdr:cNvPr id="24566" name="Check Box 1014" hidden="1">
              <a:extLst>
                <a:ext uri="{63B3BB69-23CF-44E3-9099-C40C66FF867C}">
                  <a14:compatExt spid="_x0000_s24566"/>
                </a:ext>
              </a:extLst>
            </xdr:cNvPr>
            <xdr:cNvSpPr/>
          </xdr:nvSpPr>
          <xdr:spPr>
            <a:xfrm>
              <a:off x="19678650" y="514350"/>
              <a:ext cx="685800" cy="171450"/>
            </a:xfrm>
            <a:prstGeom prst="rect">
              <a:avLst/>
            </a:prstGeom>
          </xdr:spPr>
          <xdr:txBody>
            <a:bodyPr anchor="ctr" upright="1"/>
            <a:p>
              <a:pPr algn="l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选择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15</xdr:col>
      <xdr:colOff>208915</xdr:colOff>
      <xdr:row>33</xdr:row>
      <xdr:rowOff>123825</xdr:rowOff>
    </xdr:from>
    <xdr:to>
      <xdr:col>20</xdr:col>
      <xdr:colOff>533400</xdr:colOff>
      <xdr:row>43</xdr:row>
      <xdr:rowOff>0</xdr:rowOff>
    </xdr:to>
    <xdr:sp>
      <xdr:nvSpPr>
        <xdr:cNvPr id="6" name="文本框 5"/>
        <xdr:cNvSpPr txBox="1"/>
      </xdr:nvSpPr>
      <xdr:spPr>
        <a:xfrm>
          <a:off x="10714990" y="641032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25</xdr:col>
      <xdr:colOff>95250</xdr:colOff>
      <xdr:row>4</xdr:row>
      <xdr:rowOff>161925</xdr:rowOff>
    </xdr:from>
    <xdr:to>
      <xdr:col>31</xdr:col>
      <xdr:colOff>685165</xdr:colOff>
      <xdr:row>31</xdr:row>
      <xdr:rowOff>135255</xdr:rowOff>
    </xdr:to>
    <xdr:pic>
      <xdr:nvPicPr>
        <xdr:cNvPr id="12" name="图片 11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7487900" y="847725"/>
          <a:ext cx="4733290" cy="517398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25</xdr:col>
      <xdr:colOff>133350</xdr:colOff>
      <xdr:row>33</xdr:row>
      <xdr:rowOff>47625</xdr:rowOff>
    </xdr:from>
    <xdr:to>
      <xdr:col>32</xdr:col>
      <xdr:colOff>86995</xdr:colOff>
      <xdr:row>56</xdr:row>
      <xdr:rowOff>152400</xdr:rowOff>
    </xdr:to>
    <xdr:pic>
      <xdr:nvPicPr>
        <xdr:cNvPr id="13" name="图片 1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526000" y="6334125"/>
          <a:ext cx="4782820" cy="47053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22225</xdr:rowOff>
    </xdr:to>
    <xdr:graphicFrame>
      <xdr:nvGraphicFramePr>
        <xdr:cNvPr id="4" name="图表 3"/>
        <xdr:cNvGraphicFramePr/>
      </xdr:nvGraphicFramePr>
      <xdr:xfrm>
        <a:off x="508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13</xdr:col>
      <xdr:colOff>390525</xdr:colOff>
      <xdr:row>41</xdr:row>
      <xdr:rowOff>114300</xdr:rowOff>
    </xdr:to>
    <xdr:graphicFrame>
      <xdr:nvGraphicFramePr>
        <xdr:cNvPr id="5" name="图表 4"/>
        <xdr:cNvGraphicFramePr/>
      </xdr:nvGraphicFramePr>
      <xdr:xfrm>
        <a:off x="508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972550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810625" y="4095750"/>
          <a:ext cx="3876675" cy="1228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896350" y="5324475"/>
          <a:ext cx="3876675" cy="2019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620625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35</xdr:col>
      <xdr:colOff>228600</xdr:colOff>
      <xdr:row>6</xdr:row>
      <xdr:rowOff>28575</xdr:rowOff>
    </xdr:from>
    <xdr:to>
      <xdr:col>42</xdr:col>
      <xdr:colOff>276225</xdr:colOff>
      <xdr:row>30</xdr:row>
      <xdr:rowOff>136525</xdr:rowOff>
    </xdr:to>
    <xdr:pic>
      <xdr:nvPicPr>
        <xdr:cNvPr id="26" name="图片 2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24955500" y="1057275"/>
          <a:ext cx="4848225" cy="47085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35</xdr:col>
      <xdr:colOff>267335</xdr:colOff>
      <xdr:row>32</xdr:row>
      <xdr:rowOff>180975</xdr:rowOff>
    </xdr:from>
    <xdr:to>
      <xdr:col>42</xdr:col>
      <xdr:colOff>276860</xdr:colOff>
      <xdr:row>61</xdr:row>
      <xdr:rowOff>38100</xdr:rowOff>
    </xdr:to>
    <xdr:pic>
      <xdr:nvPicPr>
        <xdr:cNvPr id="28" name="图片 27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994235" y="6210300"/>
          <a:ext cx="4810125" cy="505777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520700</xdr:colOff>
      <xdr:row>11</xdr:row>
      <xdr:rowOff>19050</xdr:rowOff>
    </xdr:from>
    <xdr:to>
      <xdr:col>20</xdr:col>
      <xdr:colOff>165100</xdr:colOff>
      <xdr:row>25</xdr:row>
      <xdr:rowOff>79375</xdr:rowOff>
    </xdr:to>
    <xdr:graphicFrame>
      <xdr:nvGraphicFramePr>
        <xdr:cNvPr id="2" name="图表 1"/>
        <xdr:cNvGraphicFramePr/>
      </xdr:nvGraphicFramePr>
      <xdr:xfrm>
        <a:off x="10160000" y="1905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520700</xdr:colOff>
      <xdr:row>27</xdr:row>
      <xdr:rowOff>187325</xdr:rowOff>
    </xdr:from>
    <xdr:to>
      <xdr:col>20</xdr:col>
      <xdr:colOff>165100</xdr:colOff>
      <xdr:row>42</xdr:row>
      <xdr:rowOff>28575</xdr:rowOff>
    </xdr:to>
    <xdr:graphicFrame>
      <xdr:nvGraphicFramePr>
        <xdr:cNvPr id="5" name="图表 4"/>
        <xdr:cNvGraphicFramePr/>
      </xdr:nvGraphicFramePr>
      <xdr:xfrm>
        <a:off x="10160000" y="5207000"/>
        <a:ext cx="4445000" cy="2794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”，“桥梁静动载试验报告模板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”，“桥梁静动载试验计算书模板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>
              <a:effectLst/>
              <a:sym typeface="+mn-ea"/>
            </a:rPr>
            <a:t>6</a:t>
          </a:r>
          <a:r>
            <a:rPr lang="zh-CN" altLang="en-US">
              <a:effectLst/>
              <a:sym typeface="+mn-ea"/>
            </a:rPr>
            <a:t>、若对自动生成的排版不满意，可将需要部分拷贝到自己的模板中</a:t>
          </a:r>
          <a:r>
            <a:rPr lang="zh-CN" altLang="zh-CN">
              <a:effectLst/>
              <a:sym typeface="+mn-ea"/>
            </a:rPr>
            <a:t>。</a:t>
          </a:r>
          <a:endParaRPr lang="zh-CN" altLang="zh-CN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323850</xdr:colOff>
      <xdr:row>21</xdr:row>
      <xdr:rowOff>123825</xdr:rowOff>
    </xdr:from>
    <xdr:to>
      <xdr:col>7</xdr:col>
      <xdr:colOff>409575</xdr:colOff>
      <xdr:row>33</xdr:row>
      <xdr:rowOff>38100</xdr:rowOff>
    </xdr:to>
    <xdr:sp>
      <xdr:nvSpPr>
        <xdr:cNvPr id="4" name="文本框 3"/>
        <xdr:cNvSpPr txBox="1"/>
      </xdr:nvSpPr>
      <xdr:spPr>
        <a:xfrm>
          <a:off x="3695700" y="372427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5.xml"/><Relationship Id="rId8" Type="http://schemas.openxmlformats.org/officeDocument/2006/relationships/ctrlProp" Target="../ctrlProps/ctrlProp14.xml"/><Relationship Id="rId74" Type="http://schemas.openxmlformats.org/officeDocument/2006/relationships/ctrlProp" Target="../ctrlProps/ctrlProp80.xml"/><Relationship Id="rId73" Type="http://schemas.openxmlformats.org/officeDocument/2006/relationships/ctrlProp" Target="../ctrlProps/ctrlProp79.xml"/><Relationship Id="rId72" Type="http://schemas.openxmlformats.org/officeDocument/2006/relationships/ctrlProp" Target="../ctrlProps/ctrlProp78.xml"/><Relationship Id="rId71" Type="http://schemas.openxmlformats.org/officeDocument/2006/relationships/ctrlProp" Target="../ctrlProps/ctrlProp77.xml"/><Relationship Id="rId70" Type="http://schemas.openxmlformats.org/officeDocument/2006/relationships/ctrlProp" Target="../ctrlProps/ctrlProp76.xml"/><Relationship Id="rId7" Type="http://schemas.openxmlformats.org/officeDocument/2006/relationships/ctrlProp" Target="../ctrlProps/ctrlProp13.xml"/><Relationship Id="rId69" Type="http://schemas.openxmlformats.org/officeDocument/2006/relationships/ctrlProp" Target="../ctrlProps/ctrlProp75.xml"/><Relationship Id="rId68" Type="http://schemas.openxmlformats.org/officeDocument/2006/relationships/ctrlProp" Target="../ctrlProps/ctrlProp74.xml"/><Relationship Id="rId67" Type="http://schemas.openxmlformats.org/officeDocument/2006/relationships/ctrlProp" Target="../ctrlProps/ctrlProp73.xml"/><Relationship Id="rId66" Type="http://schemas.openxmlformats.org/officeDocument/2006/relationships/ctrlProp" Target="../ctrlProps/ctrlProp72.xml"/><Relationship Id="rId65" Type="http://schemas.openxmlformats.org/officeDocument/2006/relationships/ctrlProp" Target="../ctrlProps/ctrlProp71.xml"/><Relationship Id="rId64" Type="http://schemas.openxmlformats.org/officeDocument/2006/relationships/ctrlProp" Target="../ctrlProps/ctrlProp70.xml"/><Relationship Id="rId63" Type="http://schemas.openxmlformats.org/officeDocument/2006/relationships/ctrlProp" Target="../ctrlProps/ctrlProp69.xml"/><Relationship Id="rId62" Type="http://schemas.openxmlformats.org/officeDocument/2006/relationships/ctrlProp" Target="../ctrlProps/ctrlProp68.xml"/><Relationship Id="rId61" Type="http://schemas.openxmlformats.org/officeDocument/2006/relationships/ctrlProp" Target="../ctrlProps/ctrlProp67.xml"/><Relationship Id="rId60" Type="http://schemas.openxmlformats.org/officeDocument/2006/relationships/ctrlProp" Target="../ctrlProps/ctrlProp66.xml"/><Relationship Id="rId6" Type="http://schemas.openxmlformats.org/officeDocument/2006/relationships/ctrlProp" Target="../ctrlProps/ctrlProp12.xml"/><Relationship Id="rId59" Type="http://schemas.openxmlformats.org/officeDocument/2006/relationships/ctrlProp" Target="../ctrlProps/ctrlProp65.xml"/><Relationship Id="rId58" Type="http://schemas.openxmlformats.org/officeDocument/2006/relationships/ctrlProp" Target="../ctrlProps/ctrlProp64.xml"/><Relationship Id="rId57" Type="http://schemas.openxmlformats.org/officeDocument/2006/relationships/ctrlProp" Target="../ctrlProps/ctrlProp63.xml"/><Relationship Id="rId56" Type="http://schemas.openxmlformats.org/officeDocument/2006/relationships/ctrlProp" Target="../ctrlProps/ctrlProp62.xml"/><Relationship Id="rId55" Type="http://schemas.openxmlformats.org/officeDocument/2006/relationships/ctrlProp" Target="../ctrlProps/ctrlProp61.xml"/><Relationship Id="rId54" Type="http://schemas.openxmlformats.org/officeDocument/2006/relationships/ctrlProp" Target="../ctrlProps/ctrlProp60.xml"/><Relationship Id="rId53" Type="http://schemas.openxmlformats.org/officeDocument/2006/relationships/ctrlProp" Target="../ctrlProps/ctrlProp59.xml"/><Relationship Id="rId52" Type="http://schemas.openxmlformats.org/officeDocument/2006/relationships/ctrlProp" Target="../ctrlProps/ctrlProp58.xml"/><Relationship Id="rId51" Type="http://schemas.openxmlformats.org/officeDocument/2006/relationships/ctrlProp" Target="../ctrlProps/ctrlProp57.xml"/><Relationship Id="rId50" Type="http://schemas.openxmlformats.org/officeDocument/2006/relationships/ctrlProp" Target="../ctrlProps/ctrlProp56.xml"/><Relationship Id="rId5" Type="http://schemas.openxmlformats.org/officeDocument/2006/relationships/ctrlProp" Target="../ctrlProps/ctrlProp11.xml"/><Relationship Id="rId49" Type="http://schemas.openxmlformats.org/officeDocument/2006/relationships/ctrlProp" Target="../ctrlProps/ctrlProp55.xml"/><Relationship Id="rId48" Type="http://schemas.openxmlformats.org/officeDocument/2006/relationships/ctrlProp" Target="../ctrlProps/ctrlProp54.xml"/><Relationship Id="rId47" Type="http://schemas.openxmlformats.org/officeDocument/2006/relationships/ctrlProp" Target="../ctrlProps/ctrlProp53.xml"/><Relationship Id="rId46" Type="http://schemas.openxmlformats.org/officeDocument/2006/relationships/ctrlProp" Target="../ctrlProps/ctrlProp52.xml"/><Relationship Id="rId45" Type="http://schemas.openxmlformats.org/officeDocument/2006/relationships/ctrlProp" Target="../ctrlProps/ctrlProp51.xml"/><Relationship Id="rId44" Type="http://schemas.openxmlformats.org/officeDocument/2006/relationships/ctrlProp" Target="../ctrlProps/ctrlProp50.xml"/><Relationship Id="rId43" Type="http://schemas.openxmlformats.org/officeDocument/2006/relationships/ctrlProp" Target="../ctrlProps/ctrlProp49.xml"/><Relationship Id="rId42" Type="http://schemas.openxmlformats.org/officeDocument/2006/relationships/ctrlProp" Target="../ctrlProps/ctrlProp48.xml"/><Relationship Id="rId41" Type="http://schemas.openxmlformats.org/officeDocument/2006/relationships/ctrlProp" Target="../ctrlProps/ctrlProp47.xml"/><Relationship Id="rId40" Type="http://schemas.openxmlformats.org/officeDocument/2006/relationships/ctrlProp" Target="../ctrlProps/ctrlProp46.xml"/><Relationship Id="rId4" Type="http://schemas.openxmlformats.org/officeDocument/2006/relationships/ctrlProp" Target="../ctrlProps/ctrlProp10.xml"/><Relationship Id="rId39" Type="http://schemas.openxmlformats.org/officeDocument/2006/relationships/ctrlProp" Target="../ctrlProps/ctrlProp45.xml"/><Relationship Id="rId38" Type="http://schemas.openxmlformats.org/officeDocument/2006/relationships/ctrlProp" Target="../ctrlProps/ctrlProp44.xml"/><Relationship Id="rId37" Type="http://schemas.openxmlformats.org/officeDocument/2006/relationships/ctrlProp" Target="../ctrlProps/ctrlProp43.xml"/><Relationship Id="rId36" Type="http://schemas.openxmlformats.org/officeDocument/2006/relationships/ctrlProp" Target="../ctrlProps/ctrlProp42.xml"/><Relationship Id="rId35" Type="http://schemas.openxmlformats.org/officeDocument/2006/relationships/ctrlProp" Target="../ctrlProps/ctrlProp41.xml"/><Relationship Id="rId34" Type="http://schemas.openxmlformats.org/officeDocument/2006/relationships/ctrlProp" Target="../ctrlProps/ctrlProp40.xml"/><Relationship Id="rId33" Type="http://schemas.openxmlformats.org/officeDocument/2006/relationships/ctrlProp" Target="../ctrlProps/ctrlProp39.xml"/><Relationship Id="rId32" Type="http://schemas.openxmlformats.org/officeDocument/2006/relationships/ctrlProp" Target="../ctrlProps/ctrlProp38.xml"/><Relationship Id="rId31" Type="http://schemas.openxmlformats.org/officeDocument/2006/relationships/ctrlProp" Target="../ctrlProps/ctrlProp37.xml"/><Relationship Id="rId30" Type="http://schemas.openxmlformats.org/officeDocument/2006/relationships/ctrlProp" Target="../ctrlProps/ctrlProp36.xml"/><Relationship Id="rId3" Type="http://schemas.openxmlformats.org/officeDocument/2006/relationships/ctrlProp" Target="../ctrlProps/ctrlProp9.xml"/><Relationship Id="rId29" Type="http://schemas.openxmlformats.org/officeDocument/2006/relationships/ctrlProp" Target="../ctrlProps/ctrlProp35.xml"/><Relationship Id="rId28" Type="http://schemas.openxmlformats.org/officeDocument/2006/relationships/ctrlProp" Target="../ctrlProps/ctrlProp34.xml"/><Relationship Id="rId27" Type="http://schemas.openxmlformats.org/officeDocument/2006/relationships/ctrlProp" Target="../ctrlProps/ctrlProp33.xml"/><Relationship Id="rId26" Type="http://schemas.openxmlformats.org/officeDocument/2006/relationships/ctrlProp" Target="../ctrlProps/ctrlProp32.xml"/><Relationship Id="rId25" Type="http://schemas.openxmlformats.org/officeDocument/2006/relationships/ctrlProp" Target="../ctrlProps/ctrlProp31.xml"/><Relationship Id="rId24" Type="http://schemas.openxmlformats.org/officeDocument/2006/relationships/ctrlProp" Target="../ctrlProps/ctrlProp30.xml"/><Relationship Id="rId23" Type="http://schemas.openxmlformats.org/officeDocument/2006/relationships/ctrlProp" Target="../ctrlProps/ctrlProp29.xml"/><Relationship Id="rId22" Type="http://schemas.openxmlformats.org/officeDocument/2006/relationships/ctrlProp" Target="../ctrlProps/ctrlProp28.xml"/><Relationship Id="rId21" Type="http://schemas.openxmlformats.org/officeDocument/2006/relationships/ctrlProp" Target="../ctrlProps/ctrlProp27.xml"/><Relationship Id="rId20" Type="http://schemas.openxmlformats.org/officeDocument/2006/relationships/ctrlProp" Target="../ctrlProps/ctrlProp26.xml"/><Relationship Id="rId2" Type="http://schemas.openxmlformats.org/officeDocument/2006/relationships/vmlDrawing" Target="../drawings/vmlDrawing2.vml"/><Relationship Id="rId19" Type="http://schemas.openxmlformats.org/officeDocument/2006/relationships/ctrlProp" Target="../ctrlProps/ctrlProp25.xml"/><Relationship Id="rId18" Type="http://schemas.openxmlformats.org/officeDocument/2006/relationships/ctrlProp" Target="../ctrlProps/ctrlProp24.xml"/><Relationship Id="rId17" Type="http://schemas.openxmlformats.org/officeDocument/2006/relationships/ctrlProp" Target="../ctrlProps/ctrlProp23.xml"/><Relationship Id="rId16" Type="http://schemas.openxmlformats.org/officeDocument/2006/relationships/ctrlProp" Target="../ctrlProps/ctrlProp22.xml"/><Relationship Id="rId15" Type="http://schemas.openxmlformats.org/officeDocument/2006/relationships/ctrlProp" Target="../ctrlProps/ctrlProp21.xml"/><Relationship Id="rId14" Type="http://schemas.openxmlformats.org/officeDocument/2006/relationships/ctrlProp" Target="../ctrlProps/ctrlProp20.xml"/><Relationship Id="rId13" Type="http://schemas.openxmlformats.org/officeDocument/2006/relationships/ctrlProp" Target="../ctrlProps/ctrlProp19.xml"/><Relationship Id="rId12" Type="http://schemas.openxmlformats.org/officeDocument/2006/relationships/ctrlProp" Target="../ctrlProps/ctrlProp18.xml"/><Relationship Id="rId11" Type="http://schemas.openxmlformats.org/officeDocument/2006/relationships/ctrlProp" Target="../ctrlProps/ctrlProp17.xml"/><Relationship Id="rId10" Type="http://schemas.openxmlformats.org/officeDocument/2006/relationships/ctrlProp" Target="../ctrlProps/ctrlProp16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7" Type="http://schemas.openxmlformats.org/officeDocument/2006/relationships/ctrlProp" Target="../ctrlProps/ctrlProp85.xml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92.xml"/><Relationship Id="rId8" Type="http://schemas.openxmlformats.org/officeDocument/2006/relationships/ctrlProp" Target="../ctrlProps/ctrlProp91.xml"/><Relationship Id="rId7" Type="http://schemas.openxmlformats.org/officeDocument/2006/relationships/ctrlProp" Target="../ctrlProps/ctrlProp90.xml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02.xml"/><Relationship Id="rId8" Type="http://schemas.openxmlformats.org/officeDocument/2006/relationships/ctrlProp" Target="../ctrlProps/ctrlProp101.xml"/><Relationship Id="rId7" Type="http://schemas.openxmlformats.org/officeDocument/2006/relationships/ctrlProp" Target="../ctrlProps/ctrlProp100.xml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Relationship Id="rId3" Type="http://schemas.openxmlformats.org/officeDocument/2006/relationships/ctrlProp" Target="../ctrlProps/ctrlProp96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104.xml"/><Relationship Id="rId10" Type="http://schemas.openxmlformats.org/officeDocument/2006/relationships/ctrlProp" Target="../ctrlProps/ctrlProp10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111.xml"/><Relationship Id="rId8" Type="http://schemas.openxmlformats.org/officeDocument/2006/relationships/ctrlProp" Target="../ctrlProps/ctrlProp110.xml"/><Relationship Id="rId7" Type="http://schemas.openxmlformats.org/officeDocument/2006/relationships/ctrlProp" Target="../ctrlProps/ctrlProp109.xml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3.xml"/><Relationship Id="rId3" Type="http://schemas.openxmlformats.org/officeDocument/2006/relationships/ctrlProp" Target="../ctrlProps/ctrlProp1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5.xml"/><Relationship Id="rId3" Type="http://schemas.openxmlformats.org/officeDocument/2006/relationships/ctrlProp" Target="../ctrlProps/ctrlProp1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topLeftCell="B1" workbookViewId="0">
      <selection activeCell="J21" sqref="J2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C175"/>
  <sheetViews>
    <sheetView workbookViewId="0">
      <selection activeCell="W2" sqref="W2:AC16"/>
    </sheetView>
  </sheetViews>
  <sheetFormatPr defaultColWidth="9" defaultRowHeight="13.5"/>
  <cols>
    <col min="1" max="1" width="12.875" customWidth="1"/>
    <col min="2" max="2" width="10.375" customWidth="1"/>
    <col min="8" max="8" width="15" customWidth="1"/>
    <col min="9" max="9" width="9.375" customWidth="1"/>
    <col min="12" max="12" width="16.375" customWidth="1"/>
    <col min="13" max="13" width="31.875" customWidth="1"/>
    <col min="14" max="14" width="29.625" customWidth="1"/>
    <col min="15" max="15" width="17.875" customWidth="1"/>
    <col min="16" max="16" width="10.375"/>
    <col min="17" max="17" width="17.875" customWidth="1"/>
    <col min="18" max="18" width="12.125" customWidth="1"/>
    <col min="19" max="19" width="11.5"/>
    <col min="23" max="23" width="15" customWidth="1"/>
    <col min="24" max="24" width="31.875" customWidth="1"/>
    <col min="25" max="26" width="14.875" customWidth="1"/>
    <col min="27" max="27" width="12.125" customWidth="1"/>
    <col min="28" max="28" width="17.875" customWidth="1"/>
  </cols>
  <sheetData>
    <row r="1" spans="1:29">
      <c r="A1" t="s">
        <v>0</v>
      </c>
      <c r="B1" s="149">
        <v>43466</v>
      </c>
      <c r="G1" s="150" t="s">
        <v>1</v>
      </c>
      <c r="H1" s="151" t="s">
        <v>2</v>
      </c>
      <c r="I1" s="151" t="s">
        <v>3</v>
      </c>
      <c r="J1" s="151" t="s">
        <v>4</v>
      </c>
      <c r="L1" s="153" t="s">
        <v>5</v>
      </c>
      <c r="M1" s="153" t="s">
        <v>6</v>
      </c>
      <c r="N1" s="154" t="s">
        <v>7</v>
      </c>
      <c r="O1" s="154" t="s">
        <v>8</v>
      </c>
      <c r="P1" s="154" t="s">
        <v>9</v>
      </c>
      <c r="Q1" s="154" t="s">
        <v>10</v>
      </c>
      <c r="R1" s="154" t="s">
        <v>11</v>
      </c>
      <c r="S1" s="154" t="s">
        <v>12</v>
      </c>
      <c r="T1" s="153" t="s">
        <v>13</v>
      </c>
      <c r="U1" s="153" t="s">
        <v>14</v>
      </c>
      <c r="W1" s="153" t="s">
        <v>5</v>
      </c>
      <c r="X1" s="154" t="s">
        <v>15</v>
      </c>
      <c r="Y1" s="153" t="s">
        <v>16</v>
      </c>
      <c r="Z1" s="153" t="s">
        <v>17</v>
      </c>
      <c r="AA1" s="154" t="s">
        <v>11</v>
      </c>
      <c r="AB1" s="154" t="s">
        <v>10</v>
      </c>
      <c r="AC1" s="154" t="s">
        <v>12</v>
      </c>
    </row>
    <row r="2" spans="1:29">
      <c r="A2" t="s">
        <v>18</v>
      </c>
      <c r="B2" t="s">
        <v>19</v>
      </c>
      <c r="G2">
        <v>1</v>
      </c>
      <c r="H2" t="s">
        <v>20</v>
      </c>
      <c r="J2" t="s">
        <v>20</v>
      </c>
      <c r="L2">
        <v>1</v>
      </c>
      <c r="M2" t="s">
        <v>21</v>
      </c>
      <c r="N2" s="149" t="s">
        <v>21</v>
      </c>
      <c r="O2" s="149" t="s">
        <v>22</v>
      </c>
      <c r="P2" s="149" t="s">
        <v>23</v>
      </c>
      <c r="R2" s="149">
        <v>43845</v>
      </c>
      <c r="S2" s="157" t="s">
        <v>24</v>
      </c>
      <c r="W2">
        <v>1</v>
      </c>
      <c r="X2" t="s">
        <v>25</v>
      </c>
      <c r="Y2" t="s">
        <v>26</v>
      </c>
      <c r="Z2" t="s">
        <v>27</v>
      </c>
      <c r="AA2" s="149">
        <v>43795</v>
      </c>
      <c r="AC2" t="s">
        <v>28</v>
      </c>
    </row>
    <row r="3" spans="12:29">
      <c r="L3">
        <v>2</v>
      </c>
      <c r="M3" t="s">
        <v>21</v>
      </c>
      <c r="N3" s="149" t="s">
        <v>21</v>
      </c>
      <c r="O3" s="149" t="s">
        <v>29</v>
      </c>
      <c r="P3" s="149" t="s">
        <v>23</v>
      </c>
      <c r="R3" s="149">
        <v>43845</v>
      </c>
      <c r="S3" s="157" t="s">
        <v>30</v>
      </c>
      <c r="W3">
        <v>2</v>
      </c>
      <c r="X3" t="s">
        <v>25</v>
      </c>
      <c r="Y3" t="s">
        <v>31</v>
      </c>
      <c r="Z3" t="s">
        <v>32</v>
      </c>
      <c r="AA3" s="149">
        <v>43579</v>
      </c>
      <c r="AC3" t="s">
        <v>33</v>
      </c>
    </row>
    <row r="4" spans="7:29">
      <c r="G4">
        <v>2</v>
      </c>
      <c r="H4" t="s">
        <v>34</v>
      </c>
      <c r="I4" t="s">
        <v>35</v>
      </c>
      <c r="J4" t="s">
        <v>34</v>
      </c>
      <c r="L4">
        <v>3</v>
      </c>
      <c r="M4" t="s">
        <v>21</v>
      </c>
      <c r="N4" s="149" t="s">
        <v>36</v>
      </c>
      <c r="O4" s="149" t="s">
        <v>37</v>
      </c>
      <c r="P4" s="149" t="s">
        <v>38</v>
      </c>
      <c r="R4" s="149">
        <v>43845</v>
      </c>
      <c r="S4" s="157" t="s">
        <v>39</v>
      </c>
      <c r="W4">
        <v>3</v>
      </c>
      <c r="X4" t="s">
        <v>40</v>
      </c>
      <c r="Y4" t="s">
        <v>41</v>
      </c>
      <c r="Z4" t="s">
        <v>42</v>
      </c>
      <c r="AA4" s="149">
        <v>43725</v>
      </c>
      <c r="AB4" t="s">
        <v>43</v>
      </c>
      <c r="AC4" t="s">
        <v>44</v>
      </c>
    </row>
    <row r="5" spans="14:29">
      <c r="N5" s="149"/>
      <c r="O5" s="149"/>
      <c r="P5" s="149"/>
      <c r="R5" s="149"/>
      <c r="S5" s="157"/>
      <c r="W5">
        <v>4</v>
      </c>
      <c r="X5" t="s">
        <v>40</v>
      </c>
      <c r="Y5" t="s">
        <v>41</v>
      </c>
      <c r="Z5" t="s">
        <v>45</v>
      </c>
      <c r="AA5" s="149">
        <v>43725</v>
      </c>
      <c r="AB5" t="s">
        <v>46</v>
      </c>
      <c r="AC5" t="s">
        <v>47</v>
      </c>
    </row>
    <row r="6" spans="2:29">
      <c r="B6" t="s">
        <v>48</v>
      </c>
      <c r="G6">
        <v>3</v>
      </c>
      <c r="H6" t="s">
        <v>34</v>
      </c>
      <c r="I6" t="s">
        <v>49</v>
      </c>
      <c r="J6" t="s">
        <v>34</v>
      </c>
      <c r="N6" s="149"/>
      <c r="O6" s="149"/>
      <c r="P6" s="149"/>
      <c r="R6" s="149"/>
      <c r="S6" s="157"/>
      <c r="W6">
        <v>5</v>
      </c>
      <c r="X6" t="s">
        <v>40</v>
      </c>
      <c r="Y6" t="s">
        <v>41</v>
      </c>
      <c r="Z6" t="s">
        <v>50</v>
      </c>
      <c r="AA6" s="149">
        <v>43725</v>
      </c>
      <c r="AB6" t="s">
        <v>51</v>
      </c>
      <c r="AC6" t="s">
        <v>52</v>
      </c>
    </row>
    <row r="7" spans="14:29">
      <c r="N7" s="149"/>
      <c r="O7" s="149"/>
      <c r="P7" s="149"/>
      <c r="R7" s="149"/>
      <c r="S7" s="157"/>
      <c r="W7">
        <v>6</v>
      </c>
      <c r="X7" t="s">
        <v>40</v>
      </c>
      <c r="Y7" t="s">
        <v>41</v>
      </c>
      <c r="Z7" t="s">
        <v>53</v>
      </c>
      <c r="AA7" s="149">
        <v>43725</v>
      </c>
      <c r="AB7" t="s">
        <v>54</v>
      </c>
      <c r="AC7" t="s">
        <v>55</v>
      </c>
    </row>
    <row r="8" spans="7:29">
      <c r="G8">
        <v>4</v>
      </c>
      <c r="H8" t="s">
        <v>25</v>
      </c>
      <c r="J8" t="s">
        <v>25</v>
      </c>
      <c r="N8" s="149"/>
      <c r="O8" s="149"/>
      <c r="P8" s="149"/>
      <c r="R8" s="149"/>
      <c r="S8" s="157"/>
      <c r="W8">
        <v>7</v>
      </c>
      <c r="X8" t="s">
        <v>40</v>
      </c>
      <c r="Y8" t="s">
        <v>41</v>
      </c>
      <c r="Z8" t="s">
        <v>56</v>
      </c>
      <c r="AA8" s="149">
        <v>43725</v>
      </c>
      <c r="AB8" t="s">
        <v>57</v>
      </c>
      <c r="AC8" t="s">
        <v>58</v>
      </c>
    </row>
    <row r="9" spans="14:29">
      <c r="N9" s="149"/>
      <c r="O9" s="149"/>
      <c r="P9" s="149"/>
      <c r="R9" s="149"/>
      <c r="S9" s="157"/>
      <c r="W9">
        <v>8</v>
      </c>
      <c r="X9" t="s">
        <v>40</v>
      </c>
      <c r="Y9" t="s">
        <v>41</v>
      </c>
      <c r="Z9" t="s">
        <v>59</v>
      </c>
      <c r="AA9" s="149">
        <v>43725</v>
      </c>
      <c r="AB9" t="s">
        <v>60</v>
      </c>
      <c r="AC9" t="s">
        <v>61</v>
      </c>
    </row>
    <row r="10" spans="7:29">
      <c r="G10">
        <v>5</v>
      </c>
      <c r="H10" t="s">
        <v>62</v>
      </c>
      <c r="I10" t="s">
        <v>63</v>
      </c>
      <c r="J10" t="s">
        <v>62</v>
      </c>
      <c r="N10" s="149"/>
      <c r="O10" s="149"/>
      <c r="P10" s="149"/>
      <c r="R10" s="149"/>
      <c r="S10" s="157"/>
      <c r="W10">
        <v>9</v>
      </c>
      <c r="X10" t="s">
        <v>40</v>
      </c>
      <c r="Y10" t="s">
        <v>41</v>
      </c>
      <c r="Z10" t="s">
        <v>64</v>
      </c>
      <c r="AA10" s="149">
        <v>43725</v>
      </c>
      <c r="AB10" t="s">
        <v>65</v>
      </c>
      <c r="AC10" t="s">
        <v>66</v>
      </c>
    </row>
    <row r="11" spans="14:29">
      <c r="N11" s="149"/>
      <c r="O11" s="149"/>
      <c r="P11" s="149"/>
      <c r="R11" s="149"/>
      <c r="S11" s="157"/>
      <c r="W11">
        <v>10</v>
      </c>
      <c r="X11" t="s">
        <v>40</v>
      </c>
      <c r="Y11" t="s">
        <v>41</v>
      </c>
      <c r="Z11" t="s">
        <v>67</v>
      </c>
      <c r="AA11" s="149">
        <v>43725</v>
      </c>
      <c r="AB11" t="s">
        <v>68</v>
      </c>
      <c r="AC11" t="s">
        <v>69</v>
      </c>
    </row>
    <row r="12" spans="7:29">
      <c r="G12">
        <v>6</v>
      </c>
      <c r="H12" t="s">
        <v>62</v>
      </c>
      <c r="I12" t="s">
        <v>70</v>
      </c>
      <c r="J12" t="s">
        <v>62</v>
      </c>
      <c r="N12" s="149"/>
      <c r="R12" s="149"/>
      <c r="S12" s="157"/>
      <c r="W12">
        <v>11</v>
      </c>
      <c r="X12" t="s">
        <v>71</v>
      </c>
      <c r="Y12" t="s">
        <v>72</v>
      </c>
      <c r="Z12" t="s">
        <v>73</v>
      </c>
      <c r="AA12" s="149">
        <v>43657</v>
      </c>
      <c r="AB12" t="s">
        <v>74</v>
      </c>
      <c r="AC12" t="s">
        <v>75</v>
      </c>
    </row>
    <row r="13" spans="14:29">
      <c r="N13" s="149"/>
      <c r="O13" s="149"/>
      <c r="P13" s="149"/>
      <c r="R13" s="149"/>
      <c r="S13" s="157"/>
      <c r="W13">
        <v>12</v>
      </c>
      <c r="X13" t="s">
        <v>71</v>
      </c>
      <c r="Y13" t="s">
        <v>76</v>
      </c>
      <c r="Z13" t="s">
        <v>77</v>
      </c>
      <c r="AA13" s="149">
        <v>43796</v>
      </c>
      <c r="AC13" t="s">
        <v>78</v>
      </c>
    </row>
    <row r="14" spans="2:29">
      <c r="B14" t="s">
        <v>79</v>
      </c>
      <c r="G14">
        <v>7</v>
      </c>
      <c r="H14" t="s">
        <v>80</v>
      </c>
      <c r="J14" t="s">
        <v>80</v>
      </c>
      <c r="N14" s="149"/>
      <c r="O14" s="149"/>
      <c r="P14" s="149"/>
      <c r="R14" s="149"/>
      <c r="S14" s="157"/>
      <c r="W14">
        <v>13</v>
      </c>
      <c r="X14" t="s">
        <v>71</v>
      </c>
      <c r="Y14" t="s">
        <v>81</v>
      </c>
      <c r="Z14" t="s">
        <v>82</v>
      </c>
      <c r="AA14" s="149">
        <v>43607</v>
      </c>
      <c r="AC14" t="s">
        <v>83</v>
      </c>
    </row>
    <row r="15" spans="14:29">
      <c r="N15" s="149"/>
      <c r="O15" s="149"/>
      <c r="P15" s="149"/>
      <c r="R15" s="149"/>
      <c r="S15" s="157"/>
      <c r="W15">
        <v>14</v>
      </c>
      <c r="X15" t="s">
        <v>71</v>
      </c>
      <c r="Y15" t="s">
        <v>84</v>
      </c>
      <c r="Z15" t="s">
        <v>85</v>
      </c>
      <c r="AA15" s="149">
        <v>43719</v>
      </c>
      <c r="AB15" t="s">
        <v>86</v>
      </c>
      <c r="AC15" t="s">
        <v>87</v>
      </c>
    </row>
    <row r="16" spans="7:19">
      <c r="G16">
        <v>8</v>
      </c>
      <c r="H16" t="s">
        <v>88</v>
      </c>
      <c r="I16" s="155" t="s">
        <v>89</v>
      </c>
      <c r="J16" t="s">
        <v>88</v>
      </c>
      <c r="N16" s="149"/>
      <c r="O16" s="149"/>
      <c r="P16" s="149"/>
      <c r="R16" s="149"/>
      <c r="S16" s="157"/>
    </row>
    <row r="17" spans="14:19">
      <c r="N17" s="149"/>
      <c r="O17" s="149"/>
      <c r="P17" s="149"/>
      <c r="R17" s="149"/>
      <c r="S17" s="157"/>
    </row>
    <row r="18" spans="2:19">
      <c r="B18" t="s">
        <v>90</v>
      </c>
      <c r="G18">
        <v>9</v>
      </c>
      <c r="H18" t="s">
        <v>91</v>
      </c>
      <c r="I18" s="155" t="s">
        <v>92</v>
      </c>
      <c r="J18" t="s">
        <v>91</v>
      </c>
      <c r="N18" s="149"/>
      <c r="O18" s="149"/>
      <c r="P18" s="149"/>
      <c r="R18" s="149"/>
      <c r="S18" s="157"/>
    </row>
    <row r="19" spans="14:19">
      <c r="N19" s="149"/>
      <c r="O19" s="149"/>
      <c r="P19" s="149"/>
      <c r="R19" s="149"/>
      <c r="S19" s="157"/>
    </row>
    <row r="20" spans="7:19">
      <c r="G20">
        <v>10</v>
      </c>
      <c r="H20" t="s">
        <v>40</v>
      </c>
      <c r="I20" s="155" t="s">
        <v>41</v>
      </c>
      <c r="J20" t="s">
        <v>40</v>
      </c>
      <c r="N20" s="149"/>
      <c r="O20" s="149"/>
      <c r="P20" s="149"/>
      <c r="R20" s="149"/>
      <c r="S20" s="157"/>
    </row>
    <row r="21" spans="14:19">
      <c r="N21" s="149"/>
      <c r="O21" s="149"/>
      <c r="P21" s="149"/>
      <c r="R21" s="149"/>
      <c r="S21" s="157"/>
    </row>
    <row r="22" spans="7:19">
      <c r="G22">
        <v>11</v>
      </c>
      <c r="H22" t="s">
        <v>93</v>
      </c>
      <c r="I22" s="155" t="s">
        <v>94</v>
      </c>
      <c r="J22" t="s">
        <v>93</v>
      </c>
      <c r="N22" s="149"/>
      <c r="O22" s="149"/>
      <c r="P22" s="149"/>
      <c r="R22" s="149"/>
      <c r="S22" s="157"/>
    </row>
    <row r="23" spans="14:19">
      <c r="N23" s="149"/>
      <c r="O23" s="149"/>
      <c r="P23" s="149"/>
      <c r="R23" s="149"/>
      <c r="S23" s="158"/>
    </row>
    <row r="24" spans="7:19">
      <c r="G24">
        <v>12</v>
      </c>
      <c r="H24" t="s">
        <v>95</v>
      </c>
      <c r="J24" t="s">
        <v>96</v>
      </c>
      <c r="N24" s="149"/>
      <c r="O24" s="149"/>
      <c r="P24" s="149"/>
      <c r="R24" s="149"/>
      <c r="S24" s="158"/>
    </row>
    <row r="25" spans="14:19">
      <c r="N25" s="149"/>
      <c r="O25" s="149"/>
      <c r="P25" s="149"/>
      <c r="R25" s="149"/>
      <c r="S25" s="158"/>
    </row>
    <row r="26" ht="15.75" spans="7:19">
      <c r="G26">
        <v>13</v>
      </c>
      <c r="H26" t="s">
        <v>97</v>
      </c>
      <c r="I26" t="s">
        <v>98</v>
      </c>
      <c r="J26" t="s">
        <v>97</v>
      </c>
      <c r="M26" s="156"/>
      <c r="N26" s="149"/>
      <c r="R26" s="149"/>
      <c r="S26" s="157"/>
    </row>
    <row r="27" spans="14:19">
      <c r="N27" s="149"/>
      <c r="O27" s="149"/>
      <c r="P27" s="149"/>
      <c r="R27" s="149"/>
      <c r="S27" s="157"/>
    </row>
    <row r="28" spans="2:19">
      <c r="B28" t="s">
        <v>99</v>
      </c>
      <c r="G28">
        <v>14</v>
      </c>
      <c r="H28" t="s">
        <v>100</v>
      </c>
      <c r="J28" t="s">
        <v>100</v>
      </c>
      <c r="N28" s="149"/>
      <c r="O28" s="149"/>
      <c r="P28" s="149"/>
      <c r="R28" s="149"/>
      <c r="S28" s="157"/>
    </row>
    <row r="29" spans="14:19">
      <c r="N29" s="149"/>
      <c r="O29" s="149"/>
      <c r="P29" s="149"/>
      <c r="R29" s="149"/>
      <c r="S29" s="157"/>
    </row>
    <row r="30" spans="7:19">
      <c r="G30">
        <v>15</v>
      </c>
      <c r="H30" t="s">
        <v>101</v>
      </c>
      <c r="I30" s="155"/>
      <c r="J30" t="s">
        <v>102</v>
      </c>
      <c r="N30" s="149"/>
      <c r="O30" s="149"/>
      <c r="P30" s="149"/>
      <c r="R30" s="149"/>
      <c r="S30" s="157"/>
    </row>
    <row r="31" spans="14:19">
      <c r="N31" s="149"/>
      <c r="R31" s="149"/>
      <c r="S31" s="158"/>
    </row>
    <row r="32" spans="7:19">
      <c r="G32">
        <v>16</v>
      </c>
      <c r="H32" t="s">
        <v>103</v>
      </c>
      <c r="J32" t="s">
        <v>104</v>
      </c>
      <c r="N32" s="149"/>
      <c r="O32" s="149"/>
      <c r="P32" s="149"/>
      <c r="R32" s="149"/>
      <c r="S32" s="158"/>
    </row>
    <row r="33" spans="14:19">
      <c r="N33" s="149"/>
      <c r="O33" s="149"/>
      <c r="P33" s="149"/>
      <c r="R33" s="149"/>
      <c r="S33" s="158"/>
    </row>
    <row r="34" spans="7:19">
      <c r="G34">
        <v>17</v>
      </c>
      <c r="H34" t="s">
        <v>105</v>
      </c>
      <c r="J34" t="s">
        <v>105</v>
      </c>
      <c r="N34" s="149"/>
      <c r="O34" s="149"/>
      <c r="P34" s="149"/>
      <c r="R34" s="149"/>
      <c r="S34" s="157"/>
    </row>
    <row r="35" spans="2:19">
      <c r="B35" t="s">
        <v>106</v>
      </c>
      <c r="N35" s="149"/>
      <c r="O35" s="149"/>
      <c r="P35" s="149"/>
      <c r="R35" s="149"/>
      <c r="S35" s="157"/>
    </row>
    <row r="36" spans="7:19">
      <c r="G36">
        <v>18</v>
      </c>
      <c r="H36" t="s">
        <v>107</v>
      </c>
      <c r="J36" t="s">
        <v>108</v>
      </c>
      <c r="N36" s="149"/>
      <c r="O36" s="149"/>
      <c r="P36" s="149"/>
      <c r="R36" s="149"/>
      <c r="S36" s="157"/>
    </row>
    <row r="37" spans="14:19">
      <c r="N37" s="149"/>
      <c r="O37" s="149"/>
      <c r="P37" s="149"/>
      <c r="R37" s="149"/>
      <c r="S37" s="157"/>
    </row>
    <row r="38" spans="7:19">
      <c r="G38">
        <v>19</v>
      </c>
      <c r="H38" s="152" t="s">
        <v>109</v>
      </c>
      <c r="J38" t="s">
        <v>109</v>
      </c>
      <c r="N38" s="149"/>
      <c r="O38" s="149"/>
      <c r="P38" s="149"/>
      <c r="R38" s="149"/>
      <c r="S38" s="157"/>
    </row>
    <row r="39" spans="14:19">
      <c r="N39" s="149"/>
      <c r="O39" s="149"/>
      <c r="P39" s="149"/>
      <c r="R39" s="149"/>
      <c r="S39" s="157"/>
    </row>
    <row r="40" spans="2:19">
      <c r="B40" t="s">
        <v>110</v>
      </c>
      <c r="G40">
        <v>20</v>
      </c>
      <c r="H40" t="s">
        <v>71</v>
      </c>
      <c r="J40" t="s">
        <v>71</v>
      </c>
      <c r="N40" s="149"/>
      <c r="O40" s="149"/>
      <c r="P40" s="149"/>
      <c r="R40" s="149"/>
      <c r="S40" s="157"/>
    </row>
    <row r="41" spans="14:19">
      <c r="N41" s="149"/>
      <c r="O41" s="149"/>
      <c r="P41" s="149"/>
      <c r="R41" s="149"/>
      <c r="S41" s="157"/>
    </row>
    <row r="42" spans="7:19">
      <c r="G42">
        <v>21</v>
      </c>
      <c r="H42" t="s">
        <v>79</v>
      </c>
      <c r="J42" t="s">
        <v>111</v>
      </c>
      <c r="N42" s="149"/>
      <c r="O42" s="149"/>
      <c r="P42" s="149"/>
      <c r="R42" s="149"/>
      <c r="S42" s="157"/>
    </row>
    <row r="43" spans="14:19">
      <c r="N43" s="149"/>
      <c r="O43" s="149"/>
      <c r="P43" s="149"/>
      <c r="R43" s="149"/>
      <c r="S43" s="157"/>
    </row>
    <row r="44" spans="7:19">
      <c r="G44">
        <v>22</v>
      </c>
      <c r="H44" t="s">
        <v>112</v>
      </c>
      <c r="J44" t="s">
        <v>112</v>
      </c>
      <c r="N44" s="149"/>
      <c r="O44" s="149"/>
      <c r="P44" s="149"/>
      <c r="R44" s="149"/>
      <c r="S44" s="157"/>
    </row>
    <row r="45" spans="14:19">
      <c r="N45" s="149"/>
      <c r="O45" s="149"/>
      <c r="P45" s="149"/>
      <c r="R45" s="149"/>
      <c r="S45" s="157"/>
    </row>
    <row r="46" spans="2:19">
      <c r="B46" t="s">
        <v>113</v>
      </c>
      <c r="G46">
        <v>23</v>
      </c>
      <c r="H46" t="s">
        <v>21</v>
      </c>
      <c r="J46" t="s">
        <v>21</v>
      </c>
      <c r="N46" s="149"/>
      <c r="R46" s="149"/>
      <c r="S46" s="157"/>
    </row>
    <row r="47" spans="14:19">
      <c r="N47" s="149"/>
      <c r="O47" s="149"/>
      <c r="P47" s="149"/>
      <c r="R47" s="149"/>
      <c r="S47" s="157"/>
    </row>
    <row r="48" spans="7:19">
      <c r="G48">
        <v>24</v>
      </c>
      <c r="H48" t="s">
        <v>114</v>
      </c>
      <c r="J48" t="s">
        <v>115</v>
      </c>
      <c r="N48" s="149"/>
      <c r="O48" s="149"/>
      <c r="P48" s="149"/>
      <c r="R48" s="149"/>
      <c r="S48" s="157"/>
    </row>
    <row r="49" spans="14:19">
      <c r="N49" s="149"/>
      <c r="O49" s="149"/>
      <c r="P49" s="149"/>
      <c r="R49" s="149"/>
      <c r="S49" s="157"/>
    </row>
    <row r="50" spans="7:19">
      <c r="G50">
        <v>25</v>
      </c>
      <c r="H50" t="s">
        <v>116</v>
      </c>
      <c r="J50" t="s">
        <v>116</v>
      </c>
      <c r="N50" s="149"/>
      <c r="O50" s="149"/>
      <c r="P50" s="149"/>
      <c r="R50" s="149"/>
      <c r="S50" s="157"/>
    </row>
    <row r="51" spans="14:19">
      <c r="N51" s="149"/>
      <c r="R51" s="149"/>
      <c r="S51" s="157"/>
    </row>
    <row r="52" spans="14:19">
      <c r="N52" s="149"/>
      <c r="O52" s="149"/>
      <c r="P52" s="149"/>
      <c r="R52" s="149"/>
      <c r="S52" s="157"/>
    </row>
    <row r="53" spans="14:19">
      <c r="N53" s="149"/>
      <c r="O53" s="149"/>
      <c r="P53" s="149"/>
      <c r="R53" s="149"/>
      <c r="S53" s="157"/>
    </row>
    <row r="54" spans="14:19">
      <c r="N54" s="149"/>
      <c r="R54" s="149"/>
      <c r="S54" s="157"/>
    </row>
    <row r="55" spans="14:19">
      <c r="N55" s="149"/>
      <c r="O55" s="149"/>
      <c r="P55" s="149"/>
      <c r="R55" s="149"/>
      <c r="S55" s="157"/>
    </row>
    <row r="56" spans="14:19">
      <c r="N56" s="149"/>
      <c r="R56" s="149"/>
      <c r="S56" s="157"/>
    </row>
    <row r="57" spans="14:19">
      <c r="N57" s="149"/>
      <c r="R57" s="149"/>
      <c r="S57" s="157"/>
    </row>
    <row r="58" spans="14:19">
      <c r="N58" s="149"/>
      <c r="R58" s="149"/>
      <c r="S58" s="157"/>
    </row>
    <row r="59" spans="14:19">
      <c r="N59" s="149"/>
      <c r="R59" s="149"/>
      <c r="S59" s="157"/>
    </row>
    <row r="60" spans="14:19">
      <c r="N60" s="149"/>
      <c r="R60" s="149"/>
      <c r="S60" s="157"/>
    </row>
    <row r="61" spans="14:19">
      <c r="N61" s="149"/>
      <c r="R61" s="149"/>
      <c r="S61" s="157"/>
    </row>
    <row r="62" spans="14:19">
      <c r="N62" s="149"/>
      <c r="R62" s="149"/>
      <c r="S62" s="157"/>
    </row>
    <row r="63" spans="14:19">
      <c r="N63" s="149"/>
      <c r="R63" s="149"/>
      <c r="S63" s="157"/>
    </row>
    <row r="64" spans="14:19">
      <c r="N64" s="149"/>
      <c r="R64" s="149"/>
      <c r="S64" s="157"/>
    </row>
    <row r="65" spans="14:19">
      <c r="N65" s="149"/>
      <c r="R65" s="149"/>
      <c r="S65" s="157"/>
    </row>
    <row r="66" spans="14:19">
      <c r="N66" s="149"/>
      <c r="R66" s="149"/>
      <c r="S66" s="157"/>
    </row>
    <row r="67" spans="14:19">
      <c r="N67" s="149"/>
      <c r="R67" s="149"/>
      <c r="S67" s="157"/>
    </row>
    <row r="68" spans="18:19">
      <c r="R68" s="149"/>
      <c r="S68" s="157"/>
    </row>
    <row r="69" spans="18:19">
      <c r="R69" s="149"/>
      <c r="S69" s="157"/>
    </row>
    <row r="70" spans="18:19">
      <c r="R70" s="149"/>
      <c r="S70" s="157"/>
    </row>
    <row r="71" spans="18:19">
      <c r="R71" s="149"/>
      <c r="S71" s="157"/>
    </row>
    <row r="72" spans="18:19">
      <c r="R72" s="149"/>
      <c r="S72" s="157"/>
    </row>
    <row r="73" spans="18:19">
      <c r="R73" s="149"/>
      <c r="S73" s="157"/>
    </row>
    <row r="74" spans="18:19">
      <c r="R74" s="149"/>
      <c r="S74" s="157"/>
    </row>
    <row r="75" spans="18:19">
      <c r="R75" s="149"/>
      <c r="S75" s="157"/>
    </row>
    <row r="76" spans="18:19">
      <c r="R76" s="149"/>
      <c r="S76" s="157"/>
    </row>
    <row r="77" spans="18:19">
      <c r="R77" s="149"/>
      <c r="S77" s="157"/>
    </row>
    <row r="78" spans="18:19">
      <c r="R78" s="149"/>
      <c r="S78" s="157"/>
    </row>
    <row r="79" spans="18:19">
      <c r="R79" s="149"/>
      <c r="S79" s="157"/>
    </row>
    <row r="80" spans="18:19">
      <c r="R80" s="149"/>
      <c r="S80" s="157"/>
    </row>
    <row r="81" spans="18:19">
      <c r="R81" s="149"/>
      <c r="S81" s="157"/>
    </row>
    <row r="82" spans="18:19">
      <c r="R82" s="149"/>
      <c r="S82" s="157"/>
    </row>
    <row r="83" spans="18:19">
      <c r="R83" s="149"/>
      <c r="S83" s="157"/>
    </row>
    <row r="84" spans="18:19">
      <c r="R84" s="149"/>
      <c r="S84" s="157"/>
    </row>
    <row r="85" spans="18:19">
      <c r="R85" s="149"/>
      <c r="S85" s="157"/>
    </row>
    <row r="86" spans="18:19">
      <c r="R86" s="149"/>
      <c r="S86" s="157"/>
    </row>
    <row r="87" spans="18:19">
      <c r="R87" s="149"/>
      <c r="S87" s="157"/>
    </row>
    <row r="88" spans="18:19">
      <c r="R88" s="149"/>
      <c r="S88" s="157"/>
    </row>
    <row r="89" spans="18:19">
      <c r="R89" s="149"/>
      <c r="S89" s="157"/>
    </row>
    <row r="90" spans="18:18">
      <c r="R90" s="149"/>
    </row>
    <row r="91" spans="18:18">
      <c r="R91" s="149"/>
    </row>
    <row r="92" spans="18:18">
      <c r="R92" s="149"/>
    </row>
    <row r="93" spans="18:18">
      <c r="R93" s="149"/>
    </row>
    <row r="94" spans="18:18">
      <c r="R94" s="149"/>
    </row>
    <row r="95" spans="18:18">
      <c r="R95" s="149"/>
    </row>
    <row r="96" spans="18:18">
      <c r="R96" s="149"/>
    </row>
    <row r="97" spans="18:18">
      <c r="R97" s="149"/>
    </row>
    <row r="98" spans="18:18">
      <c r="R98" s="149"/>
    </row>
    <row r="99" spans="18:18">
      <c r="R99" s="149"/>
    </row>
    <row r="100" spans="18:18">
      <c r="R100" s="149"/>
    </row>
    <row r="101" spans="18:18">
      <c r="R101" s="149"/>
    </row>
    <row r="102" spans="18:18">
      <c r="R102" s="149"/>
    </row>
    <row r="103" spans="18:18">
      <c r="R103" s="149"/>
    </row>
    <row r="104" spans="18:18">
      <c r="R104" s="149"/>
    </row>
    <row r="105" spans="18:18">
      <c r="R105" s="149"/>
    </row>
    <row r="106" spans="18:18">
      <c r="R106" s="149"/>
    </row>
    <row r="107" spans="18:18">
      <c r="R107" s="149"/>
    </row>
    <row r="108" spans="18:18">
      <c r="R108" s="149"/>
    </row>
    <row r="109" spans="18:18">
      <c r="R109" s="149"/>
    </row>
    <row r="110" spans="18:18">
      <c r="R110" s="149"/>
    </row>
    <row r="111" spans="18:18">
      <c r="R111" s="149"/>
    </row>
    <row r="112" spans="18:18">
      <c r="R112" s="149"/>
    </row>
    <row r="113" spans="18:18">
      <c r="R113" s="149"/>
    </row>
    <row r="114" spans="18:18">
      <c r="R114" s="149"/>
    </row>
    <row r="115" spans="18:18">
      <c r="R115" s="149"/>
    </row>
    <row r="116" spans="18:18">
      <c r="R116" s="149"/>
    </row>
    <row r="117" spans="18:18">
      <c r="R117" s="149"/>
    </row>
    <row r="118" spans="18:18">
      <c r="R118" s="149"/>
    </row>
    <row r="119" spans="18:18">
      <c r="R119" s="149"/>
    </row>
    <row r="120" spans="18:18">
      <c r="R120" s="149"/>
    </row>
    <row r="121" spans="18:18">
      <c r="R121" s="149"/>
    </row>
    <row r="122" spans="18:18">
      <c r="R122" s="149"/>
    </row>
    <row r="123" spans="18:18">
      <c r="R123" s="149"/>
    </row>
    <row r="124" spans="18:18">
      <c r="R124" s="149"/>
    </row>
    <row r="125" spans="18:18">
      <c r="R125" s="149"/>
    </row>
    <row r="126" spans="18:18">
      <c r="R126" s="149"/>
    </row>
    <row r="127" spans="18:18">
      <c r="R127" s="149"/>
    </row>
    <row r="128" spans="18:18">
      <c r="R128" s="149"/>
    </row>
    <row r="129" spans="18:18">
      <c r="R129" s="149"/>
    </row>
    <row r="130" spans="18:18">
      <c r="R130" s="149"/>
    </row>
    <row r="131" spans="18:18">
      <c r="R131" s="149"/>
    </row>
    <row r="132" spans="18:18">
      <c r="R132" s="149"/>
    </row>
    <row r="133" spans="18:18">
      <c r="R133" s="149"/>
    </row>
    <row r="134" spans="18:18">
      <c r="R134" s="149"/>
    </row>
    <row r="135" spans="18:18">
      <c r="R135" s="149"/>
    </row>
    <row r="136" spans="18:18">
      <c r="R136" s="149"/>
    </row>
    <row r="137" spans="18:18">
      <c r="R137" s="149"/>
    </row>
    <row r="138" spans="18:18">
      <c r="R138" s="149"/>
    </row>
    <row r="139" spans="18:18">
      <c r="R139" s="149"/>
    </row>
    <row r="140" spans="18:18">
      <c r="R140" s="149"/>
    </row>
    <row r="141" spans="18:18">
      <c r="R141" s="149"/>
    </row>
    <row r="142" spans="18:18">
      <c r="R142" s="149"/>
    </row>
    <row r="143" spans="18:18">
      <c r="R143" s="149"/>
    </row>
    <row r="144" spans="18:18">
      <c r="R144" s="149"/>
    </row>
    <row r="145" spans="18:18">
      <c r="R145" s="149"/>
    </row>
    <row r="146" spans="18:18">
      <c r="R146" s="149"/>
    </row>
    <row r="147" spans="18:18">
      <c r="R147" s="149"/>
    </row>
    <row r="148" spans="18:18">
      <c r="R148" s="149"/>
    </row>
    <row r="149" spans="18:18">
      <c r="R149" s="149"/>
    </row>
    <row r="150" spans="18:18">
      <c r="R150" s="149"/>
    </row>
    <row r="151" spans="18:18">
      <c r="R151" s="149"/>
    </row>
    <row r="152" spans="18:18">
      <c r="R152" s="149"/>
    </row>
    <row r="153" spans="18:18">
      <c r="R153" s="149"/>
    </row>
    <row r="154" spans="18:18">
      <c r="R154" s="149"/>
    </row>
    <row r="155" spans="18:18">
      <c r="R155" s="149"/>
    </row>
    <row r="156" spans="18:18">
      <c r="R156" s="149"/>
    </row>
    <row r="157" spans="18:18">
      <c r="R157" s="149"/>
    </row>
    <row r="158" spans="18:18">
      <c r="R158" s="149"/>
    </row>
    <row r="159" spans="18:18">
      <c r="R159" s="149"/>
    </row>
    <row r="160" spans="18:18">
      <c r="R160" s="149"/>
    </row>
    <row r="161" spans="18:18">
      <c r="R161" s="149"/>
    </row>
    <row r="162" spans="18:18">
      <c r="R162" s="149"/>
    </row>
    <row r="163" spans="18:18">
      <c r="R163" s="149"/>
    </row>
    <row r="164" spans="18:18">
      <c r="R164" s="149"/>
    </row>
    <row r="165" spans="18:18">
      <c r="R165" s="149"/>
    </row>
    <row r="166" spans="18:18">
      <c r="R166" s="149"/>
    </row>
    <row r="167" spans="18:18">
      <c r="R167" s="149"/>
    </row>
    <row r="168" spans="18:18">
      <c r="R168" s="149"/>
    </row>
    <row r="169" spans="18:18">
      <c r="R169" s="149"/>
    </row>
    <row r="170" spans="18:18">
      <c r="R170" s="149"/>
    </row>
    <row r="171" spans="18:18">
      <c r="R171" s="149"/>
    </row>
    <row r="172" spans="18:18">
      <c r="R172" s="149"/>
    </row>
    <row r="173" spans="18:18">
      <c r="R173" s="149"/>
    </row>
    <row r="174" spans="18:18">
      <c r="R174" s="149"/>
    </row>
    <row r="175" spans="18:18">
      <c r="R175" s="149"/>
    </row>
  </sheetData>
  <sortState ref="M26:R30">
    <sortCondition ref="Q26:Q30"/>
  </sortState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3" name="Button 11" r:id="rId3">
              <controlPr print="0" defaultSize="0">
                <anchor moveWithCells="1">
                  <from>
                    <xdr:col>4</xdr:col>
                    <xdr:colOff>257175</xdr:colOff>
                    <xdr:row>33</xdr:row>
                    <xdr:rowOff>114300</xdr:rowOff>
                  </from>
                  <to>
                    <xdr:col>6</xdr:col>
                    <xdr:colOff>323850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name="Button 12" r:id="rId4">
              <controlPr print="0" defaultSize="0">
                <anchor moveWithCells="1">
                  <from>
                    <xdr:col>4</xdr:col>
                    <xdr:colOff>257810</xdr:colOff>
                    <xdr:row>36</xdr:row>
                    <xdr:rowOff>9525</xdr:rowOff>
                  </from>
                  <to>
                    <xdr:col>6</xdr:col>
                    <xdr:colOff>286385</xdr:colOff>
                    <xdr:row>37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4" name="Button 142" r:id="rId5">
              <controlPr print="0" defaultSize="0">
                <anchor moveWithCells="1">
                  <from>
                    <xdr:col>20</xdr:col>
                    <xdr:colOff>104775</xdr:colOff>
                    <xdr:row>3</xdr:row>
                    <xdr:rowOff>85725</xdr:rowOff>
                  </from>
                  <to>
                    <xdr:col>21</xdr:col>
                    <xdr:colOff>618490</xdr:colOff>
                    <xdr:row>5</xdr:row>
                    <xdr:rowOff>27940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9" name="Check Box 20" r:id="rId6">
              <controlPr defaultSize="0">
                <anchor moveWithCells="1">
                  <from>
                    <xdr:col>2</xdr:col>
                    <xdr:colOff>189865</xdr:colOff>
                    <xdr:row>39</xdr:row>
                    <xdr:rowOff>64135</xdr:rowOff>
                  </from>
                  <to>
                    <xdr:col>3</xdr:col>
                    <xdr:colOff>542925</xdr:colOff>
                    <xdr:row>40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1" name="Check Box 19" r:id="rId7">
              <controlPr defaultSize="0">
                <anchor moveWithCells="1">
                  <from>
                    <xdr:col>2</xdr:col>
                    <xdr:colOff>189865</xdr:colOff>
                    <xdr:row>37</xdr:row>
                    <xdr:rowOff>92710</xdr:rowOff>
                  </from>
                  <to>
                    <xdr:col>4</xdr:col>
                    <xdr:colOff>645160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0" name="Check Box 18" r:id="rId8">
              <controlPr defaultSize="0">
                <anchor moveWithCells="1">
                  <from>
                    <xdr:col>2</xdr:col>
                    <xdr:colOff>189865</xdr:colOff>
                    <xdr:row>35</xdr:row>
                    <xdr:rowOff>92710</xdr:rowOff>
                  </from>
                  <to>
                    <xdr:col>4</xdr:col>
                    <xdr:colOff>645160</xdr:colOff>
                    <xdr:row>36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9" name="Check Box 17" r:id="rId9">
              <controlPr defaultSize="0">
                <anchor moveWithCells="1">
                  <from>
                    <xdr:col>2</xdr:col>
                    <xdr:colOff>189865</xdr:colOff>
                    <xdr:row>33</xdr:row>
                    <xdr:rowOff>92710</xdr:rowOff>
                  </from>
                  <to>
                    <xdr:col>4</xdr:col>
                    <xdr:colOff>645160</xdr:colOff>
                    <xdr:row>34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name="Check Box 16" r:id="rId10">
              <controlPr defaultSize="0">
                <anchor moveWithCells="1">
                  <from>
                    <xdr:col>2</xdr:col>
                    <xdr:colOff>206375</xdr:colOff>
                    <xdr:row>31</xdr:row>
                    <xdr:rowOff>73025</xdr:rowOff>
                  </from>
                  <to>
                    <xdr:col>3</xdr:col>
                    <xdr:colOff>520700</xdr:colOff>
                    <xdr:row>32</xdr:row>
                    <xdr:rowOff>115570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8" name="Check Box 15" r:id="rId11">
              <controlPr defaultSize="0">
                <anchor moveWithCells="1">
                  <from>
                    <xdr:col>2</xdr:col>
                    <xdr:colOff>189865</xdr:colOff>
                    <xdr:row>29</xdr:row>
                    <xdr:rowOff>41910</xdr:rowOff>
                  </from>
                  <to>
                    <xdr:col>4</xdr:col>
                    <xdr:colOff>645160</xdr:colOff>
                    <xdr:row>30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7" name="Check Box 14" r:id="rId12">
              <controlPr defaultSize="0">
                <anchor moveWithCells="1">
                  <from>
                    <xdr:col>2</xdr:col>
                    <xdr:colOff>189865</xdr:colOff>
                    <xdr:row>27</xdr:row>
                    <xdr:rowOff>41910</xdr:rowOff>
                  </from>
                  <to>
                    <xdr:col>3</xdr:col>
                    <xdr:colOff>92710</xdr:colOff>
                    <xdr:row>28</xdr:row>
                    <xdr:rowOff>93980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4" name="Check Box 13" r:id="rId13">
              <controlPr defaultSize="0">
                <anchor moveWithCells="1">
                  <from>
                    <xdr:col>2</xdr:col>
                    <xdr:colOff>177165</xdr:colOff>
                    <xdr:row>25</xdr:row>
                    <xdr:rowOff>41910</xdr:rowOff>
                  </from>
                  <to>
                    <xdr:col>4</xdr:col>
                    <xdr:colOff>233680</xdr:colOff>
                    <xdr:row>26</xdr:row>
                    <xdr:rowOff>65405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12" name="Check Box 12" r:id="rId14">
              <controlPr defaultSize="0">
                <anchor moveWithCells="1">
                  <from>
                    <xdr:col>2</xdr:col>
                    <xdr:colOff>180340</xdr:colOff>
                    <xdr:row>23</xdr:row>
                    <xdr:rowOff>60960</xdr:rowOff>
                  </from>
                  <to>
                    <xdr:col>4</xdr:col>
                    <xdr:colOff>427990</xdr:colOff>
                    <xdr:row>24</xdr:row>
                    <xdr:rowOff>113030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3" name="Check Box 11" r:id="rId15">
              <controlPr defaultSize="0">
                <anchor moveWithCells="1">
                  <from>
                    <xdr:col>2</xdr:col>
                    <xdr:colOff>164465</xdr:colOff>
                    <xdr:row>21</xdr:row>
                    <xdr:rowOff>54610</xdr:rowOff>
                  </from>
                  <to>
                    <xdr:col>4</xdr:col>
                    <xdr:colOff>640080</xdr:colOff>
                    <xdr:row>22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10" r:id="rId16">
              <controlPr defaultSize="0">
                <anchor moveWithCells="1">
                  <from>
                    <xdr:col>2</xdr:col>
                    <xdr:colOff>165100</xdr:colOff>
                    <xdr:row>19</xdr:row>
                    <xdr:rowOff>57150</xdr:rowOff>
                  </from>
                  <to>
                    <xdr:col>5</xdr:col>
                    <xdr:colOff>640715</xdr:colOff>
                    <xdr:row>20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2" name="Check Box 9" r:id="rId17">
              <controlPr defaultSize="0">
                <anchor moveWithCells="1">
                  <from>
                    <xdr:col>2</xdr:col>
                    <xdr:colOff>164465</xdr:colOff>
                    <xdr:row>17</xdr:row>
                    <xdr:rowOff>67310</xdr:rowOff>
                  </from>
                  <to>
                    <xdr:col>4</xdr:col>
                    <xdr:colOff>147320</xdr:colOff>
                    <xdr:row>18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5" name="Check Box 8" r:id="rId18">
              <controlPr defaultSize="0">
                <anchor moveWithCells="1">
                  <from>
                    <xdr:col>2</xdr:col>
                    <xdr:colOff>164465</xdr:colOff>
                    <xdr:row>15</xdr:row>
                    <xdr:rowOff>67310</xdr:rowOff>
                  </from>
                  <to>
                    <xdr:col>5</xdr:col>
                    <xdr:colOff>106045</xdr:colOff>
                    <xdr:row>16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1" name="Check Box 7" r:id="rId19">
              <controlPr defaultSize="0">
                <anchor moveWithCells="1">
                  <from>
                    <xdr:col>2</xdr:col>
                    <xdr:colOff>151765</xdr:colOff>
                    <xdr:row>13</xdr:row>
                    <xdr:rowOff>54610</xdr:rowOff>
                  </from>
                  <to>
                    <xdr:col>3</xdr:col>
                    <xdr:colOff>504825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20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21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8" name="Check Box 4" r:id="rId22">
              <controlPr defaultSize="0">
                <anchor moveWithCells="1">
                  <from>
                    <xdr:col>2</xdr:col>
                    <xdr:colOff>151765</xdr:colOff>
                    <xdr:row>7</xdr:row>
                    <xdr:rowOff>45085</xdr:rowOff>
                  </from>
                  <to>
                    <xdr:col>3</xdr:col>
                    <xdr:colOff>504825</xdr:colOff>
                    <xdr:row>8</xdr:row>
                    <xdr:rowOff>97155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3" r:id="rId23">
              <controlPr defaultSize="0">
                <anchor moveWithCells="1">
                  <from>
                    <xdr:col>2</xdr:col>
                    <xdr:colOff>142875</xdr:colOff>
                    <xdr:row>5</xdr:row>
                    <xdr:rowOff>63500</xdr:rowOff>
                  </from>
                  <to>
                    <xdr:col>4</xdr:col>
                    <xdr:colOff>552450</xdr:colOff>
                    <xdr:row>6</xdr:row>
                    <xdr:rowOff>106045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2" r:id="rId24">
              <controlPr defaultSize="0">
                <anchor moveWithCells="1">
                  <from>
                    <xdr:col>2</xdr:col>
                    <xdr:colOff>149225</xdr:colOff>
                    <xdr:row>3</xdr:row>
                    <xdr:rowOff>60325</xdr:rowOff>
                  </from>
                  <to>
                    <xdr:col>4</xdr:col>
                    <xdr:colOff>558800</xdr:colOff>
                    <xdr:row>4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0" name="Check Box 1" r:id="rId25">
              <controlPr defaultSize="0">
                <anchor moveWithCells="1">
                  <from>
                    <xdr:col>2</xdr:col>
                    <xdr:colOff>164465</xdr:colOff>
                    <xdr:row>1</xdr:row>
                    <xdr:rowOff>67310</xdr:rowOff>
                  </from>
                  <to>
                    <xdr:col>3</xdr:col>
                    <xdr:colOff>517525</xdr:colOff>
                    <xdr:row>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1" name="Button 569" r:id="rId26">
              <controlPr print="0" defaultSize="0">
                <anchor moveWithCells="1">
                  <from>
                    <xdr:col>20</xdr:col>
                    <xdr:colOff>114300</xdr:colOff>
                    <xdr:row>6</xdr:row>
                    <xdr:rowOff>9525</xdr:rowOff>
                  </from>
                  <to>
                    <xdr:col>22</xdr:col>
                    <xdr:colOff>18415</xdr:colOff>
                    <xdr:row>7</xdr:row>
                    <xdr:rowOff>113665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2" name="Check Box 21" r:id="rId27">
              <controlPr defaultSize="0">
                <anchor moveWithCells="1">
                  <from>
                    <xdr:col>2</xdr:col>
                    <xdr:colOff>202565</xdr:colOff>
                    <xdr:row>41</xdr:row>
                    <xdr:rowOff>38100</xdr:rowOff>
                  </from>
                  <to>
                    <xdr:col>3</xdr:col>
                    <xdr:colOff>555625</xdr:colOff>
                    <xdr:row>42</xdr:row>
                    <xdr:rowOff>90805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3" name="Check Box 22" r:id="rId28">
              <controlPr defaultSize="0">
                <anchor moveWithCells="1">
                  <from>
                    <xdr:col>2</xdr:col>
                    <xdr:colOff>202565</xdr:colOff>
                    <xdr:row>43</xdr:row>
                    <xdr:rowOff>50800</xdr:rowOff>
                  </from>
                  <to>
                    <xdr:col>3</xdr:col>
                    <xdr:colOff>555625</xdr:colOff>
                    <xdr:row>44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4" name="Check Box 23" r:id="rId29">
              <controlPr defaultSize="0">
                <anchor moveWithCells="1">
                  <from>
                    <xdr:col>2</xdr:col>
                    <xdr:colOff>202565</xdr:colOff>
                    <xdr:row>45</xdr:row>
                    <xdr:rowOff>50800</xdr:rowOff>
                  </from>
                  <to>
                    <xdr:col>3</xdr:col>
                    <xdr:colOff>555625</xdr:colOff>
                    <xdr:row>46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5" name="Check Box 24" r:id="rId30">
              <controlPr defaultSize="0">
                <anchor moveWithCells="1">
                  <from>
                    <xdr:col>2</xdr:col>
                    <xdr:colOff>215265</xdr:colOff>
                    <xdr:row>47</xdr:row>
                    <xdr:rowOff>50800</xdr:rowOff>
                  </from>
                  <to>
                    <xdr:col>3</xdr:col>
                    <xdr:colOff>568325</xdr:colOff>
                    <xdr:row>48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26" name="Check Box 25" r:id="rId31">
              <controlPr defaultSize="0">
                <anchor moveWithCells="1">
                  <from>
                    <xdr:col>2</xdr:col>
                    <xdr:colOff>227965</xdr:colOff>
                    <xdr:row>49</xdr:row>
                    <xdr:rowOff>50800</xdr:rowOff>
                  </from>
                  <to>
                    <xdr:col>3</xdr:col>
                    <xdr:colOff>581025</xdr:colOff>
                    <xdr:row>50</xdr:row>
                    <xdr:rowOff>103505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33" name="Button 881" r:id="rId32">
              <controlPr print="0" defaultSize="0">
                <anchor moveWithCells="1">
                  <from>
                    <xdr:col>4</xdr:col>
                    <xdr:colOff>266700</xdr:colOff>
                    <xdr:row>38</xdr:row>
                    <xdr:rowOff>57150</xdr:rowOff>
                  </from>
                  <to>
                    <xdr:col>6</xdr:col>
                    <xdr:colOff>294640</xdr:colOff>
                    <xdr:row>40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name="Check Box 973" r:id="rId3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name="Check Box 974" r:id="rId3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name="Check Box 975" r:id="rId3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name="Check Box 976" r:id="rId3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name="Check Box 977" r:id="rId3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name="Check Box 978" r:id="rId3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name="Check Box 979" r:id="rId3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name="Check Box 980" r:id="rId4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name="Check Box 981" r:id="rId41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name="Check Box 982" r:id="rId4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name="Check Box 983" r:id="rId43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name="Check Box 984" r:id="rId44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name="Check Box 985" r:id="rId45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name="Check Box 986" r:id="rId46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name="Check Box 987" r:id="rId47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name="Check Box 988" r:id="rId48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name="Check Box 989" r:id="rId49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name="Check Box 990" r:id="rId50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name="Check Box 991" r:id="rId51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name="Check Box 992" r:id="rId52">
              <controlPr defaultSize="0">
                <anchor moveWithCells="1" sizeWithCells="1">
                  <from>
                    <xdr:col>19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name="Check Box 993" r:id="rId53">
              <controlPr defaultSize="0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20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name="Check Box 994" r:id="rId54">
              <controlPr defaultSize="0">
                <anchor moveWithCells="1" sizeWithCells="1">
                  <from>
                    <xdr:col>19</xdr:col>
                    <xdr:colOff>0</xdr:colOff>
                    <xdr:row>12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name="Check Box 995" r:id="rId55">
              <controlPr defaultSize="0">
                <anchor moveWithCells="1" siz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name="Check Box 996" r:id="rId56">
              <controlPr defaultSize="0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20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name="Check Box 997" r:id="rId57">
              <controlPr defaultSize="0">
                <anchor moveWithCells="1" sizeWithCells="1">
                  <from>
                    <xdr:col>19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name="Check Box 998" r:id="rId58">
              <controlPr defaultSize="0">
                <anchor moveWithCells="1" sizeWithCells="1">
                  <from>
                    <xdr:col>19</xdr:col>
                    <xdr:colOff>0</xdr:colOff>
                    <xdr:row>16</xdr:row>
                    <xdr:rowOff>0</xdr:rowOff>
                  </from>
                  <to>
                    <xdr:col>20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name="Check Box 999" r:id="rId59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name="Check Box 1000" r:id="rId60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name="Check Box 1001" r:id="rId61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name="Check Box 1002" r:id="rId62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name="Check Box 1003" r:id="rId63">
              <controlPr defaultSize="0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name="Check Box 1004" r:id="rId64">
              <controlPr defaultSize="0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name="Check Box 1005" r:id="rId65">
              <controlPr defaultSize="0">
                <anchor moveWithCells="1" sizeWithCells="1">
                  <from>
                    <xdr:col>19</xdr:col>
                    <xdr:colOff>0</xdr:colOff>
                    <xdr:row>7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name="Check Box 1006" r:id="rId66">
              <controlPr defaultSize="0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name="Check Box 1007" r:id="rId67">
              <controlPr defaultSize="0">
                <anchor moveWithCells="1" sizeWithCells="1">
                  <from>
                    <xdr:col>19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name="Check Box 1008" r:id="rId68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name="Check Box 1009" r:id="rId69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name="Check Box 1010" r:id="rId70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name="Check Box 1011" r:id="rId71">
              <controlPr defaultSize="0">
                <anchor moveWithCells="1" siz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name="Check Box 1012" r:id="rId72">
              <controlPr defaultSize="0">
                <anchor moveWithCells="1" sizeWithCells="1">
                  <from>
                    <xdr:col>19</xdr:col>
                    <xdr:colOff>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name="Check Box 1013" r:id="rId73">
              <controlPr defaultSize="0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name="Check Box 1014" r:id="rId74">
              <controlPr defaultSize="0">
                <anchor moveWithCells="1" sizeWithCells="1">
                  <from>
                    <xdr:col>19</xdr:col>
                    <xdr:colOff>0</xdr:colOff>
                    <xdr:row>3</xdr:row>
                    <xdr:rowOff>0</xdr:rowOff>
                  </from>
                  <to>
                    <xdr:col>20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C13" sqref="C1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117</v>
      </c>
      <c r="B1">
        <v>2</v>
      </c>
    </row>
    <row r="2" spans="1:28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  <c r="X2" s="77"/>
      <c r="Y2" s="77"/>
      <c r="Z2" s="77" t="s">
        <v>128</v>
      </c>
      <c r="AA2" s="77"/>
      <c r="AB2" s="77"/>
    </row>
    <row r="3" spans="1:2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X3" s="77" t="s">
        <v>130</v>
      </c>
      <c r="Y3" s="77"/>
      <c r="Z3" s="77"/>
      <c r="AA3" s="77"/>
      <c r="AB3" s="77"/>
    </row>
    <row r="4" spans="1:28">
      <c r="A4" s="1" t="s">
        <v>131</v>
      </c>
      <c r="B4" s="1" t="s">
        <v>132</v>
      </c>
      <c r="D4" s="86" t="s">
        <v>133</v>
      </c>
      <c r="AB4" s="124"/>
    </row>
    <row r="5" spans="1:4">
      <c r="A5" s="1" t="s">
        <v>134</v>
      </c>
      <c r="B5">
        <v>0.8</v>
      </c>
      <c r="D5">
        <v>2.39</v>
      </c>
    </row>
    <row r="6" spans="1:4">
      <c r="A6" t="s">
        <v>135</v>
      </c>
      <c r="B6">
        <v>0.39</v>
      </c>
      <c r="D6">
        <v>0.53</v>
      </c>
    </row>
    <row r="7" spans="1:4">
      <c r="A7" t="s">
        <v>136</v>
      </c>
      <c r="B7">
        <v>0.54</v>
      </c>
      <c r="D7">
        <v>0.58</v>
      </c>
    </row>
    <row r="8" spans="1:6">
      <c r="A8" s="1" t="s">
        <v>137</v>
      </c>
      <c r="B8" s="2">
        <v>0</v>
      </c>
      <c r="D8" s="2">
        <v>0</v>
      </c>
      <c r="F8" s="2"/>
    </row>
    <row r="9" spans="1:6">
      <c r="A9" t="s">
        <v>138</v>
      </c>
      <c r="B9" s="2">
        <v>0</v>
      </c>
      <c r="D9" s="2">
        <v>0.0441</v>
      </c>
      <c r="F9" s="2"/>
    </row>
    <row r="10" spans="14:21">
      <c r="N10" s="132" t="s">
        <v>139</v>
      </c>
      <c r="O10" s="132"/>
      <c r="P10" s="132"/>
      <c r="Q10" s="132"/>
      <c r="R10" s="132"/>
      <c r="S10" s="132"/>
      <c r="T10" s="132"/>
      <c r="U10" s="132"/>
    </row>
    <row r="11" ht="14.25" spans="1:22">
      <c r="A11" s="3" t="s">
        <v>140</v>
      </c>
      <c r="B11" s="3" t="s">
        <v>141</v>
      </c>
      <c r="C11" s="4" t="s">
        <v>142</v>
      </c>
      <c r="D11" s="6" t="s">
        <v>143</v>
      </c>
      <c r="E11" s="6" t="s">
        <v>144</v>
      </c>
      <c r="F11" s="4" t="s">
        <v>145</v>
      </c>
      <c r="G11" s="110"/>
      <c r="H11" s="110"/>
      <c r="I11" s="133"/>
      <c r="J11" s="110"/>
      <c r="K11" s="110"/>
      <c r="L11" s="133"/>
      <c r="M11" s="4"/>
      <c r="N11" s="134" t="s">
        <v>140</v>
      </c>
      <c r="O11" s="135" t="s">
        <v>141</v>
      </c>
      <c r="P11" s="58" t="s">
        <v>146</v>
      </c>
      <c r="Q11" s="58"/>
      <c r="R11" s="58"/>
      <c r="S11" s="58" t="s">
        <v>147</v>
      </c>
      <c r="T11" s="58" t="s">
        <v>148</v>
      </c>
      <c r="U11" s="135" t="s">
        <v>149</v>
      </c>
      <c r="V11" s="134" t="s">
        <v>150</v>
      </c>
    </row>
    <row r="12" ht="14.25" spans="1:22">
      <c r="A12" s="3"/>
      <c r="B12" s="5"/>
      <c r="C12" s="6"/>
      <c r="D12" s="58"/>
      <c r="E12" s="58"/>
      <c r="F12" s="4"/>
      <c r="G12" s="110"/>
      <c r="H12" s="110"/>
      <c r="I12" s="133"/>
      <c r="J12" s="110"/>
      <c r="K12" s="110"/>
      <c r="L12" s="133"/>
      <c r="M12" s="4"/>
      <c r="N12" s="3"/>
      <c r="O12" s="58"/>
      <c r="P12" s="4" t="s">
        <v>151</v>
      </c>
      <c r="Q12" s="4" t="s">
        <v>152</v>
      </c>
      <c r="R12" s="4" t="s">
        <v>153</v>
      </c>
      <c r="S12" s="4"/>
      <c r="T12" s="4"/>
      <c r="U12" s="58"/>
      <c r="V12" s="3"/>
    </row>
    <row r="13" ht="15.75" spans="1:22">
      <c r="A13" s="77" t="s">
        <v>154</v>
      </c>
      <c r="B13" s="125" t="s">
        <v>155</v>
      </c>
      <c r="C13" s="125">
        <v>95.64</v>
      </c>
      <c r="D13" s="125">
        <v>96.44</v>
      </c>
      <c r="E13" s="125">
        <v>95.62</v>
      </c>
      <c r="F13" s="125">
        <v>2.07</v>
      </c>
      <c r="G13" s="110"/>
      <c r="H13" s="110"/>
      <c r="I13" s="133"/>
      <c r="J13" s="110"/>
      <c r="K13" s="110"/>
      <c r="L13" s="133"/>
      <c r="M13" s="1"/>
      <c r="N13" s="97"/>
      <c r="O13" s="97"/>
      <c r="P13" s="99">
        <v>0.799999999999997</v>
      </c>
      <c r="Q13" s="99">
        <v>0.799999999999997</v>
      </c>
      <c r="R13" s="99">
        <v>0</v>
      </c>
      <c r="S13" s="99">
        <v>2.07</v>
      </c>
      <c r="T13" s="99">
        <v>0.386473429951689</v>
      </c>
      <c r="U13" s="117">
        <v>0</v>
      </c>
      <c r="V13" s="110">
        <v>-0.819999999999993</v>
      </c>
    </row>
    <row r="14" ht="15.75" spans="1:22">
      <c r="A14" s="22" t="s">
        <v>154</v>
      </c>
      <c r="B14" s="125" t="s">
        <v>156</v>
      </c>
      <c r="C14" s="125">
        <v>86.44</v>
      </c>
      <c r="D14" s="125">
        <v>87.22</v>
      </c>
      <c r="E14" s="125">
        <v>86.39</v>
      </c>
      <c r="F14" s="125">
        <v>1.91</v>
      </c>
      <c r="G14" s="110"/>
      <c r="H14" s="110"/>
      <c r="I14" s="133"/>
      <c r="J14" s="110"/>
      <c r="K14" s="110"/>
      <c r="L14" s="133"/>
      <c r="M14" s="1"/>
      <c r="N14" s="97"/>
      <c r="O14" s="97"/>
      <c r="P14" s="99">
        <v>0.780000000000001</v>
      </c>
      <c r="Q14" s="99">
        <v>0.780000000000001</v>
      </c>
      <c r="R14" s="99">
        <v>0</v>
      </c>
      <c r="S14" s="99">
        <v>1.91</v>
      </c>
      <c r="T14" s="99">
        <v>0.408376963350786</v>
      </c>
      <c r="U14" s="117">
        <v>0</v>
      </c>
      <c r="V14" s="110">
        <v>-0.829999999999998</v>
      </c>
    </row>
    <row r="15" ht="15.75" spans="1:22">
      <c r="A15" s="22" t="s">
        <v>154</v>
      </c>
      <c r="B15" s="125" t="s">
        <v>157</v>
      </c>
      <c r="C15" s="125">
        <v>63.98</v>
      </c>
      <c r="D15" s="125">
        <v>64.76</v>
      </c>
      <c r="E15" s="125">
        <v>63.98</v>
      </c>
      <c r="F15" s="125">
        <v>1.7</v>
      </c>
      <c r="G15" s="110"/>
      <c r="H15" s="110"/>
      <c r="I15" s="133"/>
      <c r="J15" s="110"/>
      <c r="K15" s="110"/>
      <c r="L15" s="133"/>
      <c r="M15" s="1"/>
      <c r="N15" s="100"/>
      <c r="O15" s="100"/>
      <c r="P15" s="99">
        <v>0.780000000000008</v>
      </c>
      <c r="Q15" s="99">
        <v>0.780000000000008</v>
      </c>
      <c r="R15" s="99">
        <v>0</v>
      </c>
      <c r="S15" s="99">
        <v>1.7</v>
      </c>
      <c r="T15" s="99">
        <v>0.45882352941177</v>
      </c>
      <c r="U15" s="117">
        <v>0</v>
      </c>
      <c r="V15" s="147">
        <v>-0.780000000000008</v>
      </c>
    </row>
    <row r="16" ht="15.75" spans="1:22">
      <c r="A16" s="22" t="s">
        <v>154</v>
      </c>
      <c r="B16" s="125" t="s">
        <v>158</v>
      </c>
      <c r="C16" s="125">
        <v>-52.41</v>
      </c>
      <c r="D16" s="125">
        <v>-52.19</v>
      </c>
      <c r="E16" s="125">
        <v>-52.53</v>
      </c>
      <c r="F16" s="125">
        <v>0.41</v>
      </c>
      <c r="G16" s="110"/>
      <c r="H16" s="110"/>
      <c r="I16" s="133"/>
      <c r="J16" s="110"/>
      <c r="K16" s="110"/>
      <c r="L16" s="133"/>
      <c r="M16" s="1"/>
      <c r="N16" s="97"/>
      <c r="O16" s="97"/>
      <c r="P16" s="99">
        <v>0.219999999999999</v>
      </c>
      <c r="Q16" s="99">
        <v>0.219999999999999</v>
      </c>
      <c r="R16" s="99">
        <v>0</v>
      </c>
      <c r="S16" s="99">
        <v>0.41</v>
      </c>
      <c r="T16" s="99">
        <v>0.536585365853656</v>
      </c>
      <c r="U16" s="117">
        <v>0</v>
      </c>
      <c r="V16" s="110">
        <v>-0.340000000000003</v>
      </c>
    </row>
    <row r="17" ht="15.75" spans="1:22">
      <c r="A17" s="22" t="s">
        <v>159</v>
      </c>
      <c r="B17" s="125" t="s">
        <v>158</v>
      </c>
      <c r="C17" s="125">
        <v>-53.59</v>
      </c>
      <c r="D17" s="125">
        <v>-51.99</v>
      </c>
      <c r="E17" s="125">
        <v>-53.53</v>
      </c>
      <c r="F17" s="125">
        <v>2.88</v>
      </c>
      <c r="G17" s="110"/>
      <c r="H17" s="110"/>
      <c r="I17" s="133"/>
      <c r="J17" s="110"/>
      <c r="K17" s="110"/>
      <c r="L17" s="133"/>
      <c r="M17" s="1"/>
      <c r="N17" s="97"/>
      <c r="O17" s="97"/>
      <c r="P17" s="99">
        <v>1.6</v>
      </c>
      <c r="Q17" s="99">
        <v>1.54</v>
      </c>
      <c r="R17" s="99">
        <v>0.0600000000000023</v>
      </c>
      <c r="S17" s="99">
        <v>2.88</v>
      </c>
      <c r="T17" s="99">
        <v>0.534722222222222</v>
      </c>
      <c r="U17" s="117">
        <v>0.0375000000000014</v>
      </c>
      <c r="V17" s="110">
        <v>-1.54</v>
      </c>
    </row>
    <row r="18" ht="15.75" spans="1:22">
      <c r="A18" s="22" t="s">
        <v>159</v>
      </c>
      <c r="B18" s="125" t="s">
        <v>160</v>
      </c>
      <c r="C18" s="125">
        <v>-70.53</v>
      </c>
      <c r="D18" s="125">
        <v>-68.49</v>
      </c>
      <c r="E18" s="125">
        <v>-70.44</v>
      </c>
      <c r="F18" s="125">
        <v>3.51</v>
      </c>
      <c r="G18" s="110"/>
      <c r="H18" s="110"/>
      <c r="I18" s="133"/>
      <c r="J18" s="110"/>
      <c r="K18" s="110"/>
      <c r="L18" s="133"/>
      <c r="M18" s="1"/>
      <c r="N18" s="100"/>
      <c r="O18" s="100"/>
      <c r="P18" s="99">
        <v>2.04000000000001</v>
      </c>
      <c r="Q18" s="99">
        <v>1.95</v>
      </c>
      <c r="R18" s="99">
        <v>0.0900000000000034</v>
      </c>
      <c r="S18" s="99">
        <v>3.51</v>
      </c>
      <c r="T18" s="99">
        <v>0.555555555555556</v>
      </c>
      <c r="U18" s="117">
        <v>0.0441176470588251</v>
      </c>
      <c r="V18" s="147">
        <v>-1.95</v>
      </c>
    </row>
    <row r="19" ht="15.75" spans="1:22">
      <c r="A19" s="22" t="s">
        <v>159</v>
      </c>
      <c r="B19" s="125" t="s">
        <v>161</v>
      </c>
      <c r="C19" s="125">
        <v>-88.98</v>
      </c>
      <c r="D19" s="125">
        <v>-86.69</v>
      </c>
      <c r="E19" s="125">
        <v>-88.94</v>
      </c>
      <c r="F19" s="125">
        <v>3.95</v>
      </c>
      <c r="G19" s="110"/>
      <c r="H19" s="110"/>
      <c r="I19" s="133"/>
      <c r="J19" s="110"/>
      <c r="K19" s="110"/>
      <c r="L19" s="133"/>
      <c r="M19" s="1"/>
      <c r="N19" s="97"/>
      <c r="O19" s="97"/>
      <c r="P19" s="99">
        <v>2.29000000000001</v>
      </c>
      <c r="Q19" s="99">
        <v>2.25</v>
      </c>
      <c r="R19" s="99">
        <v>0.0400000000000063</v>
      </c>
      <c r="S19" s="99">
        <v>3.95</v>
      </c>
      <c r="T19" s="99">
        <v>0.569620253164557</v>
      </c>
      <c r="U19" s="117">
        <v>0.0174672489082996</v>
      </c>
      <c r="V19" s="110">
        <v>-2.25</v>
      </c>
    </row>
    <row r="20" ht="15.75" spans="1:22">
      <c r="A20" s="22" t="s">
        <v>159</v>
      </c>
      <c r="B20" s="125" t="s">
        <v>162</v>
      </c>
      <c r="C20" s="125">
        <v>-110.77</v>
      </c>
      <c r="D20" s="125">
        <v>-108.34</v>
      </c>
      <c r="E20" s="125">
        <v>-110.73</v>
      </c>
      <c r="F20" s="125">
        <v>4.1</v>
      </c>
      <c r="G20" s="110"/>
      <c r="H20" s="110"/>
      <c r="I20" s="133"/>
      <c r="J20" s="110"/>
      <c r="K20" s="110"/>
      <c r="L20" s="133"/>
      <c r="M20" s="1"/>
      <c r="N20" s="97"/>
      <c r="O20" s="97"/>
      <c r="P20" s="99">
        <v>2.42999999999999</v>
      </c>
      <c r="Q20" s="99">
        <v>2.39</v>
      </c>
      <c r="R20" s="99">
        <v>0.039999999999992</v>
      </c>
      <c r="S20" s="99">
        <v>4.1</v>
      </c>
      <c r="T20" s="99">
        <v>0.582926829268293</v>
      </c>
      <c r="U20" s="117">
        <v>0.016460905349791</v>
      </c>
      <c r="V20" s="110">
        <v>-2.39</v>
      </c>
    </row>
    <row r="21" ht="15.75" spans="1:22">
      <c r="A21" s="22" t="s">
        <v>159</v>
      </c>
      <c r="B21" s="125" t="s">
        <v>163</v>
      </c>
      <c r="C21" s="125">
        <v>-133.36</v>
      </c>
      <c r="D21" s="125">
        <v>-131.09</v>
      </c>
      <c r="E21" s="125">
        <v>-133.33</v>
      </c>
      <c r="F21" s="125">
        <v>3.84</v>
      </c>
      <c r="G21" s="110"/>
      <c r="H21" s="110"/>
      <c r="I21" s="133"/>
      <c r="J21" s="110"/>
      <c r="K21" s="110"/>
      <c r="L21" s="133"/>
      <c r="N21" s="97"/>
      <c r="O21" s="97"/>
      <c r="P21" s="99">
        <v>2.27000000000001</v>
      </c>
      <c r="Q21" s="99">
        <v>2.24000000000001</v>
      </c>
      <c r="R21" s="99">
        <v>0.0300000000000011</v>
      </c>
      <c r="S21" s="99">
        <v>3.84</v>
      </c>
      <c r="T21" s="99">
        <v>0.583333333333336</v>
      </c>
      <c r="U21" s="117">
        <v>0.0132158590308374</v>
      </c>
      <c r="V21" s="110">
        <v>-2.24000000000001</v>
      </c>
    </row>
    <row r="22" ht="15.75" spans="1:22">
      <c r="A22" s="22" t="s">
        <v>159</v>
      </c>
      <c r="B22" s="125" t="s">
        <v>164</v>
      </c>
      <c r="C22" s="125">
        <v>-160.54</v>
      </c>
      <c r="D22" s="125">
        <v>-158.63</v>
      </c>
      <c r="E22" s="125">
        <v>-160.54</v>
      </c>
      <c r="F22" s="125">
        <v>3.58</v>
      </c>
      <c r="G22" s="110"/>
      <c r="H22" s="110"/>
      <c r="I22" s="133"/>
      <c r="J22" s="110"/>
      <c r="K22" s="110"/>
      <c r="L22" s="133"/>
      <c r="N22" s="101"/>
      <c r="O22" s="101"/>
      <c r="P22" s="99">
        <v>1.91</v>
      </c>
      <c r="Q22" s="99">
        <v>1.91</v>
      </c>
      <c r="R22" s="99">
        <v>0</v>
      </c>
      <c r="S22" s="99">
        <v>3.58</v>
      </c>
      <c r="T22" s="99">
        <v>0.533519553072625</v>
      </c>
      <c r="U22" s="117">
        <v>0</v>
      </c>
      <c r="V22" s="129">
        <v>-1.91</v>
      </c>
    </row>
    <row r="23" ht="15.75" spans="1:22">
      <c r="A23" s="126"/>
      <c r="B23" s="90"/>
      <c r="C23" s="127"/>
      <c r="D23" s="127"/>
      <c r="E23" s="127"/>
      <c r="F23" s="127"/>
      <c r="G23" s="110"/>
      <c r="H23" s="110"/>
      <c r="I23" s="133"/>
      <c r="J23" s="110"/>
      <c r="K23" s="110"/>
      <c r="L23" s="133"/>
      <c r="N23" s="97"/>
      <c r="O23" s="97"/>
      <c r="P23" s="99"/>
      <c r="Q23" s="99"/>
      <c r="R23" s="99"/>
      <c r="S23" s="99"/>
      <c r="T23" s="99"/>
      <c r="U23" s="117"/>
      <c r="V23" s="110"/>
    </row>
    <row r="24" ht="15.75" spans="1:22">
      <c r="A24" s="126"/>
      <c r="B24" s="90"/>
      <c r="C24" s="127"/>
      <c r="D24" s="127"/>
      <c r="E24" s="127"/>
      <c r="F24" s="127"/>
      <c r="G24" s="110"/>
      <c r="H24" s="110"/>
      <c r="I24" s="133"/>
      <c r="J24" s="110"/>
      <c r="K24" s="110"/>
      <c r="L24" s="133"/>
      <c r="N24" s="97"/>
      <c r="O24" s="97"/>
      <c r="P24" s="99"/>
      <c r="Q24" s="99"/>
      <c r="R24" s="99"/>
      <c r="S24" s="99"/>
      <c r="T24" s="99"/>
      <c r="U24" s="117"/>
      <c r="V24" s="110"/>
    </row>
    <row r="25" ht="15.75" spans="1:20">
      <c r="A25" s="126"/>
      <c r="B25" s="90"/>
      <c r="C25" s="127"/>
      <c r="D25" s="127"/>
      <c r="E25" s="127"/>
      <c r="F25" s="127"/>
      <c r="G25" s="110"/>
      <c r="H25" s="110"/>
      <c r="I25" s="133"/>
      <c r="J25" s="126"/>
      <c r="K25" s="133"/>
      <c r="L25" s="136"/>
      <c r="P25" s="137"/>
      <c r="Q25" s="137"/>
      <c r="R25" s="137"/>
      <c r="S25" s="137"/>
      <c r="T25" s="137"/>
    </row>
    <row r="26" ht="16.5" spans="1:20">
      <c r="A26" s="126"/>
      <c r="B26" s="90"/>
      <c r="C26" s="127"/>
      <c r="D26" s="127"/>
      <c r="E26" s="127"/>
      <c r="F26" s="127"/>
      <c r="G26" s="110"/>
      <c r="H26" s="110"/>
      <c r="I26" s="133"/>
      <c r="J26" s="126"/>
      <c r="K26" s="133"/>
      <c r="L26" s="136"/>
      <c r="P26" s="137"/>
      <c r="Q26" s="137"/>
      <c r="R26" s="137"/>
      <c r="S26" s="137"/>
      <c r="T26" s="137"/>
    </row>
    <row r="27" ht="15.75" spans="1:20">
      <c r="A27" s="126"/>
      <c r="B27" s="90"/>
      <c r="C27" s="127"/>
      <c r="D27" s="127"/>
      <c r="E27" s="127"/>
      <c r="F27" s="127"/>
      <c r="G27" s="128"/>
      <c r="H27" s="110"/>
      <c r="I27" s="138"/>
      <c r="J27" s="139"/>
      <c r="K27" s="138"/>
      <c r="L27" s="140"/>
      <c r="P27" s="137"/>
      <c r="Q27" s="137"/>
      <c r="R27" s="137"/>
      <c r="S27" s="137"/>
      <c r="T27" s="137"/>
    </row>
    <row r="28" ht="15.75" spans="1:20">
      <c r="A28" s="126"/>
      <c r="B28" s="90"/>
      <c r="C28" s="127"/>
      <c r="D28" s="127"/>
      <c r="E28" s="127"/>
      <c r="F28" s="127"/>
      <c r="G28" s="110"/>
      <c r="H28" s="110"/>
      <c r="I28" s="133"/>
      <c r="J28" s="126"/>
      <c r="K28" s="133"/>
      <c r="L28" s="136"/>
      <c r="P28" s="137"/>
      <c r="Q28" s="148"/>
      <c r="R28" s="137"/>
      <c r="S28" s="137"/>
      <c r="T28" s="137"/>
    </row>
    <row r="29" ht="15.75" spans="1:12">
      <c r="A29" s="126"/>
      <c r="B29" s="90"/>
      <c r="C29" s="127"/>
      <c r="D29" s="127"/>
      <c r="E29" s="127"/>
      <c r="F29" s="127"/>
      <c r="G29" s="110"/>
      <c r="H29" s="110"/>
      <c r="I29" s="141"/>
      <c r="J29" s="142"/>
      <c r="K29" s="141"/>
      <c r="L29" s="143"/>
    </row>
    <row r="30" ht="15.75" spans="1:12">
      <c r="A30" s="126"/>
      <c r="B30" s="90"/>
      <c r="C30" s="127"/>
      <c r="D30" s="127"/>
      <c r="E30" s="127"/>
      <c r="F30" s="127"/>
      <c r="G30" s="129"/>
      <c r="H30" s="110"/>
      <c r="I30" s="133"/>
      <c r="J30" s="126"/>
      <c r="K30" s="133"/>
      <c r="L30" s="136"/>
    </row>
    <row r="31" ht="15.75" spans="1:12">
      <c r="A31" s="126"/>
      <c r="B31" s="90"/>
      <c r="C31" s="127"/>
      <c r="D31" s="127"/>
      <c r="E31" s="127"/>
      <c r="F31" s="127"/>
      <c r="G31" s="110"/>
      <c r="H31" s="110"/>
      <c r="I31" s="133"/>
      <c r="J31" s="126"/>
      <c r="K31" s="133"/>
      <c r="L31" s="136"/>
    </row>
    <row r="32" ht="15.75" spans="1:12">
      <c r="A32" s="126"/>
      <c r="B32" s="90"/>
      <c r="C32" s="127"/>
      <c r="D32" s="127"/>
      <c r="E32" s="127"/>
      <c r="F32" s="127"/>
      <c r="G32" s="110"/>
      <c r="H32" s="110"/>
      <c r="I32" s="133"/>
      <c r="J32" s="126"/>
      <c r="K32" s="133"/>
      <c r="L32" s="136"/>
    </row>
    <row r="33" ht="15.75" spans="1:12">
      <c r="A33" s="126"/>
      <c r="B33" s="90"/>
      <c r="C33" s="127"/>
      <c r="D33" s="127"/>
      <c r="E33" s="127"/>
      <c r="F33" s="127"/>
      <c r="G33" s="110"/>
      <c r="H33" s="110"/>
      <c r="I33" s="144"/>
      <c r="J33" s="145"/>
      <c r="K33" s="144"/>
      <c r="L33" s="146"/>
    </row>
    <row r="34" ht="15.75" spans="1:12">
      <c r="A34" s="126"/>
      <c r="B34" s="90"/>
      <c r="C34" s="127"/>
      <c r="D34" s="127"/>
      <c r="E34" s="127"/>
      <c r="F34" s="127"/>
      <c r="G34" s="110"/>
      <c r="H34" s="110"/>
      <c r="I34" s="133"/>
      <c r="J34" s="126"/>
      <c r="K34" s="133"/>
      <c r="L34" s="136"/>
    </row>
    <row r="35" ht="15.75" spans="1:12">
      <c r="A35" s="126"/>
      <c r="B35" s="90"/>
      <c r="C35" s="127"/>
      <c r="D35" s="127"/>
      <c r="E35" s="127"/>
      <c r="F35" s="127"/>
      <c r="G35" s="110"/>
      <c r="H35" s="110"/>
      <c r="I35" s="141"/>
      <c r="J35" s="142"/>
      <c r="K35" s="141"/>
      <c r="L35" s="143"/>
    </row>
    <row r="36" ht="15.75" spans="1:12">
      <c r="A36" s="126"/>
      <c r="B36" s="90"/>
      <c r="C36" s="127"/>
      <c r="D36" s="127"/>
      <c r="E36" s="127"/>
      <c r="F36" s="127"/>
      <c r="G36" s="110"/>
      <c r="H36" s="110"/>
      <c r="I36" s="133"/>
      <c r="J36" s="126"/>
      <c r="K36" s="133"/>
      <c r="L36" s="136"/>
    </row>
    <row r="37" ht="15.75" spans="1:12">
      <c r="A37" s="126"/>
      <c r="B37" s="130"/>
      <c r="C37" s="127"/>
      <c r="D37" s="127"/>
      <c r="E37" s="127"/>
      <c r="F37" s="127"/>
      <c r="G37" s="110"/>
      <c r="H37" s="110"/>
      <c r="I37" s="133"/>
      <c r="J37" s="126"/>
      <c r="K37" s="133"/>
      <c r="L37" s="136"/>
    </row>
    <row r="38" ht="15.75" spans="1:12">
      <c r="A38" s="126"/>
      <c r="B38" s="130"/>
      <c r="C38" s="127"/>
      <c r="D38" s="127"/>
      <c r="E38" s="127"/>
      <c r="F38" s="127"/>
      <c r="G38" s="110"/>
      <c r="H38" s="110"/>
      <c r="I38" s="133"/>
      <c r="J38" s="126"/>
      <c r="K38" s="133"/>
      <c r="L38" s="136"/>
    </row>
    <row r="39" ht="15.75" spans="1:12">
      <c r="A39" s="126"/>
      <c r="B39" s="130"/>
      <c r="C39" s="127"/>
      <c r="D39" s="127"/>
      <c r="E39" s="127"/>
      <c r="F39" s="127"/>
      <c r="G39" s="110"/>
      <c r="H39" s="110"/>
      <c r="I39" s="144"/>
      <c r="J39" s="145"/>
      <c r="K39" s="144"/>
      <c r="L39" s="146"/>
    </row>
    <row r="40" ht="15.75" spans="1:12">
      <c r="A40" s="126"/>
      <c r="B40" s="130"/>
      <c r="C40" s="127"/>
      <c r="D40" s="127"/>
      <c r="E40" s="127"/>
      <c r="F40" s="127"/>
      <c r="G40" s="110"/>
      <c r="H40" s="110"/>
      <c r="I40" s="133"/>
      <c r="J40" s="126"/>
      <c r="K40" s="133"/>
      <c r="L40" s="136"/>
    </row>
    <row r="41" ht="15.75" spans="1:6">
      <c r="A41" s="89"/>
      <c r="B41" s="130"/>
      <c r="C41" s="127"/>
      <c r="D41" s="127"/>
      <c r="E41" s="127"/>
      <c r="F41" s="127"/>
    </row>
    <row r="42" ht="15.75" spans="1:6">
      <c r="A42" s="89"/>
      <c r="B42" s="130"/>
      <c r="C42" s="127"/>
      <c r="D42" s="127"/>
      <c r="E42" s="127"/>
      <c r="F42" s="127"/>
    </row>
    <row r="43" ht="15.75" spans="1:6">
      <c r="A43" s="89"/>
      <c r="B43" s="130"/>
      <c r="C43" s="127"/>
      <c r="D43" s="127"/>
      <c r="E43" s="127"/>
      <c r="F43" s="131"/>
    </row>
    <row r="44" ht="15.75" spans="1:6">
      <c r="A44" s="89"/>
      <c r="B44" s="130"/>
      <c r="C44" s="127"/>
      <c r="D44" s="127"/>
      <c r="E44" s="127"/>
      <c r="F44" s="127"/>
    </row>
    <row r="45" ht="15.75" spans="1:6">
      <c r="A45" s="89"/>
      <c r="B45" s="130"/>
      <c r="C45" s="127"/>
      <c r="D45" s="127"/>
      <c r="E45" s="127"/>
      <c r="F45" s="127"/>
    </row>
    <row r="46" ht="15.75" spans="1:6">
      <c r="A46" s="89"/>
      <c r="B46" s="130"/>
      <c r="C46" s="127"/>
      <c r="D46" s="127"/>
      <c r="E46" s="127"/>
      <c r="F46" s="127"/>
    </row>
    <row r="47" ht="15.75" spans="1:6">
      <c r="A47" s="89"/>
      <c r="B47" s="130"/>
      <c r="C47" s="127"/>
      <c r="D47" s="127"/>
      <c r="E47" s="127"/>
      <c r="F47" s="127"/>
    </row>
    <row r="48" ht="15.75" spans="1:6">
      <c r="A48" s="89"/>
      <c r="B48" s="130"/>
      <c r="C48" s="127"/>
      <c r="D48" s="127"/>
      <c r="E48" s="127"/>
      <c r="F48" s="131"/>
    </row>
    <row r="49" ht="15.75" spans="1:6">
      <c r="A49" s="89"/>
      <c r="B49" s="130"/>
      <c r="C49" s="127"/>
      <c r="D49" s="127"/>
      <c r="E49" s="127"/>
      <c r="F49" s="127"/>
    </row>
    <row r="50" ht="15.75" spans="1:6">
      <c r="A50" s="89"/>
      <c r="B50" s="130"/>
      <c r="C50" s="127"/>
      <c r="D50" s="127"/>
      <c r="E50" s="127"/>
      <c r="F50" s="127"/>
    </row>
    <row r="51" ht="15.75" spans="1:6">
      <c r="A51" s="89"/>
      <c r="B51" s="130"/>
      <c r="C51" s="127"/>
      <c r="D51" s="127"/>
      <c r="E51" s="127"/>
      <c r="F51" s="127"/>
    </row>
    <row r="52" ht="15.75" spans="1:6">
      <c r="A52" s="89"/>
      <c r="B52" s="130"/>
      <c r="C52" s="127"/>
      <c r="D52" s="127"/>
      <c r="E52" s="127"/>
      <c r="F52" s="127"/>
    </row>
    <row r="53" ht="15.75" spans="1:6">
      <c r="A53" s="89"/>
      <c r="B53" s="130"/>
      <c r="C53" s="127"/>
      <c r="D53" s="127"/>
      <c r="E53" s="127"/>
      <c r="F53" s="127"/>
    </row>
    <row r="54" ht="15.75" spans="1:6">
      <c r="A54" s="89"/>
      <c r="B54" s="130"/>
      <c r="C54" s="127"/>
      <c r="D54" s="127"/>
      <c r="E54" s="127"/>
      <c r="F54" s="127"/>
    </row>
    <row r="55" ht="15.75" spans="1:6">
      <c r="A55" s="89"/>
      <c r="B55" s="130"/>
      <c r="C55" s="127"/>
      <c r="D55" s="127"/>
      <c r="E55" s="127"/>
      <c r="F55" s="127"/>
    </row>
    <row r="56" ht="15.75" spans="1:6">
      <c r="A56" s="89"/>
      <c r="B56" s="130"/>
      <c r="C56" s="127"/>
      <c r="D56" s="127"/>
      <c r="E56" s="127"/>
      <c r="F56" s="127"/>
    </row>
    <row r="57" ht="15.75" spans="1:6">
      <c r="A57" s="89"/>
      <c r="B57" s="130"/>
      <c r="C57" s="127"/>
      <c r="D57" s="127"/>
      <c r="E57" s="127"/>
      <c r="F57" s="127"/>
    </row>
    <row r="58" ht="15.75" spans="1:6">
      <c r="A58" s="89"/>
      <c r="B58" s="130"/>
      <c r="C58" s="127"/>
      <c r="D58" s="127"/>
      <c r="E58" s="127"/>
      <c r="F58" s="127"/>
    </row>
    <row r="59" ht="15.75" spans="1:6">
      <c r="A59" s="89"/>
      <c r="B59" s="130"/>
      <c r="C59" s="127"/>
      <c r="D59" s="127"/>
      <c r="E59" s="127"/>
      <c r="F59" s="127"/>
    </row>
    <row r="60" ht="15.75" spans="1:6">
      <c r="A60" s="89"/>
      <c r="B60" s="130"/>
      <c r="C60" s="127"/>
      <c r="D60" s="127"/>
      <c r="E60" s="127"/>
      <c r="F60" s="127"/>
    </row>
    <row r="61" ht="15.75" spans="1:6">
      <c r="A61" s="89"/>
      <c r="B61" s="130"/>
      <c r="C61" s="127"/>
      <c r="D61" s="127"/>
      <c r="E61" s="127"/>
      <c r="F61" s="127"/>
    </row>
    <row r="62" ht="15.75" spans="1:6">
      <c r="A62" s="89"/>
      <c r="B62" s="130"/>
      <c r="C62" s="127"/>
      <c r="D62" s="127"/>
      <c r="E62" s="127"/>
      <c r="F62" s="127"/>
    </row>
    <row r="63" ht="15.75" spans="1:6">
      <c r="A63" s="89"/>
      <c r="B63" s="130"/>
      <c r="C63" s="127"/>
      <c r="D63" s="127"/>
      <c r="E63" s="127"/>
      <c r="F63" s="127"/>
    </row>
    <row r="64" ht="15.75" spans="1:6">
      <c r="A64" s="89"/>
      <c r="B64" s="130"/>
      <c r="C64" s="127"/>
      <c r="D64" s="127"/>
      <c r="E64" s="127"/>
      <c r="F64" s="127"/>
    </row>
    <row r="65" ht="15.75" spans="1:6">
      <c r="A65" s="89"/>
      <c r="B65" s="130"/>
      <c r="C65" s="127"/>
      <c r="D65" s="127"/>
      <c r="E65" s="127"/>
      <c r="F65" s="131"/>
    </row>
    <row r="66" ht="15.75" spans="1:6">
      <c r="A66" s="89"/>
      <c r="B66" s="130"/>
      <c r="C66" s="127"/>
      <c r="D66" s="127"/>
      <c r="E66" s="127"/>
      <c r="F66" s="127"/>
    </row>
    <row r="67" ht="15.75" spans="1:6">
      <c r="A67" s="89"/>
      <c r="B67" s="130"/>
      <c r="C67" s="127"/>
      <c r="D67" s="127"/>
      <c r="E67" s="127"/>
      <c r="F67" s="127"/>
    </row>
    <row r="68" ht="15.75" spans="1:6">
      <c r="A68" s="89"/>
      <c r="B68" s="130"/>
      <c r="C68" s="127"/>
      <c r="D68" s="127"/>
      <c r="E68" s="127"/>
      <c r="F68" s="127"/>
    </row>
    <row r="69" ht="15.75" spans="1:6">
      <c r="A69" s="89"/>
      <c r="B69" s="130"/>
      <c r="C69" s="127"/>
      <c r="D69" s="127"/>
      <c r="E69" s="127"/>
      <c r="F69" s="127"/>
    </row>
    <row r="70" ht="15.75" spans="1:6">
      <c r="A70" s="89"/>
      <c r="B70" s="130"/>
      <c r="C70" s="127"/>
      <c r="D70" s="127"/>
      <c r="E70" s="127"/>
      <c r="F70" s="131"/>
    </row>
    <row r="71" ht="15.75" spans="1:6">
      <c r="A71" s="89"/>
      <c r="B71" s="130"/>
      <c r="C71" s="127"/>
      <c r="D71" s="127"/>
      <c r="E71" s="127"/>
      <c r="F71" s="127"/>
    </row>
    <row r="72" ht="15.75" spans="1:6">
      <c r="A72" s="89"/>
      <c r="B72" s="130"/>
      <c r="C72" s="127"/>
      <c r="D72" s="127"/>
      <c r="E72" s="127"/>
      <c r="F72" s="127"/>
    </row>
    <row r="73" ht="15.75" spans="1:6">
      <c r="A73" s="89"/>
      <c r="B73" s="130"/>
      <c r="C73" s="127"/>
      <c r="D73" s="127"/>
      <c r="E73" s="127"/>
      <c r="F73" s="131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6"/>
  <sheetViews>
    <sheetView workbookViewId="0">
      <selection activeCell="C15" sqref="C15:J24"/>
    </sheetView>
  </sheetViews>
  <sheetFormatPr defaultColWidth="9" defaultRowHeight="13.5"/>
  <cols>
    <col min="1" max="1" width="13.25" customWidth="1"/>
    <col min="2" max="2" width="9.125" customWidth="1"/>
    <col min="5" max="5" width="12" customWidth="1"/>
    <col min="10" max="10" width="11.125"/>
  </cols>
  <sheetData>
    <row r="1" spans="1:2">
      <c r="A1" s="1" t="s">
        <v>165</v>
      </c>
      <c r="B1">
        <v>2</v>
      </c>
    </row>
    <row r="2" spans="1:19">
      <c r="A2" s="1" t="s">
        <v>118</v>
      </c>
      <c r="B2">
        <v>4</v>
      </c>
      <c r="C2" s="1" t="s">
        <v>119</v>
      </c>
      <c r="D2">
        <v>6</v>
      </c>
      <c r="E2" s="1" t="s">
        <v>120</v>
      </c>
      <c r="G2" s="1" t="s">
        <v>121</v>
      </c>
      <c r="I2" s="1" t="s">
        <v>122</v>
      </c>
      <c r="K2" s="1" t="s">
        <v>123</v>
      </c>
      <c r="M2" s="1" t="s">
        <v>124</v>
      </c>
      <c r="O2" s="1" t="s">
        <v>125</v>
      </c>
      <c r="Q2" s="1" t="s">
        <v>126</v>
      </c>
      <c r="S2" s="1" t="s">
        <v>127</v>
      </c>
    </row>
    <row r="3" spans="1:38">
      <c r="A3" t="s">
        <v>129</v>
      </c>
      <c r="B3">
        <v>1</v>
      </c>
      <c r="C3" t="s">
        <v>129</v>
      </c>
      <c r="D3">
        <v>2</v>
      </c>
      <c r="E3" t="s">
        <v>129</v>
      </c>
      <c r="G3" t="s">
        <v>129</v>
      </c>
      <c r="I3" t="s">
        <v>129</v>
      </c>
      <c r="K3" t="s">
        <v>129</v>
      </c>
      <c r="M3" t="s">
        <v>129</v>
      </c>
      <c r="O3" t="s">
        <v>129</v>
      </c>
      <c r="Q3" t="s">
        <v>129</v>
      </c>
      <c r="S3" t="s">
        <v>129</v>
      </c>
      <c r="AH3" s="77"/>
      <c r="AI3" s="77"/>
      <c r="AJ3" s="77" t="s">
        <v>166</v>
      </c>
      <c r="AK3" s="77"/>
      <c r="AL3" s="77"/>
    </row>
    <row r="4" spans="1:38">
      <c r="A4" s="1" t="s">
        <v>167</v>
      </c>
      <c r="B4" s="86" t="s">
        <v>133</v>
      </c>
      <c r="D4" s="1" t="s">
        <v>133</v>
      </c>
      <c r="F4" s="1"/>
      <c r="AH4" s="77" t="s">
        <v>168</v>
      </c>
      <c r="AI4" s="77"/>
      <c r="AJ4" s="77"/>
      <c r="AK4" s="77"/>
      <c r="AL4" s="77"/>
    </row>
    <row r="5" spans="1:38">
      <c r="A5" s="1" t="s">
        <v>169</v>
      </c>
      <c r="B5">
        <v>15</v>
      </c>
      <c r="D5">
        <v>45</v>
      </c>
      <c r="H5" s="1"/>
      <c r="AH5" t="s">
        <v>170</v>
      </c>
      <c r="AL5" s="124"/>
    </row>
    <row r="6" spans="1:23">
      <c r="A6" t="s">
        <v>135</v>
      </c>
      <c r="B6">
        <v>0.24</v>
      </c>
      <c r="D6">
        <v>0.36</v>
      </c>
      <c r="J6" s="39"/>
      <c r="S6" s="39"/>
      <c r="W6" s="39"/>
    </row>
    <row r="7" spans="1:23">
      <c r="A7" t="s">
        <v>136</v>
      </c>
      <c r="B7" s="2">
        <v>0.47</v>
      </c>
      <c r="D7" s="2">
        <v>0.5</v>
      </c>
      <c r="J7" s="39"/>
      <c r="S7" s="39"/>
      <c r="W7" s="39"/>
    </row>
    <row r="8" spans="1:6">
      <c r="A8" s="1" t="s">
        <v>171</v>
      </c>
      <c r="B8" s="2">
        <v>0</v>
      </c>
      <c r="D8" s="2">
        <v>0</v>
      </c>
      <c r="F8" s="2"/>
    </row>
    <row r="9" spans="1:17">
      <c r="A9" s="1" t="s">
        <v>172</v>
      </c>
      <c r="B9" s="2">
        <v>0</v>
      </c>
      <c r="D9" s="2">
        <v>0.0333</v>
      </c>
      <c r="F9" s="2"/>
      <c r="Q9" s="39" t="s">
        <v>173</v>
      </c>
    </row>
    <row r="10" spans="2:17">
      <c r="B10" s="2"/>
      <c r="D10" s="2"/>
      <c r="Q10" s="39" t="s">
        <v>174</v>
      </c>
    </row>
    <row r="11" spans="1:32">
      <c r="A11" s="33" t="s">
        <v>175</v>
      </c>
      <c r="B11" s="33"/>
      <c r="C11" s="33"/>
      <c r="D11" s="33"/>
      <c r="E11" s="33"/>
      <c r="F11" s="33"/>
      <c r="G11" s="33"/>
      <c r="H11" s="33"/>
      <c r="I11" s="93" t="s">
        <v>176</v>
      </c>
      <c r="J11" s="77"/>
      <c r="K11" s="77"/>
      <c r="L11" s="94"/>
      <c r="M11" s="94"/>
      <c r="N11" s="40" t="s">
        <v>177</v>
      </c>
      <c r="O11" s="94"/>
      <c r="P11" s="94"/>
      <c r="Q11" s="94"/>
      <c r="R11" s="94"/>
      <c r="S11" s="94"/>
      <c r="T11" s="108"/>
      <c r="U11" s="108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5"/>
      <c r="M12" s="95"/>
      <c r="N12" s="95"/>
      <c r="O12" s="95"/>
      <c r="P12" s="95"/>
      <c r="Q12" s="95"/>
      <c r="R12" s="95"/>
      <c r="S12" s="95"/>
      <c r="T12" s="109"/>
      <c r="U12" s="109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140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I13" s="4" t="s">
        <v>181</v>
      </c>
      <c r="J13" s="4" t="s">
        <v>182</v>
      </c>
      <c r="K13" s="4" t="s">
        <v>183</v>
      </c>
      <c r="L13" s="4"/>
      <c r="M13" s="4"/>
      <c r="N13" s="41" t="s">
        <v>179</v>
      </c>
      <c r="O13" s="41"/>
      <c r="P13" s="41"/>
      <c r="Q13" s="48" t="s">
        <v>180</v>
      </c>
      <c r="R13" s="49"/>
      <c r="S13" s="50"/>
      <c r="T13" s="41"/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14.2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I14" s="4"/>
      <c r="J14" s="4"/>
      <c r="K14" s="4"/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/>
      <c r="U14" s="4"/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ht="15.75" spans="1:32">
      <c r="A15" s="77" t="s">
        <v>154</v>
      </c>
      <c r="B15" s="87" t="s">
        <v>155</v>
      </c>
      <c r="C15" s="88">
        <v>669.1</v>
      </c>
      <c r="D15" s="88">
        <v>13.9</v>
      </c>
      <c r="E15" s="88">
        <v>673.1</v>
      </c>
      <c r="F15" s="88">
        <v>13.9</v>
      </c>
      <c r="G15" s="88">
        <v>669.2</v>
      </c>
      <c r="H15" s="88">
        <v>13.9</v>
      </c>
      <c r="I15" s="88">
        <v>1.5</v>
      </c>
      <c r="J15" s="96">
        <v>43</v>
      </c>
      <c r="K15" s="88"/>
      <c r="L15" s="97"/>
      <c r="M15" s="97"/>
      <c r="N15" s="98">
        <v>4</v>
      </c>
      <c r="O15" s="98">
        <v>0</v>
      </c>
      <c r="P15" s="99">
        <v>15.0962812</v>
      </c>
      <c r="Q15" s="98">
        <v>0.100000000000023</v>
      </c>
      <c r="R15" s="98">
        <v>0</v>
      </c>
      <c r="S15" s="99">
        <v>0.377407030000086</v>
      </c>
      <c r="T15" s="110"/>
      <c r="U15" s="97"/>
      <c r="Y15" s="97" t="s">
        <v>154</v>
      </c>
      <c r="Z15" s="97" t="s">
        <v>155</v>
      </c>
      <c r="AA15" s="116">
        <v>15</v>
      </c>
      <c r="AB15" s="116">
        <v>15</v>
      </c>
      <c r="AC15" s="116">
        <v>0</v>
      </c>
      <c r="AD15" s="116">
        <v>43</v>
      </c>
      <c r="AE15" s="99">
        <v>0.348837209302326</v>
      </c>
      <c r="AF15" s="117">
        <v>0</v>
      </c>
    </row>
    <row r="16" ht="15.75" spans="1:32">
      <c r="A16" s="77" t="s">
        <v>154</v>
      </c>
      <c r="B16" s="87" t="s">
        <v>156</v>
      </c>
      <c r="C16" s="88">
        <v>678.8</v>
      </c>
      <c r="D16" s="88">
        <v>14</v>
      </c>
      <c r="E16" s="88">
        <v>682.8</v>
      </c>
      <c r="F16" s="88">
        <v>14.05</v>
      </c>
      <c r="G16" s="88">
        <v>678.85</v>
      </c>
      <c r="H16" s="88">
        <v>13.7</v>
      </c>
      <c r="I16" s="88">
        <v>1.4</v>
      </c>
      <c r="J16" s="96">
        <v>41</v>
      </c>
      <c r="K16" s="88"/>
      <c r="L16" s="97"/>
      <c r="M16" s="97"/>
      <c r="N16" s="98">
        <v>4</v>
      </c>
      <c r="O16" s="98">
        <v>0.0500000000000007</v>
      </c>
      <c r="P16" s="99">
        <v>15.1862812</v>
      </c>
      <c r="Q16" s="98">
        <v>0.0500000000000682</v>
      </c>
      <c r="R16" s="98">
        <v>-0.300000000000001</v>
      </c>
      <c r="S16" s="99">
        <v>0</v>
      </c>
      <c r="T16" s="111"/>
      <c r="U16" s="97"/>
      <c r="Y16" s="97" t="s">
        <v>154</v>
      </c>
      <c r="Z16" s="97" t="s">
        <v>156</v>
      </c>
      <c r="AA16" s="116">
        <v>15</v>
      </c>
      <c r="AB16" s="116">
        <v>15</v>
      </c>
      <c r="AC16" s="116">
        <v>0</v>
      </c>
      <c r="AD16" s="116">
        <v>41</v>
      </c>
      <c r="AE16" s="99">
        <v>0.365853658536585</v>
      </c>
      <c r="AF16" s="117">
        <v>0</v>
      </c>
    </row>
    <row r="17" ht="15.75" spans="1:32">
      <c r="A17" s="77" t="s">
        <v>154</v>
      </c>
      <c r="B17" s="87" t="s">
        <v>157</v>
      </c>
      <c r="C17" s="88">
        <v>688.5</v>
      </c>
      <c r="D17" s="88">
        <v>14.1</v>
      </c>
      <c r="E17" s="88">
        <v>692.5</v>
      </c>
      <c r="F17" s="88">
        <v>14.2</v>
      </c>
      <c r="G17" s="88">
        <v>688.5</v>
      </c>
      <c r="H17" s="88">
        <v>14</v>
      </c>
      <c r="I17" s="88">
        <v>1.1</v>
      </c>
      <c r="J17" s="96">
        <v>32</v>
      </c>
      <c r="K17" s="88"/>
      <c r="L17" s="100"/>
      <c r="M17" s="100"/>
      <c r="N17" s="98">
        <v>4</v>
      </c>
      <c r="O17" s="98">
        <v>0.0999999999999996</v>
      </c>
      <c r="P17" s="99">
        <v>15.2762812</v>
      </c>
      <c r="Q17" s="98">
        <v>0</v>
      </c>
      <c r="R17" s="98">
        <v>-0.0999999999999996</v>
      </c>
      <c r="S17" s="99">
        <v>0</v>
      </c>
      <c r="T17" s="112"/>
      <c r="U17" s="100"/>
      <c r="Y17" s="100" t="s">
        <v>154</v>
      </c>
      <c r="Z17" s="100" t="s">
        <v>157</v>
      </c>
      <c r="AA17" s="116">
        <v>15</v>
      </c>
      <c r="AB17" s="116">
        <v>15</v>
      </c>
      <c r="AC17" s="116">
        <v>0</v>
      </c>
      <c r="AD17" s="116">
        <v>32</v>
      </c>
      <c r="AE17" s="99">
        <v>0.46875</v>
      </c>
      <c r="AF17" s="117">
        <v>0</v>
      </c>
    </row>
    <row r="18" ht="15.75" spans="1:32">
      <c r="A18" s="77" t="s">
        <v>154</v>
      </c>
      <c r="B18" s="87" t="s">
        <v>158</v>
      </c>
      <c r="C18" s="88">
        <v>603</v>
      </c>
      <c r="D18" s="88">
        <v>13.9</v>
      </c>
      <c r="E18" s="88">
        <v>604.8</v>
      </c>
      <c r="F18" s="88">
        <v>13.9</v>
      </c>
      <c r="G18" s="88">
        <v>603</v>
      </c>
      <c r="H18" s="88">
        <v>13.9</v>
      </c>
      <c r="I18" s="88">
        <v>1</v>
      </c>
      <c r="J18" s="96">
        <v>29</v>
      </c>
      <c r="K18" s="88"/>
      <c r="L18" s="97"/>
      <c r="M18" s="97"/>
      <c r="N18" s="98">
        <v>1.79999999999995</v>
      </c>
      <c r="O18" s="98">
        <v>0</v>
      </c>
      <c r="P18" s="99">
        <v>6.79332653999983</v>
      </c>
      <c r="Q18" s="98">
        <v>0</v>
      </c>
      <c r="R18" s="98">
        <v>0</v>
      </c>
      <c r="S18" s="99">
        <v>0</v>
      </c>
      <c r="T18" s="111"/>
      <c r="U18" s="97"/>
      <c r="Y18" s="97" t="s">
        <v>154</v>
      </c>
      <c r="Z18" s="97" t="s">
        <v>158</v>
      </c>
      <c r="AA18" s="116">
        <v>7</v>
      </c>
      <c r="AB18" s="116">
        <v>7</v>
      </c>
      <c r="AC18" s="116">
        <v>0</v>
      </c>
      <c r="AD18" s="116">
        <v>29</v>
      </c>
      <c r="AE18" s="99">
        <v>0.241379310344828</v>
      </c>
      <c r="AF18" s="117">
        <v>0</v>
      </c>
    </row>
    <row r="19" ht="15.75" spans="1:32">
      <c r="A19" s="77" t="s">
        <v>159</v>
      </c>
      <c r="B19" s="87" t="s">
        <v>160</v>
      </c>
      <c r="C19" s="88">
        <v>619.7</v>
      </c>
      <c r="D19" s="88">
        <v>14</v>
      </c>
      <c r="E19" s="88">
        <v>628.4</v>
      </c>
      <c r="F19" s="88">
        <v>14</v>
      </c>
      <c r="G19" s="88">
        <v>619.9</v>
      </c>
      <c r="H19" s="88">
        <v>14</v>
      </c>
      <c r="I19" s="88">
        <v>2.3</v>
      </c>
      <c r="J19" s="96">
        <v>67</v>
      </c>
      <c r="K19" s="88"/>
      <c r="L19" s="97"/>
      <c r="M19" s="97"/>
      <c r="N19" s="98">
        <v>8.69999999999993</v>
      </c>
      <c r="O19" s="98">
        <v>0</v>
      </c>
      <c r="P19" s="99">
        <v>32.8344116099997</v>
      </c>
      <c r="Q19" s="98">
        <v>0.199999999999932</v>
      </c>
      <c r="R19" s="98">
        <v>0</v>
      </c>
      <c r="S19" s="99">
        <v>0.754814059999743</v>
      </c>
      <c r="T19" s="111"/>
      <c r="U19" s="97"/>
      <c r="Y19" s="97" t="s">
        <v>159</v>
      </c>
      <c r="Z19" s="97" t="s">
        <v>160</v>
      </c>
      <c r="AA19" s="116">
        <v>33</v>
      </c>
      <c r="AB19" s="116">
        <v>32</v>
      </c>
      <c r="AC19" s="116">
        <v>1</v>
      </c>
      <c r="AD19" s="116">
        <v>67</v>
      </c>
      <c r="AE19" s="99">
        <v>0.477611940298507</v>
      </c>
      <c r="AF19" s="117">
        <v>0.0303030303030303</v>
      </c>
    </row>
    <row r="20" ht="15.75" spans="1:32">
      <c r="A20" s="77" t="s">
        <v>159</v>
      </c>
      <c r="B20" s="87" t="s">
        <v>161</v>
      </c>
      <c r="C20" s="88">
        <v>607.6</v>
      </c>
      <c r="D20" s="88">
        <v>14.3</v>
      </c>
      <c r="E20" s="88">
        <v>615.5</v>
      </c>
      <c r="F20" s="88">
        <v>14.2</v>
      </c>
      <c r="G20" s="88">
        <v>607.9</v>
      </c>
      <c r="H20" s="88">
        <v>14.3</v>
      </c>
      <c r="I20" s="88">
        <v>2.8</v>
      </c>
      <c r="J20" s="96">
        <v>81</v>
      </c>
      <c r="K20" s="88"/>
      <c r="L20" s="100"/>
      <c r="M20" s="100"/>
      <c r="N20" s="98">
        <v>7.89999999999998</v>
      </c>
      <c r="O20" s="98">
        <v>-0.100000000000001</v>
      </c>
      <c r="P20" s="99">
        <v>29.6351553699999</v>
      </c>
      <c r="Q20" s="98">
        <v>0.299999999999955</v>
      </c>
      <c r="R20" s="98">
        <v>0</v>
      </c>
      <c r="S20" s="99">
        <v>1.13222108999983</v>
      </c>
      <c r="T20" s="111"/>
      <c r="U20" s="97"/>
      <c r="Y20" s="100" t="s">
        <v>159</v>
      </c>
      <c r="Z20" s="100" t="s">
        <v>161</v>
      </c>
      <c r="AA20" s="116">
        <v>30</v>
      </c>
      <c r="AB20" s="116">
        <v>29</v>
      </c>
      <c r="AC20" s="116">
        <v>1</v>
      </c>
      <c r="AD20" s="116">
        <v>81</v>
      </c>
      <c r="AE20" s="99">
        <v>0.358024691358025</v>
      </c>
      <c r="AF20" s="117">
        <v>0.0333333333333333</v>
      </c>
    </row>
    <row r="21" ht="15.75" spans="1:32">
      <c r="A21" s="77" t="s">
        <v>159</v>
      </c>
      <c r="B21" s="87" t="s">
        <v>162</v>
      </c>
      <c r="C21" s="88">
        <v>645.1</v>
      </c>
      <c r="D21" s="88">
        <v>14.3</v>
      </c>
      <c r="E21" s="88">
        <v>654.4</v>
      </c>
      <c r="F21" s="88">
        <v>14.2</v>
      </c>
      <c r="G21" s="88">
        <v>645.1</v>
      </c>
      <c r="H21" s="88">
        <v>14.3</v>
      </c>
      <c r="I21" s="88">
        <v>3</v>
      </c>
      <c r="J21" s="96">
        <v>87</v>
      </c>
      <c r="K21" s="88"/>
      <c r="L21" s="97"/>
      <c r="M21" s="97"/>
      <c r="N21" s="98">
        <v>9.29999999999995</v>
      </c>
      <c r="O21" s="98">
        <v>-0.100000000000001</v>
      </c>
      <c r="P21" s="99">
        <v>34.9188537899998</v>
      </c>
      <c r="Q21" s="98">
        <v>0</v>
      </c>
      <c r="R21" s="98">
        <v>0</v>
      </c>
      <c r="S21" s="99">
        <v>0</v>
      </c>
      <c r="T21" s="113"/>
      <c r="U21" s="101"/>
      <c r="Y21" s="97" t="s">
        <v>159</v>
      </c>
      <c r="Z21" s="97" t="s">
        <v>162</v>
      </c>
      <c r="AA21" s="116">
        <v>35</v>
      </c>
      <c r="AB21" s="116">
        <v>35</v>
      </c>
      <c r="AC21" s="116">
        <v>0</v>
      </c>
      <c r="AD21" s="116">
        <v>87</v>
      </c>
      <c r="AE21" s="99">
        <v>0.402298850574713</v>
      </c>
      <c r="AF21" s="117">
        <v>0</v>
      </c>
    </row>
    <row r="22" ht="15.75" spans="1:32">
      <c r="A22" s="77" t="s">
        <v>159</v>
      </c>
      <c r="B22" s="87" t="s">
        <v>163</v>
      </c>
      <c r="C22" s="88">
        <v>565.1</v>
      </c>
      <c r="D22" s="88">
        <v>14.3</v>
      </c>
      <c r="E22" s="88">
        <v>577</v>
      </c>
      <c r="F22" s="88">
        <v>14.2</v>
      </c>
      <c r="G22" s="88">
        <v>565.1</v>
      </c>
      <c r="H22" s="88">
        <v>14.3</v>
      </c>
      <c r="I22" s="88">
        <v>3.1</v>
      </c>
      <c r="J22" s="96">
        <v>90</v>
      </c>
      <c r="K22" s="88"/>
      <c r="L22" s="97"/>
      <c r="M22" s="97"/>
      <c r="N22" s="98">
        <v>11.9</v>
      </c>
      <c r="O22" s="98">
        <v>-0.100000000000001</v>
      </c>
      <c r="P22" s="99">
        <v>44.7314365699999</v>
      </c>
      <c r="Q22" s="98">
        <v>0</v>
      </c>
      <c r="R22" s="98">
        <v>0</v>
      </c>
      <c r="S22" s="99">
        <v>0</v>
      </c>
      <c r="T22" s="111"/>
      <c r="U22" s="97"/>
      <c r="Y22" s="97" t="s">
        <v>159</v>
      </c>
      <c r="Z22" s="97" t="s">
        <v>163</v>
      </c>
      <c r="AA22" s="116">
        <v>45</v>
      </c>
      <c r="AB22" s="116">
        <v>45</v>
      </c>
      <c r="AC22" s="116">
        <v>0</v>
      </c>
      <c r="AD22" s="116">
        <v>90</v>
      </c>
      <c r="AE22" s="99">
        <v>0.5</v>
      </c>
      <c r="AF22" s="117">
        <v>0</v>
      </c>
    </row>
    <row r="23" ht="15.75" spans="1:32">
      <c r="A23" s="77" t="s">
        <v>159</v>
      </c>
      <c r="B23" s="87" t="s">
        <v>164</v>
      </c>
      <c r="C23" s="88">
        <v>720.5</v>
      </c>
      <c r="D23" s="88">
        <v>14.3</v>
      </c>
      <c r="E23" s="88">
        <v>731.3</v>
      </c>
      <c r="F23" s="88">
        <v>14.2</v>
      </c>
      <c r="G23" s="88">
        <v>720.5</v>
      </c>
      <c r="H23" s="88">
        <v>14.3</v>
      </c>
      <c r="I23" s="88">
        <v>3</v>
      </c>
      <c r="J23" s="96">
        <v>87</v>
      </c>
      <c r="K23" s="88"/>
      <c r="L23" s="97"/>
      <c r="M23" s="97"/>
      <c r="N23" s="98">
        <v>10.8</v>
      </c>
      <c r="O23" s="98">
        <v>-0.100000000000001</v>
      </c>
      <c r="P23" s="99">
        <v>40.5799592399998</v>
      </c>
      <c r="Q23" s="98">
        <v>0</v>
      </c>
      <c r="R23" s="98">
        <v>0</v>
      </c>
      <c r="S23" s="99">
        <v>0</v>
      </c>
      <c r="T23" s="111"/>
      <c r="U23" s="97"/>
      <c r="Y23" s="97" t="s">
        <v>159</v>
      </c>
      <c r="Z23" s="97" t="s">
        <v>164</v>
      </c>
      <c r="AA23" s="116">
        <v>41</v>
      </c>
      <c r="AB23" s="116">
        <v>41</v>
      </c>
      <c r="AC23" s="116">
        <v>0</v>
      </c>
      <c r="AD23" s="116">
        <v>87</v>
      </c>
      <c r="AE23" s="99">
        <v>0.471264367816092</v>
      </c>
      <c r="AF23" s="117">
        <v>0</v>
      </c>
    </row>
    <row r="24" ht="15.75" spans="1:32">
      <c r="A24" s="77" t="s">
        <v>159</v>
      </c>
      <c r="B24" s="87" t="s">
        <v>195</v>
      </c>
      <c r="C24" s="88">
        <v>804.7</v>
      </c>
      <c r="D24" s="88">
        <v>14.3</v>
      </c>
      <c r="E24" s="88">
        <v>813.9</v>
      </c>
      <c r="F24" s="88">
        <v>14.2</v>
      </c>
      <c r="G24" s="88">
        <v>804.6</v>
      </c>
      <c r="H24" s="88">
        <v>14.3</v>
      </c>
      <c r="I24" s="88">
        <v>2.6</v>
      </c>
      <c r="J24" s="96">
        <v>75</v>
      </c>
      <c r="K24" s="88"/>
      <c r="L24" s="101"/>
      <c r="M24" s="101"/>
      <c r="N24" s="98">
        <v>9.19999999999993</v>
      </c>
      <c r="O24" s="98">
        <v>-0.100000000000001</v>
      </c>
      <c r="P24" s="99">
        <v>34.5414467599997</v>
      </c>
      <c r="Q24" s="98">
        <v>-0.100000000000023</v>
      </c>
      <c r="R24" s="98">
        <v>0</v>
      </c>
      <c r="S24" s="99">
        <v>0</v>
      </c>
      <c r="T24" s="113"/>
      <c r="U24" s="101"/>
      <c r="Y24" s="101" t="s">
        <v>159</v>
      </c>
      <c r="Z24" s="101" t="s">
        <v>195</v>
      </c>
      <c r="AA24" s="116">
        <v>35</v>
      </c>
      <c r="AB24" s="116">
        <v>35</v>
      </c>
      <c r="AC24" s="116">
        <v>0</v>
      </c>
      <c r="AD24" s="116">
        <v>75</v>
      </c>
      <c r="AE24" s="99">
        <v>0.466666666666667</v>
      </c>
      <c r="AF24" s="117">
        <v>0</v>
      </c>
    </row>
    <row r="25" ht="15.75" spans="1:32">
      <c r="A25" s="89"/>
      <c r="B25" s="90"/>
      <c r="C25" s="91"/>
      <c r="D25" s="91"/>
      <c r="E25" s="91"/>
      <c r="F25" s="91"/>
      <c r="G25" s="91"/>
      <c r="H25" s="91"/>
      <c r="I25" s="91"/>
      <c r="J25" s="102"/>
      <c r="K25" s="91"/>
      <c r="L25" s="97"/>
      <c r="M25" s="97"/>
      <c r="N25" s="98"/>
      <c r="O25" s="98"/>
      <c r="P25" s="99"/>
      <c r="Q25" s="98"/>
      <c r="R25" s="98"/>
      <c r="S25" s="99"/>
      <c r="T25" s="111"/>
      <c r="U25" s="97"/>
      <c r="Y25" s="97"/>
      <c r="Z25" s="97"/>
      <c r="AA25" s="116"/>
      <c r="AB25" s="116"/>
      <c r="AC25" s="116"/>
      <c r="AD25" s="116"/>
      <c r="AE25" s="99"/>
      <c r="AF25" s="117"/>
    </row>
    <row r="26" ht="15.75" spans="1:32">
      <c r="A26" s="89"/>
      <c r="B26" s="90"/>
      <c r="C26" s="91"/>
      <c r="D26" s="91"/>
      <c r="E26" s="91"/>
      <c r="F26" s="91"/>
      <c r="G26" s="91"/>
      <c r="H26" s="91"/>
      <c r="I26" s="91"/>
      <c r="J26" s="102"/>
      <c r="K26" s="91"/>
      <c r="L26" s="97"/>
      <c r="M26" s="97"/>
      <c r="N26" s="98"/>
      <c r="O26" s="98"/>
      <c r="P26" s="99"/>
      <c r="Q26" s="98"/>
      <c r="R26" s="98"/>
      <c r="S26" s="99"/>
      <c r="T26" s="111"/>
      <c r="U26" s="97"/>
      <c r="Y26" s="97"/>
      <c r="Z26" s="97"/>
      <c r="AA26" s="116"/>
      <c r="AB26" s="116"/>
      <c r="AC26" s="116"/>
      <c r="AD26" s="116"/>
      <c r="AE26" s="99"/>
      <c r="AF26" s="117"/>
    </row>
    <row r="27" ht="15.75" spans="1:32">
      <c r="A27" s="89"/>
      <c r="B27" s="90"/>
      <c r="C27" s="91"/>
      <c r="D27" s="91"/>
      <c r="E27" s="91"/>
      <c r="F27" s="91"/>
      <c r="G27" s="91"/>
      <c r="H27" s="91"/>
      <c r="I27" s="91"/>
      <c r="J27" s="102"/>
      <c r="K27" s="91"/>
      <c r="L27" s="101"/>
      <c r="M27" s="101"/>
      <c r="N27" s="98"/>
      <c r="O27" s="98"/>
      <c r="P27" s="99"/>
      <c r="Q27" s="98"/>
      <c r="R27" s="98"/>
      <c r="S27" s="99"/>
      <c r="T27" s="113"/>
      <c r="U27" s="101"/>
      <c r="Y27" s="101"/>
      <c r="Z27" s="101"/>
      <c r="AA27" s="116"/>
      <c r="AB27" s="116"/>
      <c r="AC27" s="116"/>
      <c r="AD27" s="116"/>
      <c r="AE27" s="99"/>
      <c r="AF27" s="117"/>
    </row>
    <row r="28" ht="16.5" spans="1:32">
      <c r="A28" s="89"/>
      <c r="B28" s="90"/>
      <c r="C28" s="91"/>
      <c r="D28" s="91"/>
      <c r="E28" s="91"/>
      <c r="F28" s="91"/>
      <c r="G28" s="91"/>
      <c r="H28" s="91"/>
      <c r="I28" s="91"/>
      <c r="J28" s="102"/>
      <c r="K28" s="91"/>
      <c r="L28" s="100"/>
      <c r="M28" s="100"/>
      <c r="N28" s="103"/>
      <c r="O28" s="103"/>
      <c r="P28" s="104"/>
      <c r="Q28" s="103"/>
      <c r="R28" s="103"/>
      <c r="S28" s="99"/>
      <c r="T28" s="112"/>
      <c r="U28" s="100"/>
      <c r="Y28" s="100"/>
      <c r="Z28" s="100"/>
      <c r="AA28" s="118"/>
      <c r="AB28" s="118"/>
      <c r="AC28" s="118"/>
      <c r="AD28" s="118"/>
      <c r="AE28" s="119"/>
      <c r="AF28" s="120"/>
    </row>
    <row r="29" ht="15.75" spans="1:32">
      <c r="A29" s="89"/>
      <c r="B29" s="90"/>
      <c r="C29" s="91"/>
      <c r="D29" s="91"/>
      <c r="E29" s="91"/>
      <c r="F29" s="91"/>
      <c r="G29" s="91"/>
      <c r="H29" s="91"/>
      <c r="I29" s="91"/>
      <c r="J29" s="102"/>
      <c r="K29" s="91"/>
      <c r="L29" s="105"/>
      <c r="M29" s="105"/>
      <c r="N29" s="106"/>
      <c r="O29" s="106"/>
      <c r="P29" s="107"/>
      <c r="Q29" s="106"/>
      <c r="R29" s="106"/>
      <c r="S29" s="114"/>
      <c r="T29" s="115"/>
      <c r="U29" s="105"/>
      <c r="Y29" s="105"/>
      <c r="Z29" s="105"/>
      <c r="AA29" s="121"/>
      <c r="AB29" s="121"/>
      <c r="AC29" s="121"/>
      <c r="AD29" s="121"/>
      <c r="AE29" s="122"/>
      <c r="AF29" s="123"/>
    </row>
    <row r="30" ht="15.75" spans="1:32">
      <c r="A30" s="89"/>
      <c r="B30" s="90"/>
      <c r="C30" s="91"/>
      <c r="D30" s="91"/>
      <c r="E30" s="91"/>
      <c r="F30" s="91"/>
      <c r="G30" s="91"/>
      <c r="H30" s="91"/>
      <c r="I30" s="91"/>
      <c r="J30" s="102"/>
      <c r="K30" s="91"/>
      <c r="L30" s="97"/>
      <c r="M30" s="97"/>
      <c r="N30" s="98"/>
      <c r="O30" s="98"/>
      <c r="P30" s="99"/>
      <c r="Q30" s="98"/>
      <c r="R30" s="98"/>
      <c r="S30" s="99"/>
      <c r="T30" s="113"/>
      <c r="U30" s="101"/>
      <c r="Y30" s="97"/>
      <c r="Z30" s="97"/>
      <c r="AA30" s="116"/>
      <c r="AB30" s="116"/>
      <c r="AC30" s="116"/>
      <c r="AD30" s="116"/>
      <c r="AE30" s="99"/>
      <c r="AF30" s="117"/>
    </row>
    <row r="31" ht="15.75" spans="1:32">
      <c r="A31" s="89"/>
      <c r="B31" s="90"/>
      <c r="C31" s="91"/>
      <c r="D31" s="91"/>
      <c r="E31" s="91"/>
      <c r="F31" s="91"/>
      <c r="G31" s="91"/>
      <c r="H31" s="91"/>
      <c r="I31" s="91"/>
      <c r="J31" s="102"/>
      <c r="K31" s="91"/>
      <c r="L31" s="100"/>
      <c r="M31" s="100"/>
      <c r="N31" s="98"/>
      <c r="O31" s="98"/>
      <c r="P31" s="99"/>
      <c r="Q31" s="98"/>
      <c r="R31" s="98"/>
      <c r="S31" s="99"/>
      <c r="T31" s="111"/>
      <c r="U31" s="97"/>
      <c r="Y31" s="100"/>
      <c r="Z31" s="100"/>
      <c r="AA31" s="116"/>
      <c r="AB31" s="116"/>
      <c r="AC31" s="116"/>
      <c r="AD31" s="116"/>
      <c r="AE31" s="99"/>
      <c r="AF31" s="117"/>
    </row>
    <row r="32" ht="15.75" spans="1:32">
      <c r="A32" s="89"/>
      <c r="B32" s="90"/>
      <c r="C32" s="91"/>
      <c r="D32" s="91"/>
      <c r="E32" s="91"/>
      <c r="F32" s="91"/>
      <c r="G32" s="91"/>
      <c r="H32" s="91"/>
      <c r="I32" s="91"/>
      <c r="J32" s="102"/>
      <c r="K32" s="91"/>
      <c r="L32" s="97"/>
      <c r="M32" s="97"/>
      <c r="N32" s="98"/>
      <c r="O32" s="98"/>
      <c r="P32" s="99"/>
      <c r="Q32" s="98"/>
      <c r="R32" s="98"/>
      <c r="S32" s="99"/>
      <c r="T32" s="111"/>
      <c r="U32" s="97"/>
      <c r="Y32" s="97"/>
      <c r="Z32" s="97"/>
      <c r="AA32" s="116"/>
      <c r="AB32" s="116"/>
      <c r="AC32" s="116"/>
      <c r="AD32" s="116"/>
      <c r="AE32" s="99"/>
      <c r="AF32" s="117"/>
    </row>
    <row r="33" ht="15.75" spans="1:32">
      <c r="A33" s="89"/>
      <c r="B33" s="90"/>
      <c r="C33" s="91"/>
      <c r="D33" s="91"/>
      <c r="E33" s="91"/>
      <c r="F33" s="91"/>
      <c r="G33" s="91"/>
      <c r="H33" s="91"/>
      <c r="I33" s="91"/>
      <c r="J33" s="102"/>
      <c r="K33" s="91"/>
      <c r="L33" s="97"/>
      <c r="M33" s="97"/>
      <c r="N33" s="98"/>
      <c r="O33" s="98"/>
      <c r="P33" s="99"/>
      <c r="Q33" s="98"/>
      <c r="R33" s="98"/>
      <c r="S33" s="99"/>
      <c r="T33" s="113"/>
      <c r="U33" s="101"/>
      <c r="Y33" s="97"/>
      <c r="Z33" s="97"/>
      <c r="AA33" s="116"/>
      <c r="AB33" s="116"/>
      <c r="AC33" s="116"/>
      <c r="AD33" s="116"/>
      <c r="AE33" s="99"/>
      <c r="AF33" s="117"/>
    </row>
    <row r="34" ht="15.75" spans="1:32">
      <c r="A34" s="89"/>
      <c r="B34" s="90"/>
      <c r="C34" s="91"/>
      <c r="D34" s="91"/>
      <c r="E34" s="91"/>
      <c r="F34" s="91"/>
      <c r="G34" s="91"/>
      <c r="H34" s="91"/>
      <c r="I34" s="91"/>
      <c r="J34" s="102"/>
      <c r="K34" s="91"/>
      <c r="L34" s="100"/>
      <c r="M34" s="100"/>
      <c r="N34" s="98"/>
      <c r="O34" s="98"/>
      <c r="P34" s="99"/>
      <c r="Q34" s="98"/>
      <c r="R34" s="98"/>
      <c r="S34" s="99"/>
      <c r="T34" s="111"/>
      <c r="U34" s="97"/>
      <c r="Y34" s="100"/>
      <c r="Z34" s="100"/>
      <c r="AA34" s="116"/>
      <c r="AB34" s="116"/>
      <c r="AC34" s="116"/>
      <c r="AD34" s="116"/>
      <c r="AE34" s="99"/>
      <c r="AF34" s="117"/>
    </row>
    <row r="35" ht="15.75" spans="1:32">
      <c r="A35" s="89"/>
      <c r="B35" s="90"/>
      <c r="C35" s="91"/>
      <c r="D35" s="91"/>
      <c r="E35" s="91"/>
      <c r="F35" s="91"/>
      <c r="G35" s="91"/>
      <c r="H35" s="91"/>
      <c r="I35" s="91"/>
      <c r="J35" s="102"/>
      <c r="K35" s="91"/>
      <c r="L35" s="97"/>
      <c r="M35" s="97"/>
      <c r="N35" s="98"/>
      <c r="O35" s="98"/>
      <c r="P35" s="99"/>
      <c r="Q35" s="98"/>
      <c r="R35" s="98"/>
      <c r="S35" s="99"/>
      <c r="T35" s="111"/>
      <c r="U35" s="97"/>
      <c r="Y35" s="97"/>
      <c r="Z35" s="97"/>
      <c r="AA35" s="116"/>
      <c r="AB35" s="116"/>
      <c r="AC35" s="116"/>
      <c r="AD35" s="116"/>
      <c r="AE35" s="99"/>
      <c r="AF35" s="117"/>
    </row>
    <row r="36" ht="15.75" spans="1:32">
      <c r="A36" s="89"/>
      <c r="B36" s="90"/>
      <c r="C36" s="91"/>
      <c r="D36" s="91"/>
      <c r="E36" s="91"/>
      <c r="F36" s="91"/>
      <c r="G36" s="91"/>
      <c r="H36" s="91"/>
      <c r="I36" s="91"/>
      <c r="J36" s="102"/>
      <c r="K36" s="91"/>
      <c r="L36" s="97"/>
      <c r="M36" s="97"/>
      <c r="N36" s="98"/>
      <c r="O36" s="98"/>
      <c r="P36" s="99"/>
      <c r="Q36" s="98"/>
      <c r="R36" s="98"/>
      <c r="S36" s="99"/>
      <c r="T36" s="113"/>
      <c r="U36" s="101"/>
      <c r="Y36" s="97"/>
      <c r="Z36" s="97"/>
      <c r="AA36" s="116"/>
      <c r="AB36" s="116"/>
      <c r="AC36" s="116"/>
      <c r="AD36" s="116"/>
      <c r="AE36" s="99"/>
      <c r="AF36" s="117"/>
    </row>
    <row r="37" ht="15.75" spans="1:32">
      <c r="A37" s="89"/>
      <c r="B37" s="90"/>
      <c r="C37" s="91"/>
      <c r="D37" s="91"/>
      <c r="E37" s="91"/>
      <c r="F37" s="91"/>
      <c r="G37" s="91"/>
      <c r="H37" s="91"/>
      <c r="I37" s="91"/>
      <c r="J37" s="102"/>
      <c r="K37" s="91"/>
      <c r="L37" s="97"/>
      <c r="M37" s="97"/>
      <c r="N37" s="98"/>
      <c r="O37" s="98"/>
      <c r="P37" s="99"/>
      <c r="Q37" s="98"/>
      <c r="R37" s="98"/>
      <c r="S37" s="99"/>
      <c r="T37" s="111"/>
      <c r="U37" s="97"/>
      <c r="Y37" s="97"/>
      <c r="Z37" s="97"/>
      <c r="AA37" s="116"/>
      <c r="AB37" s="116"/>
      <c r="AC37" s="116"/>
      <c r="AD37" s="116"/>
      <c r="AE37" s="99"/>
      <c r="AF37" s="117"/>
    </row>
    <row r="38" ht="15.75" spans="1:32">
      <c r="A38" s="89"/>
      <c r="B38" s="90"/>
      <c r="C38" s="91"/>
      <c r="D38" s="91"/>
      <c r="E38" s="91"/>
      <c r="F38" s="91"/>
      <c r="G38" s="91"/>
      <c r="H38" s="91"/>
      <c r="I38" s="91"/>
      <c r="J38" s="102"/>
      <c r="K38" s="102"/>
      <c r="L38" s="101"/>
      <c r="M38" s="101"/>
      <c r="N38" s="98"/>
      <c r="O38" s="98"/>
      <c r="P38" s="99"/>
      <c r="Q38" s="98"/>
      <c r="R38" s="98"/>
      <c r="S38" s="99"/>
      <c r="T38" s="111"/>
      <c r="U38" s="97"/>
      <c r="Y38" s="101"/>
      <c r="Z38" s="101"/>
      <c r="AA38" s="116"/>
      <c r="AB38" s="116"/>
      <c r="AC38" s="116"/>
      <c r="AD38" s="116"/>
      <c r="AE38" s="99"/>
      <c r="AF38" s="117"/>
    </row>
    <row r="39" ht="15.75" spans="1:32">
      <c r="A39" s="89"/>
      <c r="B39" s="90"/>
      <c r="C39" s="91"/>
      <c r="D39" s="91"/>
      <c r="E39" s="91"/>
      <c r="F39" s="91"/>
      <c r="G39" s="91"/>
      <c r="H39" s="91"/>
      <c r="I39" s="91"/>
      <c r="J39" s="102"/>
      <c r="K39" s="91"/>
      <c r="L39" s="97"/>
      <c r="M39" s="97"/>
      <c r="N39" s="98"/>
      <c r="O39" s="98"/>
      <c r="P39" s="99"/>
      <c r="Q39" s="98"/>
      <c r="R39" s="98"/>
      <c r="S39" s="99"/>
      <c r="T39" s="113"/>
      <c r="U39" s="101"/>
      <c r="Y39" s="97"/>
      <c r="Z39" s="97"/>
      <c r="AA39" s="116"/>
      <c r="AB39" s="116"/>
      <c r="AC39" s="116"/>
      <c r="AD39" s="116"/>
      <c r="AE39" s="99"/>
      <c r="AF39" s="117"/>
    </row>
    <row r="40" ht="15.75" spans="1:32">
      <c r="A40" s="89"/>
      <c r="B40" s="90"/>
      <c r="C40" s="91"/>
      <c r="D40" s="91"/>
      <c r="E40" s="91"/>
      <c r="F40" s="91"/>
      <c r="G40" s="91"/>
      <c r="H40" s="91"/>
      <c r="I40" s="91"/>
      <c r="J40" s="102"/>
      <c r="K40" s="91"/>
      <c r="L40" s="97"/>
      <c r="M40" s="97"/>
      <c r="N40" s="98"/>
      <c r="O40" s="98"/>
      <c r="P40" s="99"/>
      <c r="Q40" s="98"/>
      <c r="R40" s="98"/>
      <c r="S40" s="99"/>
      <c r="T40" s="111"/>
      <c r="U40" s="97"/>
      <c r="Y40" s="97"/>
      <c r="Z40" s="97"/>
      <c r="AA40" s="116"/>
      <c r="AB40" s="116"/>
      <c r="AC40" s="116"/>
      <c r="AD40" s="116"/>
      <c r="AE40" s="99"/>
      <c r="AF40" s="117"/>
    </row>
    <row r="41" spans="1:32">
      <c r="A41" s="89"/>
      <c r="B41" s="92"/>
      <c r="C41" s="89"/>
      <c r="D41" s="89"/>
      <c r="E41" s="89"/>
      <c r="F41" s="89"/>
      <c r="G41" s="89"/>
      <c r="H41" s="89"/>
      <c r="I41" s="89"/>
      <c r="J41" s="89"/>
      <c r="K41" s="89"/>
      <c r="L41" s="101"/>
      <c r="M41" s="101"/>
      <c r="N41" s="98"/>
      <c r="O41" s="98"/>
      <c r="P41" s="99"/>
      <c r="Q41" s="98"/>
      <c r="R41" s="98"/>
      <c r="S41" s="99"/>
      <c r="T41" s="111"/>
      <c r="U41" s="97"/>
      <c r="Y41" s="101"/>
      <c r="Z41" s="101"/>
      <c r="AA41" s="116"/>
      <c r="AB41" s="116"/>
      <c r="AC41" s="116"/>
      <c r="AD41" s="116"/>
      <c r="AE41" s="99"/>
      <c r="AF41" s="117"/>
    </row>
    <row r="42" spans="1:32">
      <c r="A42" s="89"/>
      <c r="B42" s="92"/>
      <c r="C42" s="89"/>
      <c r="D42" s="89"/>
      <c r="E42" s="89"/>
      <c r="F42" s="89"/>
      <c r="G42" s="89"/>
      <c r="H42" s="89"/>
      <c r="I42" s="89"/>
      <c r="J42" s="89"/>
      <c r="K42" s="89"/>
      <c r="L42" s="100"/>
      <c r="M42" s="100"/>
      <c r="N42" s="98"/>
      <c r="O42" s="98"/>
      <c r="P42" s="99"/>
      <c r="Q42" s="98"/>
      <c r="R42" s="98"/>
      <c r="S42" s="99"/>
      <c r="T42" s="113"/>
      <c r="U42" s="101"/>
      <c r="Y42" s="100"/>
      <c r="Z42" s="100"/>
      <c r="AA42" s="116"/>
      <c r="AB42" s="116"/>
      <c r="AC42" s="116"/>
      <c r="AD42" s="116"/>
      <c r="AE42" s="99"/>
      <c r="AF42" s="117"/>
    </row>
    <row r="43" spans="1:32">
      <c r="A43" s="89"/>
      <c r="B43" s="92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Y43" s="89"/>
      <c r="Z43" s="89"/>
      <c r="AA43" s="89"/>
      <c r="AB43" s="89"/>
      <c r="AC43" s="89"/>
      <c r="AD43" s="89"/>
      <c r="AE43" s="89"/>
      <c r="AF43" s="89"/>
    </row>
    <row r="44" spans="1:32">
      <c r="A44" s="89"/>
      <c r="B44" s="92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Y44" s="89"/>
      <c r="Z44" s="89"/>
      <c r="AA44" s="89"/>
      <c r="AB44" s="89"/>
      <c r="AC44" s="89"/>
      <c r="AD44" s="89"/>
      <c r="AE44" s="89"/>
      <c r="AF44" s="89"/>
    </row>
    <row r="45" spans="1:32">
      <c r="A45" s="89"/>
      <c r="B45" s="92"/>
      <c r="C45" s="89"/>
      <c r="D45" s="89"/>
      <c r="E45" s="8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Y45" s="89"/>
      <c r="Z45" s="89"/>
      <c r="AA45" s="89"/>
      <c r="AB45" s="89"/>
      <c r="AC45" s="89"/>
      <c r="AD45" s="89"/>
      <c r="AE45" s="89"/>
      <c r="AF45" s="89"/>
    </row>
    <row r="46" spans="1:32">
      <c r="A46" s="89"/>
      <c r="B46" s="92"/>
      <c r="C46" s="89"/>
      <c r="D46" s="89"/>
      <c r="E46" s="89"/>
      <c r="F46" s="89"/>
      <c r="G46" s="89"/>
      <c r="H46" s="89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Y46" s="89"/>
      <c r="Z46" s="89"/>
      <c r="AA46" s="89"/>
      <c r="AB46" s="89"/>
      <c r="AC46" s="89"/>
      <c r="AD46" s="89"/>
      <c r="AE46" s="89"/>
      <c r="AF46" s="89"/>
    </row>
    <row r="47" spans="1:32">
      <c r="A47" s="89"/>
      <c r="B47" s="92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Y47" s="89"/>
      <c r="Z47" s="89"/>
      <c r="AA47" s="89"/>
      <c r="AB47" s="89"/>
      <c r="AC47" s="89"/>
      <c r="AD47" s="89"/>
      <c r="AE47" s="89"/>
      <c r="AF47" s="89"/>
    </row>
    <row r="48" spans="1:32">
      <c r="A48" s="89"/>
      <c r="B48" s="92"/>
      <c r="C48" s="89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Y48" s="89"/>
      <c r="Z48" s="89"/>
      <c r="AA48" s="89"/>
      <c r="AB48" s="89"/>
      <c r="AC48" s="89"/>
      <c r="AD48" s="89"/>
      <c r="AE48" s="89"/>
      <c r="AF48" s="89"/>
    </row>
    <row r="49" spans="1:32">
      <c r="A49" s="89"/>
      <c r="B49" s="92"/>
      <c r="C49" s="89"/>
      <c r="D49" s="89"/>
      <c r="E49" s="89"/>
      <c r="F49" s="89"/>
      <c r="G49" s="89"/>
      <c r="H49" s="89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Y49" s="89"/>
      <c r="Z49" s="89"/>
      <c r="AA49" s="89"/>
      <c r="AB49" s="89"/>
      <c r="AC49" s="89"/>
      <c r="AD49" s="89"/>
      <c r="AE49" s="89"/>
      <c r="AF49" s="89"/>
    </row>
    <row r="50" spans="1:32">
      <c r="A50" s="89"/>
      <c r="B50" s="92"/>
      <c r="C50" s="89"/>
      <c r="D50" s="89"/>
      <c r="E50" s="89"/>
      <c r="F50" s="89"/>
      <c r="G50" s="89"/>
      <c r="H50" s="8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Y50" s="89"/>
      <c r="Z50" s="89"/>
      <c r="AA50" s="89"/>
      <c r="AB50" s="89"/>
      <c r="AC50" s="89"/>
      <c r="AD50" s="89"/>
      <c r="AE50" s="89"/>
      <c r="AF50" s="89"/>
    </row>
    <row r="51" spans="1:32">
      <c r="A51" s="89"/>
      <c r="B51" s="92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Y51" s="89"/>
      <c r="Z51" s="89"/>
      <c r="AA51" s="89"/>
      <c r="AB51" s="89"/>
      <c r="AC51" s="89"/>
      <c r="AD51" s="89"/>
      <c r="AE51" s="89"/>
      <c r="AF51" s="89"/>
    </row>
    <row r="52" spans="1:32">
      <c r="A52" s="89"/>
      <c r="B52" s="92"/>
      <c r="C52" s="89"/>
      <c r="D52" s="89"/>
      <c r="E52" s="89"/>
      <c r="F52" s="89"/>
      <c r="G52" s="89"/>
      <c r="H52" s="8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Y52" s="89"/>
      <c r="Z52" s="89"/>
      <c r="AA52" s="89"/>
      <c r="AB52" s="89"/>
      <c r="AC52" s="89"/>
      <c r="AD52" s="89"/>
      <c r="AE52" s="89"/>
      <c r="AF52" s="89"/>
    </row>
    <row r="53" spans="1:32">
      <c r="A53" s="89"/>
      <c r="B53" s="92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Y53" s="89"/>
      <c r="Z53" s="89"/>
      <c r="AA53" s="89"/>
      <c r="AB53" s="89"/>
      <c r="AC53" s="89"/>
      <c r="AD53" s="89"/>
      <c r="AE53" s="89"/>
      <c r="AF53" s="89"/>
    </row>
    <row r="54" spans="1:32">
      <c r="A54" s="89"/>
      <c r="B54" s="92"/>
      <c r="C54" s="89"/>
      <c r="D54" s="89"/>
      <c r="E54" s="89"/>
      <c r="F54" s="89"/>
      <c r="G54" s="89"/>
      <c r="H54" s="8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Y54" s="89"/>
      <c r="Z54" s="89"/>
      <c r="AA54" s="89"/>
      <c r="AB54" s="89"/>
      <c r="AC54" s="89"/>
      <c r="AD54" s="89"/>
      <c r="AE54" s="89"/>
      <c r="AF54" s="89"/>
    </row>
    <row r="55" spans="1:32">
      <c r="A55" s="89"/>
      <c r="B55" s="92"/>
      <c r="C55" s="89"/>
      <c r="D55" s="89"/>
      <c r="E55" s="89"/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Y55" s="89"/>
      <c r="Z55" s="89"/>
      <c r="AA55" s="89"/>
      <c r="AB55" s="89"/>
      <c r="AC55" s="89"/>
      <c r="AD55" s="89"/>
      <c r="AE55" s="89"/>
      <c r="AF55" s="89"/>
    </row>
    <row r="56" spans="1:32">
      <c r="A56" s="89"/>
      <c r="B56" s="92"/>
      <c r="C56" s="89"/>
      <c r="D56" s="89"/>
      <c r="E56" s="89"/>
      <c r="F56" s="89"/>
      <c r="G56" s="89"/>
      <c r="H56" s="8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Y56" s="89"/>
      <c r="Z56" s="89"/>
      <c r="AA56" s="89"/>
      <c r="AB56" s="89"/>
      <c r="AC56" s="89"/>
      <c r="AD56" s="89"/>
      <c r="AE56" s="89"/>
      <c r="AF56" s="89"/>
    </row>
    <row r="57" spans="1:32">
      <c r="A57" s="89"/>
      <c r="B57" s="92"/>
      <c r="C57" s="89"/>
      <c r="D57" s="89"/>
      <c r="E57" s="89"/>
      <c r="F57" s="89"/>
      <c r="G57" s="89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Y57" s="89"/>
      <c r="Z57" s="89"/>
      <c r="AA57" s="89"/>
      <c r="AB57" s="89"/>
      <c r="AC57" s="89"/>
      <c r="AD57" s="89"/>
      <c r="AE57" s="89"/>
      <c r="AF57" s="89"/>
    </row>
    <row r="58" spans="1:32">
      <c r="A58" s="89"/>
      <c r="B58" s="92"/>
      <c r="C58" s="89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Y58" s="89"/>
      <c r="Z58" s="89"/>
      <c r="AA58" s="89"/>
      <c r="AB58" s="89"/>
      <c r="AC58" s="89"/>
      <c r="AD58" s="89"/>
      <c r="AE58" s="89"/>
      <c r="AF58" s="89"/>
    </row>
    <row r="59" spans="1:32">
      <c r="A59" s="89"/>
      <c r="B59" s="92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Y59" s="89"/>
      <c r="Z59" s="89"/>
      <c r="AA59" s="89"/>
      <c r="AB59" s="89"/>
      <c r="AC59" s="89"/>
      <c r="AD59" s="89"/>
      <c r="AE59" s="89"/>
      <c r="AF59" s="89"/>
    </row>
    <row r="60" spans="1:32">
      <c r="A60" s="89"/>
      <c r="B60" s="92"/>
      <c r="C60" s="89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Y60" s="89"/>
      <c r="Z60" s="89"/>
      <c r="AA60" s="89"/>
      <c r="AB60" s="89"/>
      <c r="AC60" s="89"/>
      <c r="AD60" s="89"/>
      <c r="AE60" s="89"/>
      <c r="AF60" s="89"/>
    </row>
    <row r="61" spans="1:32">
      <c r="A61" s="89"/>
      <c r="B61" s="92"/>
      <c r="C61" s="89"/>
      <c r="D61" s="89"/>
      <c r="E61" s="89"/>
      <c r="F61" s="89"/>
      <c r="G61" s="89"/>
      <c r="H61" s="8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89"/>
      <c r="B62" s="92"/>
      <c r="C62" s="89"/>
      <c r="D62" s="89"/>
      <c r="E62" s="89"/>
      <c r="F62" s="89"/>
      <c r="G62" s="89"/>
      <c r="H62" s="8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Y62" s="89"/>
      <c r="Z62" s="89"/>
      <c r="AA62" s="89"/>
      <c r="AB62" s="89"/>
      <c r="AC62" s="89"/>
      <c r="AD62" s="89"/>
      <c r="AE62" s="89"/>
      <c r="AF62" s="89"/>
    </row>
    <row r="63" spans="1:32">
      <c r="A63" s="89"/>
      <c r="B63" s="92"/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Y63" s="89"/>
      <c r="Z63" s="89"/>
      <c r="AA63" s="89"/>
      <c r="AB63" s="89"/>
      <c r="AC63" s="89"/>
      <c r="AD63" s="89"/>
      <c r="AE63" s="89"/>
      <c r="AF63" s="89"/>
    </row>
    <row r="64" spans="1:32">
      <c r="A64" s="89"/>
      <c r="B64" s="92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Y64" s="89"/>
      <c r="Z64" s="89"/>
      <c r="AA64" s="89"/>
      <c r="AB64" s="89"/>
      <c r="AC64" s="89"/>
      <c r="AD64" s="89"/>
      <c r="AE64" s="89"/>
      <c r="AF64" s="89"/>
    </row>
    <row r="65" spans="1:32">
      <c r="A65" s="89"/>
      <c r="B65" s="92"/>
      <c r="C65" s="89"/>
      <c r="D65" s="89"/>
      <c r="E65" s="89"/>
      <c r="F65" s="89"/>
      <c r="G65" s="89"/>
      <c r="H65" s="8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Y65" s="89"/>
      <c r="Z65" s="89"/>
      <c r="AA65" s="89"/>
      <c r="AB65" s="89"/>
      <c r="AC65" s="89"/>
      <c r="AD65" s="89"/>
      <c r="AE65" s="89"/>
      <c r="AF65" s="89"/>
    </row>
    <row r="66" spans="1:32">
      <c r="A66" s="89"/>
      <c r="B66" s="92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Y66" s="89"/>
      <c r="Z66" s="89"/>
      <c r="AA66" s="89"/>
      <c r="AB66" s="89"/>
      <c r="AC66" s="89"/>
      <c r="AD66" s="89"/>
      <c r="AE66" s="89"/>
      <c r="AF66" s="89"/>
    </row>
    <row r="67" spans="1:32">
      <c r="A67" s="89"/>
      <c r="B67" s="92"/>
      <c r="C67" s="89"/>
      <c r="D67" s="89"/>
      <c r="E67" s="89"/>
      <c r="F67" s="89"/>
      <c r="G67" s="89"/>
      <c r="H67" s="8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Y67" s="89"/>
      <c r="Z67" s="89"/>
      <c r="AA67" s="89"/>
      <c r="AB67" s="89"/>
      <c r="AC67" s="89"/>
      <c r="AD67" s="89"/>
      <c r="AE67" s="89"/>
      <c r="AF67" s="89"/>
    </row>
    <row r="68" spans="1:32">
      <c r="A68" s="89"/>
      <c r="B68" s="92"/>
      <c r="C68" s="89"/>
      <c r="D68" s="89"/>
      <c r="E68" s="89"/>
      <c r="F68" s="89"/>
      <c r="G68" s="89"/>
      <c r="H68" s="8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Y68" s="89"/>
      <c r="Z68" s="89"/>
      <c r="AA68" s="89"/>
      <c r="AB68" s="89"/>
      <c r="AC68" s="89"/>
      <c r="AD68" s="89"/>
      <c r="AE68" s="89"/>
      <c r="AF68" s="89"/>
    </row>
    <row r="69" spans="1:32">
      <c r="A69" s="89"/>
      <c r="B69" s="92"/>
      <c r="C69" s="89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Y69" s="89"/>
      <c r="Z69" s="89"/>
      <c r="AA69" s="89"/>
      <c r="AB69" s="89"/>
      <c r="AC69" s="89"/>
      <c r="AD69" s="89"/>
      <c r="AE69" s="89"/>
      <c r="AF69" s="89"/>
    </row>
    <row r="70" spans="1:32">
      <c r="A70" s="89"/>
      <c r="B70" s="92"/>
      <c r="C70" s="89"/>
      <c r="D70" s="89"/>
      <c r="E70" s="89"/>
      <c r="F70" s="89"/>
      <c r="G70" s="89"/>
      <c r="H70" s="8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Y70" s="89"/>
      <c r="Z70" s="89"/>
      <c r="AA70" s="89"/>
      <c r="AB70" s="89"/>
      <c r="AC70" s="89"/>
      <c r="AD70" s="89"/>
      <c r="AE70" s="89"/>
      <c r="AF70" s="89"/>
    </row>
    <row r="71" spans="1:32">
      <c r="A71" s="89"/>
      <c r="B71" s="92"/>
      <c r="C71" s="89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Y71" s="89"/>
      <c r="Z71" s="89"/>
      <c r="AA71" s="89"/>
      <c r="AB71" s="89"/>
      <c r="AC71" s="89"/>
      <c r="AD71" s="89"/>
      <c r="AE71" s="89"/>
      <c r="AF71" s="89"/>
    </row>
    <row r="72" spans="1:32">
      <c r="A72" s="89"/>
      <c r="B72" s="92"/>
      <c r="C72" s="89"/>
      <c r="D72" s="89"/>
      <c r="E72" s="89"/>
      <c r="F72" s="89"/>
      <c r="G72" s="89"/>
      <c r="H72" s="8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89"/>
      <c r="B73" s="92"/>
      <c r="C73" s="89"/>
      <c r="D73" s="89"/>
      <c r="E73" s="89"/>
      <c r="F73" s="89"/>
      <c r="G73" s="89"/>
      <c r="H73" s="8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Y73" s="89"/>
      <c r="Z73" s="89"/>
      <c r="AA73" s="89"/>
      <c r="AB73" s="89"/>
      <c r="AC73" s="89"/>
      <c r="AD73" s="89"/>
      <c r="AE73" s="89"/>
      <c r="AF73" s="89"/>
    </row>
    <row r="74" spans="1:32">
      <c r="A74" s="89"/>
      <c r="B74" s="92"/>
      <c r="C74" s="89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89"/>
      <c r="B75" s="92"/>
      <c r="C75" s="89"/>
      <c r="D75" s="89"/>
      <c r="E75" s="89"/>
      <c r="F75" s="89"/>
      <c r="G75" s="89"/>
      <c r="H75" s="8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89"/>
      <c r="B76" s="89"/>
      <c r="C76" s="89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Y76" s="89"/>
      <c r="Z76" s="89"/>
      <c r="AA76" s="89"/>
      <c r="AB76" s="89"/>
      <c r="AC76" s="89"/>
      <c r="AD76" s="89"/>
      <c r="AE76" s="89"/>
      <c r="AF76" s="89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A13" sqref="A13:F30"/>
    </sheetView>
  </sheetViews>
  <sheetFormatPr defaultColWidth="9" defaultRowHeight="13.5" outlineLevelCol="6"/>
  <sheetData>
    <row r="1" spans="1:2">
      <c r="A1" s="1" t="s">
        <v>196</v>
      </c>
      <c r="B1">
        <v>3</v>
      </c>
    </row>
    <row r="2" spans="1:2">
      <c r="A2" s="1" t="s">
        <v>197</v>
      </c>
      <c r="B2" s="1">
        <v>5</v>
      </c>
    </row>
    <row r="7" spans="7:7">
      <c r="G7" s="1"/>
    </row>
    <row r="11" ht="14.25" spans="1:6">
      <c r="A11" s="4" t="s">
        <v>141</v>
      </c>
      <c r="B11" s="4" t="s">
        <v>198</v>
      </c>
      <c r="C11" s="72" t="s">
        <v>146</v>
      </c>
      <c r="D11" s="73"/>
      <c r="E11" s="74" t="s">
        <v>199</v>
      </c>
      <c r="F11" s="74" t="s">
        <v>149</v>
      </c>
    </row>
    <row r="12" ht="15" spans="1:6">
      <c r="A12" s="4"/>
      <c r="B12" s="4"/>
      <c r="C12" s="75" t="s">
        <v>151</v>
      </c>
      <c r="D12" s="75" t="s">
        <v>152</v>
      </c>
      <c r="E12" s="76"/>
      <c r="F12" s="76"/>
    </row>
    <row r="13" ht="15.75" spans="1:6">
      <c r="A13" s="77" t="s">
        <v>200</v>
      </c>
      <c r="B13" s="77" t="s">
        <v>201</v>
      </c>
      <c r="C13" s="78">
        <v>0.18</v>
      </c>
      <c r="D13" s="79" t="s">
        <v>202</v>
      </c>
      <c r="E13" s="80">
        <v>0.01</v>
      </c>
      <c r="F13" s="81">
        <v>0.0127</v>
      </c>
    </row>
    <row r="14" ht="15" spans="1:6">
      <c r="A14" s="77" t="s">
        <v>200</v>
      </c>
      <c r="B14" s="77" t="s">
        <v>203</v>
      </c>
      <c r="C14" s="82">
        <v>0.3</v>
      </c>
      <c r="D14" s="79" t="s">
        <v>202</v>
      </c>
      <c r="E14" s="83"/>
      <c r="F14" s="84"/>
    </row>
    <row r="15" ht="15" spans="1:6">
      <c r="A15" s="77" t="s">
        <v>200</v>
      </c>
      <c r="B15" s="77" t="s">
        <v>204</v>
      </c>
      <c r="C15" s="82">
        <v>0.45</v>
      </c>
      <c r="D15" s="79" t="s">
        <v>202</v>
      </c>
      <c r="E15" s="83"/>
      <c r="F15" s="84"/>
    </row>
    <row r="16" ht="15" spans="1:6">
      <c r="A16" s="77" t="s">
        <v>200</v>
      </c>
      <c r="B16" s="77" t="s">
        <v>205</v>
      </c>
      <c r="C16" s="82">
        <v>0.62</v>
      </c>
      <c r="D16" s="79" t="s">
        <v>202</v>
      </c>
      <c r="E16" s="83"/>
      <c r="F16" s="84"/>
    </row>
    <row r="17" ht="15" spans="1:6">
      <c r="A17" s="77" t="s">
        <v>200</v>
      </c>
      <c r="B17" s="77" t="s">
        <v>206</v>
      </c>
      <c r="C17" s="82">
        <v>0.79</v>
      </c>
      <c r="D17" s="79">
        <v>0.78</v>
      </c>
      <c r="E17" s="83"/>
      <c r="F17" s="84"/>
    </row>
    <row r="18" ht="15" spans="1:6">
      <c r="A18" s="77" t="s">
        <v>200</v>
      </c>
      <c r="B18" s="77" t="s">
        <v>207</v>
      </c>
      <c r="C18" s="85">
        <v>0.01</v>
      </c>
      <c r="D18" s="79" t="s">
        <v>202</v>
      </c>
      <c r="E18" s="83"/>
      <c r="F18" s="84"/>
    </row>
    <row r="19" ht="15.75" spans="1:6">
      <c r="A19" s="77" t="s">
        <v>208</v>
      </c>
      <c r="B19" s="77" t="s">
        <v>201</v>
      </c>
      <c r="C19" s="78">
        <v>0.13</v>
      </c>
      <c r="D19" s="79" t="s">
        <v>202</v>
      </c>
      <c r="E19" s="83">
        <v>0.03</v>
      </c>
      <c r="F19" s="84">
        <v>0.0411</v>
      </c>
    </row>
    <row r="20" ht="15" spans="1:6">
      <c r="A20" s="77" t="s">
        <v>208</v>
      </c>
      <c r="B20" s="77" t="s">
        <v>203</v>
      </c>
      <c r="C20" s="82">
        <v>0.28</v>
      </c>
      <c r="D20" s="79" t="s">
        <v>202</v>
      </c>
      <c r="E20" s="83"/>
      <c r="F20" s="84"/>
    </row>
    <row r="21" ht="15" spans="1:6">
      <c r="A21" s="77" t="s">
        <v>208</v>
      </c>
      <c r="B21" s="77" t="s">
        <v>204</v>
      </c>
      <c r="C21" s="82">
        <v>0.41</v>
      </c>
      <c r="D21" s="79" t="s">
        <v>202</v>
      </c>
      <c r="E21" s="83"/>
      <c r="F21" s="84"/>
    </row>
    <row r="22" ht="15" spans="1:6">
      <c r="A22" s="77" t="s">
        <v>208</v>
      </c>
      <c r="B22" s="77" t="s">
        <v>205</v>
      </c>
      <c r="C22" s="82">
        <v>0.57</v>
      </c>
      <c r="D22" s="79" t="s">
        <v>202</v>
      </c>
      <c r="E22" s="83"/>
      <c r="F22" s="84"/>
    </row>
    <row r="23" ht="15" spans="1:6">
      <c r="A23" s="77" t="s">
        <v>208</v>
      </c>
      <c r="B23" s="77" t="s">
        <v>206</v>
      </c>
      <c r="C23" s="82">
        <v>0.73</v>
      </c>
      <c r="D23" s="79">
        <v>0.7</v>
      </c>
      <c r="E23" s="83"/>
      <c r="F23" s="84"/>
    </row>
    <row r="24" ht="15" spans="1:6">
      <c r="A24" s="77" t="s">
        <v>208</v>
      </c>
      <c r="B24" s="77" t="s">
        <v>207</v>
      </c>
      <c r="C24" s="85">
        <v>0.03</v>
      </c>
      <c r="D24" s="79" t="s">
        <v>202</v>
      </c>
      <c r="E24" s="83"/>
      <c r="F24" s="84"/>
    </row>
    <row r="25" ht="15.75" spans="1:6">
      <c r="A25" s="77" t="s">
        <v>209</v>
      </c>
      <c r="B25" s="77" t="s">
        <v>201</v>
      </c>
      <c r="C25" s="78">
        <v>0.15</v>
      </c>
      <c r="D25" s="79" t="s">
        <v>202</v>
      </c>
      <c r="E25" s="83">
        <v>0.04</v>
      </c>
      <c r="F25" s="84">
        <v>0.0482</v>
      </c>
    </row>
    <row r="26" ht="15" spans="1:6">
      <c r="A26" s="77" t="s">
        <v>209</v>
      </c>
      <c r="B26" s="77" t="s">
        <v>203</v>
      </c>
      <c r="C26" s="82">
        <v>0.32</v>
      </c>
      <c r="D26" s="79" t="s">
        <v>202</v>
      </c>
      <c r="E26" s="83"/>
      <c r="F26" s="84"/>
    </row>
    <row r="27" ht="15" spans="1:6">
      <c r="A27" s="77" t="s">
        <v>209</v>
      </c>
      <c r="B27" s="77" t="s">
        <v>204</v>
      </c>
      <c r="C27" s="82">
        <v>0.48</v>
      </c>
      <c r="D27" s="79" t="s">
        <v>202</v>
      </c>
      <c r="E27" s="83"/>
      <c r="F27" s="84"/>
    </row>
    <row r="28" ht="15" spans="1:6">
      <c r="A28" s="77" t="s">
        <v>209</v>
      </c>
      <c r="B28" s="77" t="s">
        <v>205</v>
      </c>
      <c r="C28" s="82">
        <v>0.64</v>
      </c>
      <c r="D28" s="79" t="s">
        <v>202</v>
      </c>
      <c r="E28" s="83"/>
      <c r="F28" s="84"/>
    </row>
    <row r="29" ht="15" spans="1:6">
      <c r="A29" s="77" t="s">
        <v>209</v>
      </c>
      <c r="B29" s="77" t="s">
        <v>206</v>
      </c>
      <c r="C29" s="82">
        <v>0.83</v>
      </c>
      <c r="D29" s="79">
        <v>0.79</v>
      </c>
      <c r="E29" s="83"/>
      <c r="F29" s="84"/>
    </row>
    <row r="30" ht="15" spans="1:6">
      <c r="A30" s="77" t="s">
        <v>209</v>
      </c>
      <c r="B30" s="77" t="s">
        <v>207</v>
      </c>
      <c r="C30" s="85">
        <v>0.04</v>
      </c>
      <c r="D30" s="79" t="s">
        <v>202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M8" sqref="M8"/>
    </sheetView>
  </sheetViews>
  <sheetFormatPr defaultColWidth="9" defaultRowHeight="13.5"/>
  <sheetData>
    <row r="3" spans="7:7">
      <c r="G3" t="s">
        <v>210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2:B2"/>
  <sheetViews>
    <sheetView workbookViewId="0">
      <selection activeCell="L6" sqref="L6"/>
    </sheetView>
  </sheetViews>
  <sheetFormatPr defaultColWidth="9" defaultRowHeight="13.5" outlineLevelRow="1" outlineLevelCol="1"/>
  <sheetData>
    <row r="2" spans="1:2">
      <c r="A2" t="s">
        <v>18</v>
      </c>
      <c r="B2" t="s">
        <v>19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91"/>
  <sheetViews>
    <sheetView workbookViewId="0">
      <selection activeCell="A1" sqref="A1:F8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141</v>
      </c>
      <c r="B1" s="1" t="s">
        <v>211</v>
      </c>
      <c r="C1" s="1" t="s">
        <v>212</v>
      </c>
      <c r="D1" s="1" t="s">
        <v>213</v>
      </c>
      <c r="E1" s="1" t="s">
        <v>214</v>
      </c>
      <c r="F1" s="1" t="s">
        <v>215</v>
      </c>
      <c r="J1" s="1" t="s">
        <v>216</v>
      </c>
      <c r="K1" s="1" t="s">
        <v>141</v>
      </c>
      <c r="L1" s="1" t="s">
        <v>211</v>
      </c>
      <c r="M1" s="1" t="s">
        <v>217</v>
      </c>
      <c r="N1" s="1" t="s">
        <v>218</v>
      </c>
      <c r="O1" s="1" t="s">
        <v>214</v>
      </c>
      <c r="P1" s="1" t="s">
        <v>215</v>
      </c>
    </row>
    <row r="2" spans="1:15">
      <c r="A2" s="70" t="s">
        <v>219</v>
      </c>
      <c r="B2" s="1" t="s">
        <v>202</v>
      </c>
      <c r="C2">
        <v>0</v>
      </c>
      <c r="D2">
        <v>1.28664</v>
      </c>
      <c r="E2">
        <v>0</v>
      </c>
      <c r="F2">
        <v>0</v>
      </c>
      <c r="J2" s="1"/>
      <c r="K2" s="70" t="s">
        <v>219</v>
      </c>
      <c r="L2" s="1" t="s">
        <v>202</v>
      </c>
      <c r="M2">
        <v>0</v>
      </c>
      <c r="N2">
        <v>1.71951</v>
      </c>
      <c r="O2">
        <v>0</v>
      </c>
    </row>
    <row r="3" spans="1:14">
      <c r="A3" s="39" t="s">
        <v>158</v>
      </c>
      <c r="B3" s="70" t="s">
        <v>219</v>
      </c>
      <c r="C3">
        <v>1.23465</v>
      </c>
      <c r="D3">
        <v>1.28664</v>
      </c>
      <c r="E3">
        <v>0.05199</v>
      </c>
      <c r="F3">
        <v>-51.99</v>
      </c>
      <c r="K3" s="39" t="s">
        <v>200</v>
      </c>
      <c r="L3" s="70" t="s">
        <v>219</v>
      </c>
      <c r="M3">
        <v>1.34327</v>
      </c>
      <c r="N3">
        <v>1.71951</v>
      </c>
    </row>
    <row r="4" spans="1:14">
      <c r="A4" s="39" t="s">
        <v>160</v>
      </c>
      <c r="B4" s="70" t="s">
        <v>219</v>
      </c>
      <c r="C4">
        <v>1.21815</v>
      </c>
      <c r="D4">
        <v>1.28664</v>
      </c>
      <c r="E4">
        <v>0.0684899999999999</v>
      </c>
      <c r="F4">
        <v>-68.4899999999999</v>
      </c>
      <c r="K4" s="39" t="s">
        <v>208</v>
      </c>
      <c r="L4" s="39" t="s">
        <v>219</v>
      </c>
      <c r="M4">
        <v>1.36554</v>
      </c>
      <c r="N4">
        <v>1.71951</v>
      </c>
    </row>
    <row r="5" spans="1:14">
      <c r="A5" s="39" t="s">
        <v>161</v>
      </c>
      <c r="B5" s="70" t="s">
        <v>219</v>
      </c>
      <c r="C5">
        <v>1.19995</v>
      </c>
      <c r="D5">
        <v>1.28664</v>
      </c>
      <c r="E5">
        <v>0.0866899999999999</v>
      </c>
      <c r="F5">
        <v>-86.6899999999999</v>
      </c>
      <c r="K5" s="39" t="s">
        <v>209</v>
      </c>
      <c r="L5" s="39" t="s">
        <v>219</v>
      </c>
      <c r="M5">
        <v>1.38873</v>
      </c>
      <c r="N5">
        <v>1.71951</v>
      </c>
    </row>
    <row r="6" spans="1:14">
      <c r="A6" s="39" t="s">
        <v>162</v>
      </c>
      <c r="B6" s="70" t="s">
        <v>219</v>
      </c>
      <c r="C6">
        <v>1.1783</v>
      </c>
      <c r="D6">
        <v>1.28664</v>
      </c>
      <c r="E6">
        <v>0.10834</v>
      </c>
      <c r="F6">
        <v>-108.34</v>
      </c>
      <c r="K6" s="39" t="s">
        <v>220</v>
      </c>
      <c r="L6" s="39" t="s">
        <v>219</v>
      </c>
      <c r="M6">
        <v>1.74934</v>
      </c>
      <c r="N6">
        <v>1.71951</v>
      </c>
    </row>
    <row r="7" spans="1:14">
      <c r="A7" s="39" t="s">
        <v>163</v>
      </c>
      <c r="B7" s="70" t="s">
        <v>219</v>
      </c>
      <c r="C7">
        <v>1.15555</v>
      </c>
      <c r="D7">
        <v>1.28664</v>
      </c>
      <c r="E7">
        <v>0.13109</v>
      </c>
      <c r="F7">
        <v>-131.09</v>
      </c>
      <c r="K7" s="39" t="s">
        <v>221</v>
      </c>
      <c r="L7" s="39" t="s">
        <v>219</v>
      </c>
      <c r="M7">
        <v>1.72875</v>
      </c>
      <c r="N7">
        <v>1.71951</v>
      </c>
    </row>
    <row r="8" spans="1:14">
      <c r="A8" s="39" t="s">
        <v>164</v>
      </c>
      <c r="B8" s="70" t="s">
        <v>219</v>
      </c>
      <c r="C8">
        <v>1.12801</v>
      </c>
      <c r="D8">
        <v>1.28664</v>
      </c>
      <c r="E8">
        <v>0.15863</v>
      </c>
      <c r="F8">
        <v>-158.63</v>
      </c>
      <c r="K8" s="39" t="s">
        <v>222</v>
      </c>
      <c r="L8" s="39" t="s">
        <v>219</v>
      </c>
      <c r="M8">
        <v>1.6987</v>
      </c>
      <c r="N8">
        <v>1.71951</v>
      </c>
    </row>
    <row r="9" spans="11:14">
      <c r="K9" s="39" t="s">
        <v>223</v>
      </c>
      <c r="L9" s="39" t="s">
        <v>219</v>
      </c>
      <c r="M9">
        <v>1.67526</v>
      </c>
      <c r="N9">
        <v>1.71951</v>
      </c>
    </row>
    <row r="10" spans="11:14">
      <c r="K10" s="39" t="s">
        <v>224</v>
      </c>
      <c r="L10" s="39" t="s">
        <v>219</v>
      </c>
      <c r="M10">
        <v>1.66155</v>
      </c>
      <c r="N10">
        <v>1.71951</v>
      </c>
    </row>
    <row r="11" spans="11:14">
      <c r="K11" s="39" t="s">
        <v>225</v>
      </c>
      <c r="L11" s="39" t="s">
        <v>219</v>
      </c>
      <c r="M11">
        <v>1.64923</v>
      </c>
      <c r="N11">
        <v>1.71951</v>
      </c>
    </row>
    <row r="12" spans="1:14">
      <c r="A12" s="39"/>
      <c r="B12" s="70"/>
      <c r="K12" s="70" t="s">
        <v>226</v>
      </c>
      <c r="L12" s="70" t="s">
        <v>224</v>
      </c>
      <c r="M12">
        <v>1.66053</v>
      </c>
      <c r="N12">
        <v>1.72431</v>
      </c>
    </row>
    <row r="13" spans="1:14">
      <c r="A13" s="39"/>
      <c r="B13" s="70"/>
      <c r="K13" s="70" t="s">
        <v>227</v>
      </c>
      <c r="L13" s="70" t="s">
        <v>224</v>
      </c>
      <c r="M13">
        <v>1.66256</v>
      </c>
      <c r="N13">
        <v>1.72352</v>
      </c>
    </row>
    <row r="14" spans="1:14">
      <c r="A14" s="39"/>
      <c r="B14" s="70"/>
      <c r="K14" s="70" t="s">
        <v>228</v>
      </c>
      <c r="L14" s="70" t="s">
        <v>229</v>
      </c>
      <c r="M14">
        <v>1.64823</v>
      </c>
      <c r="N14">
        <v>1.71828</v>
      </c>
    </row>
    <row r="15" spans="1:14">
      <c r="A15" s="70"/>
      <c r="B15" s="70"/>
      <c r="K15" s="70" t="s">
        <v>230</v>
      </c>
      <c r="L15" s="70" t="s">
        <v>228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0:19">
      <c r="J19" t="s">
        <v>231</v>
      </c>
      <c r="K19" s="70" t="s">
        <v>219</v>
      </c>
      <c r="L19" s="1" t="s">
        <v>202</v>
      </c>
      <c r="M19">
        <v>0</v>
      </c>
      <c r="N19">
        <v>1.52475</v>
      </c>
      <c r="O19">
        <v>0</v>
      </c>
      <c r="P19">
        <v>0</v>
      </c>
      <c r="R19" s="39"/>
      <c r="S19" s="70"/>
    </row>
    <row r="20" spans="11:19">
      <c r="K20" s="39" t="s">
        <v>155</v>
      </c>
      <c r="L20" s="70" t="s">
        <v>219</v>
      </c>
      <c r="M20">
        <v>1.62039</v>
      </c>
      <c r="N20">
        <v>1.52475</v>
      </c>
      <c r="O20">
        <v>-0.0956399999999999</v>
      </c>
      <c r="P20">
        <v>95.6399999999999</v>
      </c>
      <c r="R20" s="39"/>
      <c r="S20" s="70"/>
    </row>
    <row r="21" spans="11:19">
      <c r="K21" s="39" t="s">
        <v>156</v>
      </c>
      <c r="L21" s="70" t="s">
        <v>219</v>
      </c>
      <c r="M21">
        <v>1.61119</v>
      </c>
      <c r="N21">
        <v>1.52475</v>
      </c>
      <c r="O21">
        <v>-0.0864399999999998</v>
      </c>
      <c r="P21">
        <v>86.4399999999999</v>
      </c>
      <c r="R21" s="39"/>
      <c r="S21" s="70"/>
    </row>
    <row r="22" spans="11:16">
      <c r="K22" s="39" t="s">
        <v>157</v>
      </c>
      <c r="L22" s="70" t="s">
        <v>219</v>
      </c>
      <c r="M22">
        <v>1.58873</v>
      </c>
      <c r="N22">
        <v>1.52475</v>
      </c>
      <c r="O22">
        <v>-0.0639799999999999</v>
      </c>
      <c r="P22">
        <v>63.9799999999999</v>
      </c>
    </row>
    <row r="23" spans="11:16">
      <c r="K23" s="39" t="s">
        <v>158</v>
      </c>
      <c r="L23" s="70" t="s">
        <v>219</v>
      </c>
      <c r="M23">
        <v>1.47234</v>
      </c>
      <c r="N23">
        <v>1.52475</v>
      </c>
      <c r="O23">
        <v>0.0524100000000001</v>
      </c>
      <c r="P23">
        <v>-52.4100000000001</v>
      </c>
    </row>
    <row r="24" spans="11:19">
      <c r="K24" s="39" t="s">
        <v>160</v>
      </c>
      <c r="L24" s="70" t="s">
        <v>219</v>
      </c>
      <c r="M24">
        <v>1.45553</v>
      </c>
      <c r="N24">
        <v>1.52475</v>
      </c>
      <c r="O24">
        <v>0.0692200000000001</v>
      </c>
      <c r="P24">
        <v>-69.2200000000001</v>
      </c>
      <c r="R24" s="70"/>
      <c r="S24" s="1"/>
    </row>
    <row r="25" spans="11:19">
      <c r="K25" s="39" t="s">
        <v>161</v>
      </c>
      <c r="L25" s="70" t="s">
        <v>219</v>
      </c>
      <c r="M25">
        <v>1.43695</v>
      </c>
      <c r="N25">
        <v>1.52475</v>
      </c>
      <c r="O25">
        <v>0.0878000000000001</v>
      </c>
      <c r="P25">
        <v>-87.8000000000001</v>
      </c>
      <c r="R25" s="39"/>
      <c r="S25" s="70"/>
    </row>
    <row r="26" spans="11:19">
      <c r="K26" s="39" t="s">
        <v>162</v>
      </c>
      <c r="L26" s="70" t="s">
        <v>219</v>
      </c>
      <c r="M26">
        <v>1.4153</v>
      </c>
      <c r="N26">
        <v>1.52475</v>
      </c>
      <c r="O26">
        <v>0.10945</v>
      </c>
      <c r="P26">
        <v>-109.45</v>
      </c>
      <c r="R26" s="39"/>
      <c r="S26" s="70"/>
    </row>
    <row r="27" spans="11:19">
      <c r="K27" s="39" t="s">
        <v>163</v>
      </c>
      <c r="L27" s="70" t="s">
        <v>219</v>
      </c>
      <c r="M27">
        <v>1.39268</v>
      </c>
      <c r="N27">
        <v>1.52475</v>
      </c>
      <c r="O27">
        <v>0.13207</v>
      </c>
      <c r="P27">
        <v>-132.07</v>
      </c>
      <c r="R27" s="39"/>
      <c r="S27" s="70"/>
    </row>
    <row r="28" spans="11:16">
      <c r="K28" s="39" t="s">
        <v>164</v>
      </c>
      <c r="L28" s="70" t="s">
        <v>219</v>
      </c>
      <c r="M28">
        <v>1.36552</v>
      </c>
      <c r="N28">
        <v>1.52475</v>
      </c>
      <c r="O28">
        <v>0.15923</v>
      </c>
      <c r="P28">
        <v>-159.23</v>
      </c>
    </row>
    <row r="29" spans="11:12">
      <c r="K29" s="39"/>
      <c r="L29" s="70"/>
    </row>
    <row r="30" spans="11:19">
      <c r="K30" s="39"/>
      <c r="L30" s="70"/>
      <c r="R30" s="70"/>
      <c r="S30" s="1"/>
    </row>
    <row r="31" spans="10:19">
      <c r="J31" t="s">
        <v>232</v>
      </c>
      <c r="K31" s="70" t="s">
        <v>219</v>
      </c>
      <c r="L31" s="1" t="s">
        <v>202</v>
      </c>
      <c r="M31">
        <v>0</v>
      </c>
      <c r="N31">
        <v>1.52444</v>
      </c>
      <c r="O31">
        <v>0</v>
      </c>
      <c r="P31">
        <v>0</v>
      </c>
      <c r="R31" s="39"/>
      <c r="S31" s="70"/>
    </row>
    <row r="32" spans="11:19">
      <c r="K32" s="39" t="s">
        <v>155</v>
      </c>
      <c r="L32" s="70" t="s">
        <v>219</v>
      </c>
      <c r="M32">
        <v>1.62088</v>
      </c>
      <c r="N32">
        <v>1.52444</v>
      </c>
      <c r="O32">
        <v>-0.0964400000000001</v>
      </c>
      <c r="P32">
        <v>96.4400000000001</v>
      </c>
      <c r="R32" s="39"/>
      <c r="S32" s="70"/>
    </row>
    <row r="33" spans="11:19">
      <c r="K33" s="39" t="s">
        <v>156</v>
      </c>
      <c r="L33" s="70" t="s">
        <v>219</v>
      </c>
      <c r="M33">
        <v>1.61166</v>
      </c>
      <c r="N33">
        <v>1.52444</v>
      </c>
      <c r="O33">
        <v>-0.0872200000000001</v>
      </c>
      <c r="P33">
        <v>87.2200000000001</v>
      </c>
      <c r="R33" s="39"/>
      <c r="S33" s="70"/>
    </row>
    <row r="34" spans="11:16">
      <c r="K34" s="39" t="s">
        <v>157</v>
      </c>
      <c r="L34" s="70" t="s">
        <v>219</v>
      </c>
      <c r="M34">
        <v>1.5892</v>
      </c>
      <c r="N34">
        <v>1.52444</v>
      </c>
      <c r="O34">
        <v>-0.0647599999999999</v>
      </c>
      <c r="P34">
        <v>64.7599999999999</v>
      </c>
    </row>
    <row r="35" spans="11:16">
      <c r="K35" s="39" t="s">
        <v>158</v>
      </c>
      <c r="L35" s="70" t="s">
        <v>219</v>
      </c>
      <c r="M35">
        <v>1.47225</v>
      </c>
      <c r="N35">
        <v>1.52444</v>
      </c>
      <c r="O35">
        <v>0.05219</v>
      </c>
      <c r="P35">
        <v>-52.19</v>
      </c>
    </row>
    <row r="36" spans="11:16">
      <c r="K36" s="39" t="s">
        <v>160</v>
      </c>
      <c r="L36" s="70" t="s">
        <v>219</v>
      </c>
      <c r="M36">
        <v>1.45532</v>
      </c>
      <c r="N36">
        <v>1.52444</v>
      </c>
      <c r="O36">
        <v>0.0691200000000001</v>
      </c>
      <c r="P36">
        <v>-69.1200000000001</v>
      </c>
    </row>
    <row r="37" spans="11:16">
      <c r="K37" s="39" t="s">
        <v>161</v>
      </c>
      <c r="L37" s="70" t="s">
        <v>219</v>
      </c>
      <c r="M37">
        <v>1.43683</v>
      </c>
      <c r="N37">
        <v>1.52444</v>
      </c>
      <c r="O37">
        <v>0.08761</v>
      </c>
      <c r="P37">
        <v>-87.61</v>
      </c>
    </row>
    <row r="38" spans="11:16">
      <c r="K38" s="39" t="s">
        <v>162</v>
      </c>
      <c r="L38" s="70" t="s">
        <v>219</v>
      </c>
      <c r="M38">
        <v>1.415</v>
      </c>
      <c r="N38">
        <v>1.52444</v>
      </c>
      <c r="O38">
        <v>0.10944</v>
      </c>
      <c r="P38">
        <v>-109.44</v>
      </c>
    </row>
    <row r="39" spans="11:16">
      <c r="K39" s="39" t="s">
        <v>163</v>
      </c>
      <c r="L39" s="70" t="s">
        <v>219</v>
      </c>
      <c r="M39">
        <v>1.39232</v>
      </c>
      <c r="N39">
        <v>1.52444</v>
      </c>
      <c r="O39">
        <v>0.13212</v>
      </c>
      <c r="P39">
        <v>-132.12</v>
      </c>
    </row>
    <row r="40" spans="11:16">
      <c r="K40" s="39" t="s">
        <v>164</v>
      </c>
      <c r="L40" s="70" t="s">
        <v>219</v>
      </c>
      <c r="M40">
        <v>1.3653</v>
      </c>
      <c r="N40">
        <v>1.52444</v>
      </c>
      <c r="O40">
        <v>0.15914</v>
      </c>
      <c r="P40">
        <v>-159.14</v>
      </c>
    </row>
    <row r="41" spans="11:12">
      <c r="K41" s="39"/>
      <c r="L41" s="70"/>
    </row>
    <row r="42" spans="11:12">
      <c r="K42" s="39"/>
      <c r="L42" s="70"/>
    </row>
    <row r="43" spans="10:16">
      <c r="J43" t="s">
        <v>233</v>
      </c>
      <c r="K43" s="70" t="s">
        <v>219</v>
      </c>
      <c r="L43" s="1" t="s">
        <v>202</v>
      </c>
      <c r="M43">
        <v>0</v>
      </c>
      <c r="N43">
        <v>1.52481</v>
      </c>
      <c r="O43">
        <v>0</v>
      </c>
      <c r="P43">
        <v>0</v>
      </c>
    </row>
    <row r="44" spans="11:16">
      <c r="K44" s="39" t="s">
        <v>155</v>
      </c>
      <c r="L44" s="70" t="s">
        <v>219</v>
      </c>
      <c r="M44">
        <v>1.62043</v>
      </c>
      <c r="N44">
        <v>1.52481</v>
      </c>
      <c r="O44">
        <v>-0.09562</v>
      </c>
      <c r="P44">
        <v>95.62</v>
      </c>
    </row>
    <row r="45" spans="11:16">
      <c r="K45" s="39" t="s">
        <v>156</v>
      </c>
      <c r="L45" s="70" t="s">
        <v>219</v>
      </c>
      <c r="M45">
        <v>1.6112</v>
      </c>
      <c r="N45">
        <v>1.52481</v>
      </c>
      <c r="O45">
        <v>-0.08639</v>
      </c>
      <c r="P45">
        <v>86.39</v>
      </c>
    </row>
    <row r="46" spans="11:16">
      <c r="K46" s="39" t="s">
        <v>157</v>
      </c>
      <c r="L46" s="70" t="s">
        <v>219</v>
      </c>
      <c r="M46">
        <v>1.58879</v>
      </c>
      <c r="N46">
        <v>1.52481</v>
      </c>
      <c r="O46">
        <v>-0.0639799999999999</v>
      </c>
      <c r="P46">
        <v>63.9799999999999</v>
      </c>
    </row>
    <row r="47" spans="11:16">
      <c r="K47" s="39" t="s">
        <v>158</v>
      </c>
      <c r="L47" s="70" t="s">
        <v>219</v>
      </c>
      <c r="M47">
        <v>1.47228</v>
      </c>
      <c r="N47">
        <v>1.52481</v>
      </c>
      <c r="O47">
        <v>0.05253</v>
      </c>
      <c r="P47">
        <v>-52.53</v>
      </c>
    </row>
    <row r="48" spans="11:16">
      <c r="K48" s="39" t="s">
        <v>160</v>
      </c>
      <c r="L48" s="70" t="s">
        <v>219</v>
      </c>
      <c r="M48">
        <v>1.45542</v>
      </c>
      <c r="N48">
        <v>1.52481</v>
      </c>
      <c r="O48">
        <v>0.0693900000000001</v>
      </c>
      <c r="P48">
        <v>-69.3900000000001</v>
      </c>
    </row>
    <row r="49" spans="11:16">
      <c r="K49" s="39" t="s">
        <v>161</v>
      </c>
      <c r="L49" s="70" t="s">
        <v>219</v>
      </c>
      <c r="M49">
        <v>1.43699</v>
      </c>
      <c r="N49">
        <v>1.52481</v>
      </c>
      <c r="O49">
        <v>0.08782</v>
      </c>
      <c r="P49">
        <v>-87.82</v>
      </c>
    </row>
    <row r="50" spans="11:16">
      <c r="K50" s="39" t="s">
        <v>162</v>
      </c>
      <c r="L50" s="70" t="s">
        <v>219</v>
      </c>
      <c r="M50">
        <v>1.41527</v>
      </c>
      <c r="N50">
        <v>1.52481</v>
      </c>
      <c r="O50">
        <v>0.10954</v>
      </c>
      <c r="P50">
        <v>-109.54</v>
      </c>
    </row>
    <row r="51" spans="11:16">
      <c r="K51" s="39" t="s">
        <v>163</v>
      </c>
      <c r="L51" s="70" t="s">
        <v>219</v>
      </c>
      <c r="M51">
        <v>1.39261</v>
      </c>
      <c r="N51">
        <v>1.52481</v>
      </c>
      <c r="O51">
        <v>0.1322</v>
      </c>
      <c r="P51">
        <v>-132.2</v>
      </c>
    </row>
    <row r="52" spans="11:16">
      <c r="K52" s="39" t="s">
        <v>164</v>
      </c>
      <c r="L52" s="70" t="s">
        <v>219</v>
      </c>
      <c r="M52">
        <v>1.36548</v>
      </c>
      <c r="N52">
        <v>1.52481</v>
      </c>
      <c r="O52">
        <v>0.15933</v>
      </c>
      <c r="P52">
        <v>-159.33</v>
      </c>
    </row>
    <row r="53" spans="11:12">
      <c r="K53" s="39"/>
      <c r="L53" s="70"/>
    </row>
    <row r="54" spans="11:12">
      <c r="K54" s="39"/>
      <c r="L54" s="70"/>
    </row>
    <row r="55" spans="10:16">
      <c r="J55" t="s">
        <v>234</v>
      </c>
      <c r="K55" s="39" t="s">
        <v>219</v>
      </c>
      <c r="L55" s="70" t="s">
        <v>202</v>
      </c>
      <c r="M55">
        <v>0</v>
      </c>
      <c r="N55">
        <v>1.28708</v>
      </c>
      <c r="O55">
        <v>0</v>
      </c>
      <c r="P55">
        <v>0</v>
      </c>
    </row>
    <row r="56" spans="11:16">
      <c r="K56" s="39" t="s">
        <v>158</v>
      </c>
      <c r="L56" s="70" t="s">
        <v>219</v>
      </c>
      <c r="M56">
        <v>1.23349</v>
      </c>
      <c r="N56">
        <v>1.28708</v>
      </c>
      <c r="O56">
        <v>0.05359</v>
      </c>
      <c r="P56">
        <v>-53.59</v>
      </c>
    </row>
    <row r="57" spans="11:16">
      <c r="K57" s="39" t="s">
        <v>160</v>
      </c>
      <c r="L57" s="70" t="s">
        <v>219</v>
      </c>
      <c r="M57">
        <v>1.21655</v>
      </c>
      <c r="N57">
        <v>1.28708</v>
      </c>
      <c r="O57">
        <v>0.07053</v>
      </c>
      <c r="P57">
        <v>-70.53</v>
      </c>
    </row>
    <row r="58" spans="11:16">
      <c r="K58" s="39" t="s">
        <v>161</v>
      </c>
      <c r="L58" s="70" t="s">
        <v>219</v>
      </c>
      <c r="M58">
        <v>1.1981</v>
      </c>
      <c r="N58">
        <v>1.28708</v>
      </c>
      <c r="O58">
        <v>0.0889800000000001</v>
      </c>
      <c r="P58">
        <v>-88.9800000000001</v>
      </c>
    </row>
    <row r="59" spans="11:16">
      <c r="K59" s="39" t="s">
        <v>162</v>
      </c>
      <c r="L59" s="70" t="s">
        <v>219</v>
      </c>
      <c r="M59">
        <v>1.17631</v>
      </c>
      <c r="N59">
        <v>1.28708</v>
      </c>
      <c r="O59">
        <v>0.11077</v>
      </c>
      <c r="P59">
        <v>-110.77</v>
      </c>
    </row>
    <row r="60" spans="11:16">
      <c r="K60" s="39" t="s">
        <v>163</v>
      </c>
      <c r="L60" s="70" t="s">
        <v>219</v>
      </c>
      <c r="M60">
        <v>1.15372</v>
      </c>
      <c r="N60">
        <v>1.28708</v>
      </c>
      <c r="O60">
        <v>0.13336</v>
      </c>
      <c r="P60">
        <v>-133.36</v>
      </c>
    </row>
    <row r="61" spans="11:16">
      <c r="K61" s="39" t="s">
        <v>164</v>
      </c>
      <c r="L61" s="70" t="s">
        <v>219</v>
      </c>
      <c r="M61">
        <v>1.12654</v>
      </c>
      <c r="N61">
        <v>1.28708</v>
      </c>
      <c r="O61">
        <v>0.16054</v>
      </c>
      <c r="P61">
        <v>-160.54</v>
      </c>
    </row>
    <row r="64" spans="10:16">
      <c r="J64" t="s">
        <v>235</v>
      </c>
      <c r="K64" s="70" t="s">
        <v>219</v>
      </c>
      <c r="L64" s="1" t="s">
        <v>202</v>
      </c>
      <c r="M64">
        <v>0</v>
      </c>
      <c r="N64">
        <v>1.28664</v>
      </c>
      <c r="O64">
        <v>0</v>
      </c>
      <c r="P64">
        <v>0</v>
      </c>
    </row>
    <row r="65" spans="11:16">
      <c r="K65" s="39" t="s">
        <v>158</v>
      </c>
      <c r="L65" s="70" t="s">
        <v>219</v>
      </c>
      <c r="M65">
        <v>1.23465</v>
      </c>
      <c r="N65">
        <v>1.28664</v>
      </c>
      <c r="O65">
        <v>0.05199</v>
      </c>
      <c r="P65">
        <v>-51.99</v>
      </c>
    </row>
    <row r="66" spans="11:16">
      <c r="K66" s="39" t="s">
        <v>160</v>
      </c>
      <c r="L66" s="70" t="s">
        <v>219</v>
      </c>
      <c r="M66">
        <v>1.21815</v>
      </c>
      <c r="N66">
        <v>1.28664</v>
      </c>
      <c r="O66">
        <v>0.0684899999999999</v>
      </c>
      <c r="P66">
        <v>-68.4899999999999</v>
      </c>
    </row>
    <row r="67" spans="11:16">
      <c r="K67" s="39" t="s">
        <v>161</v>
      </c>
      <c r="L67" s="70" t="s">
        <v>219</v>
      </c>
      <c r="M67">
        <v>1.19995</v>
      </c>
      <c r="N67">
        <v>1.28664</v>
      </c>
      <c r="O67">
        <v>0.0866899999999999</v>
      </c>
      <c r="P67">
        <v>-86.6899999999999</v>
      </c>
    </row>
    <row r="68" spans="11:16">
      <c r="K68" s="39" t="s">
        <v>162</v>
      </c>
      <c r="L68" s="70" t="s">
        <v>219</v>
      </c>
      <c r="M68">
        <v>1.1783</v>
      </c>
      <c r="N68">
        <v>1.28664</v>
      </c>
      <c r="O68">
        <v>0.10834</v>
      </c>
      <c r="P68">
        <v>-108.34</v>
      </c>
    </row>
    <row r="69" spans="11:16">
      <c r="K69" s="39" t="s">
        <v>163</v>
      </c>
      <c r="L69" s="70" t="s">
        <v>219</v>
      </c>
      <c r="M69">
        <v>1.15555</v>
      </c>
      <c r="N69">
        <v>1.28664</v>
      </c>
      <c r="O69">
        <v>0.13109</v>
      </c>
      <c r="P69">
        <v>-131.09</v>
      </c>
    </row>
    <row r="70" spans="11:16">
      <c r="K70" s="39" t="s">
        <v>164</v>
      </c>
      <c r="L70" s="70" t="s">
        <v>219</v>
      </c>
      <c r="M70">
        <v>1.12801</v>
      </c>
      <c r="N70">
        <v>1.28664</v>
      </c>
      <c r="O70">
        <v>0.15863</v>
      </c>
      <c r="P70">
        <v>-158.63</v>
      </c>
    </row>
    <row r="71" spans="11:12">
      <c r="K71" s="39"/>
      <c r="L71" s="70"/>
    </row>
    <row r="72" spans="11:12">
      <c r="K72" s="39"/>
      <c r="L72" s="70"/>
    </row>
    <row r="73" spans="10:16">
      <c r="J73" t="s">
        <v>236</v>
      </c>
      <c r="K73" s="70" t="s">
        <v>219</v>
      </c>
      <c r="L73" s="1" t="s">
        <v>202</v>
      </c>
      <c r="M73">
        <v>0</v>
      </c>
      <c r="N73">
        <v>1.28693</v>
      </c>
      <c r="O73">
        <v>0</v>
      </c>
      <c r="P73">
        <v>0</v>
      </c>
    </row>
    <row r="74" spans="11:16">
      <c r="K74" s="39" t="s">
        <v>158</v>
      </c>
      <c r="L74" s="70" t="s">
        <v>219</v>
      </c>
      <c r="M74">
        <v>1.2334</v>
      </c>
      <c r="N74">
        <v>1.28693</v>
      </c>
      <c r="O74">
        <v>0.0535299999999999</v>
      </c>
      <c r="P74">
        <v>-53.5299999999999</v>
      </c>
    </row>
    <row r="75" spans="11:16">
      <c r="K75" s="39" t="s">
        <v>160</v>
      </c>
      <c r="L75" s="70" t="s">
        <v>219</v>
      </c>
      <c r="M75">
        <v>1.21649</v>
      </c>
      <c r="N75">
        <v>1.28693</v>
      </c>
      <c r="O75">
        <v>0.0704399999999998</v>
      </c>
      <c r="P75">
        <v>-70.4399999999998</v>
      </c>
    </row>
    <row r="76" spans="11:16">
      <c r="K76" s="39" t="s">
        <v>161</v>
      </c>
      <c r="L76" s="70" t="s">
        <v>219</v>
      </c>
      <c r="M76">
        <v>1.19799</v>
      </c>
      <c r="N76">
        <v>1.28693</v>
      </c>
      <c r="O76">
        <v>0.0889399999999998</v>
      </c>
      <c r="P76">
        <v>-88.9399999999998</v>
      </c>
    </row>
    <row r="77" spans="11:16">
      <c r="K77" s="39" t="s">
        <v>162</v>
      </c>
      <c r="L77" s="70" t="s">
        <v>219</v>
      </c>
      <c r="M77">
        <v>1.1762</v>
      </c>
      <c r="N77">
        <v>1.28693</v>
      </c>
      <c r="O77">
        <v>0.11073</v>
      </c>
      <c r="P77">
        <v>-110.73</v>
      </c>
    </row>
    <row r="78" spans="11:16">
      <c r="K78" s="39" t="s">
        <v>163</v>
      </c>
      <c r="L78" s="70" t="s">
        <v>219</v>
      </c>
      <c r="M78">
        <v>1.1536</v>
      </c>
      <c r="N78">
        <v>1.28693</v>
      </c>
      <c r="O78">
        <v>0.13333</v>
      </c>
      <c r="P78">
        <v>-133.33</v>
      </c>
    </row>
    <row r="79" spans="11:16">
      <c r="K79" s="39" t="s">
        <v>164</v>
      </c>
      <c r="L79" s="70" t="s">
        <v>219</v>
      </c>
      <c r="M79">
        <v>1.12639</v>
      </c>
      <c r="N79">
        <v>1.28693</v>
      </c>
      <c r="O79">
        <v>0.16054</v>
      </c>
      <c r="P79">
        <v>-160.54</v>
      </c>
    </row>
    <row r="80" spans="11:12">
      <c r="K80" s="39"/>
      <c r="L80" s="70"/>
    </row>
    <row r="81" spans="11:12">
      <c r="K81" s="39"/>
      <c r="L81" s="70"/>
    </row>
    <row r="82" spans="11:12">
      <c r="K82" s="39"/>
      <c r="L82" s="70"/>
    </row>
    <row r="83" spans="11:12">
      <c r="K83" s="39"/>
      <c r="L83" s="70"/>
    </row>
    <row r="84" spans="11:12">
      <c r="K84" s="39"/>
      <c r="L84" s="70"/>
    </row>
    <row r="85" spans="11:12">
      <c r="K85" s="39"/>
      <c r="L85" s="70"/>
    </row>
    <row r="86" spans="11:12">
      <c r="K86" s="39"/>
      <c r="L86" s="70"/>
    </row>
    <row r="87" spans="11:12">
      <c r="K87" s="39"/>
      <c r="L87" s="70"/>
    </row>
    <row r="88" spans="11:12">
      <c r="K88" s="39"/>
      <c r="L88" s="70"/>
    </row>
    <row r="89" spans="11:12">
      <c r="K89" s="39"/>
      <c r="L89" s="70"/>
    </row>
    <row r="90" spans="11:12">
      <c r="K90" s="39"/>
      <c r="L90" s="70"/>
    </row>
    <row r="91" spans="11:12">
      <c r="K91" s="39"/>
      <c r="L91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J2" sqref="J2"/>
    </sheetView>
  </sheetViews>
  <sheetFormatPr defaultColWidth="9" defaultRowHeight="13.5" outlineLevelCol="5"/>
  <sheetData>
    <row r="1" spans="2:6">
      <c r="B1" t="s">
        <v>152</v>
      </c>
      <c r="C1" t="s">
        <v>145</v>
      </c>
      <c r="E1" t="s">
        <v>152</v>
      </c>
      <c r="F1" t="s">
        <v>145</v>
      </c>
    </row>
    <row r="2" spans="1:6">
      <c r="A2" t="s">
        <v>237</v>
      </c>
      <c r="B2">
        <v>0.97</v>
      </c>
      <c r="C2">
        <v>2.342</v>
      </c>
      <c r="D2" t="s">
        <v>237</v>
      </c>
      <c r="E2">
        <v>0.97</v>
      </c>
      <c r="F2">
        <v>2.342</v>
      </c>
    </row>
    <row r="3" spans="1:6">
      <c r="A3" t="s">
        <v>238</v>
      </c>
      <c r="B3">
        <v>1.28</v>
      </c>
      <c r="C3">
        <v>3.079</v>
      </c>
      <c r="D3" t="s">
        <v>238</v>
      </c>
      <c r="E3">
        <v>1.28</v>
      </c>
      <c r="F3">
        <v>3.079</v>
      </c>
    </row>
    <row r="4" spans="1:6">
      <c r="A4" t="s">
        <v>239</v>
      </c>
      <c r="B4">
        <v>1.64</v>
      </c>
      <c r="C4">
        <v>4.008</v>
      </c>
      <c r="D4" t="s">
        <v>239</v>
      </c>
      <c r="E4">
        <v>1.64</v>
      </c>
      <c r="F4">
        <v>4.008</v>
      </c>
    </row>
    <row r="5" spans="1:6">
      <c r="A5" t="s">
        <v>240</v>
      </c>
      <c r="B5">
        <v>2.03</v>
      </c>
      <c r="C5">
        <v>5.16</v>
      </c>
      <c r="D5" t="s">
        <v>240</v>
      </c>
      <c r="E5">
        <v>5</v>
      </c>
      <c r="F5">
        <v>5.16</v>
      </c>
    </row>
    <row r="6" spans="1:6">
      <c r="A6" t="s">
        <v>241</v>
      </c>
      <c r="B6">
        <v>2.5</v>
      </c>
      <c r="C6">
        <v>5.953</v>
      </c>
      <c r="D6" t="s">
        <v>241</v>
      </c>
      <c r="E6">
        <v>2.5</v>
      </c>
      <c r="F6">
        <v>5.953</v>
      </c>
    </row>
    <row r="7" spans="1:6">
      <c r="A7" t="s">
        <v>242</v>
      </c>
      <c r="B7">
        <v>2.8</v>
      </c>
      <c r="C7">
        <v>6.742</v>
      </c>
      <c r="D7" t="s">
        <v>242</v>
      </c>
      <c r="E7">
        <v>2.8</v>
      </c>
      <c r="F7">
        <v>6.742</v>
      </c>
    </row>
    <row r="8" spans="1:6">
      <c r="A8" t="s">
        <v>243</v>
      </c>
      <c r="B8">
        <v>3.28</v>
      </c>
      <c r="C8">
        <v>7.048</v>
      </c>
      <c r="D8" t="s">
        <v>243</v>
      </c>
      <c r="E8">
        <v>3.28</v>
      </c>
      <c r="F8">
        <v>7.048</v>
      </c>
    </row>
    <row r="9" spans="1:6">
      <c r="A9" t="s">
        <v>244</v>
      </c>
      <c r="B9">
        <v>3.1</v>
      </c>
      <c r="C9">
        <v>7.268</v>
      </c>
      <c r="D9" t="s">
        <v>244</v>
      </c>
      <c r="E9">
        <v>3.1</v>
      </c>
      <c r="F9">
        <v>7.268</v>
      </c>
    </row>
    <row r="10" spans="1:6">
      <c r="A10" t="s">
        <v>245</v>
      </c>
      <c r="B10">
        <v>2.77</v>
      </c>
      <c r="C10">
        <v>6.793</v>
      </c>
      <c r="D10" t="s">
        <v>245</v>
      </c>
      <c r="E10">
        <v>2.77</v>
      </c>
      <c r="F10">
        <v>6.793</v>
      </c>
    </row>
    <row r="11" spans="1:6">
      <c r="A11" t="s">
        <v>246</v>
      </c>
      <c r="B11">
        <v>2.8</v>
      </c>
      <c r="C11">
        <v>6.702</v>
      </c>
      <c r="D11" t="s">
        <v>246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B2:K7"/>
  <sheetViews>
    <sheetView workbookViewId="0">
      <selection activeCell="B2" sqref="B2:K7"/>
    </sheetView>
  </sheetViews>
  <sheetFormatPr defaultColWidth="9" defaultRowHeight="13.5" outlineLevelRow="6"/>
  <sheetData>
    <row r="2" spans="2:11">
      <c r="B2">
        <v>1.52475</v>
      </c>
      <c r="C2">
        <v>1.62039</v>
      </c>
      <c r="D2">
        <v>1.61119</v>
      </c>
      <c r="E2">
        <v>1.58873</v>
      </c>
      <c r="F2">
        <v>1.47234</v>
      </c>
      <c r="G2">
        <v>1.45553</v>
      </c>
      <c r="H2">
        <v>1.43695</v>
      </c>
      <c r="I2">
        <v>1.4153</v>
      </c>
      <c r="J2">
        <v>1.39268</v>
      </c>
      <c r="K2">
        <v>1.36552</v>
      </c>
    </row>
    <row r="3" spans="2:11">
      <c r="B3">
        <v>1.52444</v>
      </c>
      <c r="C3">
        <v>1.62088</v>
      </c>
      <c r="D3">
        <v>1.61166</v>
      </c>
      <c r="E3">
        <v>1.5892</v>
      </c>
      <c r="F3">
        <v>1.47225</v>
      </c>
      <c r="G3">
        <v>1.45532</v>
      </c>
      <c r="H3">
        <v>1.43683</v>
      </c>
      <c r="I3">
        <v>1.415</v>
      </c>
      <c r="J3">
        <v>1.39232</v>
      </c>
      <c r="K3">
        <v>1.3653</v>
      </c>
    </row>
    <row r="4" spans="2:11">
      <c r="B4">
        <v>1.52481</v>
      </c>
      <c r="C4">
        <v>1.62043</v>
      </c>
      <c r="D4">
        <v>1.6112</v>
      </c>
      <c r="E4">
        <v>1.58879</v>
      </c>
      <c r="F4">
        <v>1.47228</v>
      </c>
      <c r="G4">
        <v>1.45542</v>
      </c>
      <c r="H4">
        <v>1.43699</v>
      </c>
      <c r="I4">
        <v>1.41527</v>
      </c>
      <c r="J4">
        <v>1.39261</v>
      </c>
      <c r="K4">
        <v>1.36548</v>
      </c>
    </row>
    <row r="5" spans="5:11">
      <c r="E5">
        <v>1.28708</v>
      </c>
      <c r="F5">
        <v>1.23349</v>
      </c>
      <c r="G5">
        <v>1.21655</v>
      </c>
      <c r="H5">
        <v>1.1981</v>
      </c>
      <c r="I5">
        <v>1.17631</v>
      </c>
      <c r="J5">
        <v>1.15372</v>
      </c>
      <c r="K5">
        <v>1.12654</v>
      </c>
    </row>
    <row r="6" spans="5:11">
      <c r="E6">
        <v>1.28664</v>
      </c>
      <c r="F6">
        <v>1.23465</v>
      </c>
      <c r="G6">
        <v>1.21815</v>
      </c>
      <c r="H6">
        <v>1.19995</v>
      </c>
      <c r="I6">
        <v>1.1783</v>
      </c>
      <c r="J6">
        <v>1.15555</v>
      </c>
      <c r="K6">
        <v>1.12801</v>
      </c>
    </row>
    <row r="7" spans="5:11">
      <c r="E7">
        <v>1.28693</v>
      </c>
      <c r="F7">
        <v>1.2334</v>
      </c>
      <c r="G7">
        <v>1.21649</v>
      </c>
      <c r="H7">
        <v>1.19799</v>
      </c>
      <c r="I7">
        <v>1.1762</v>
      </c>
      <c r="J7">
        <v>1.1536</v>
      </c>
      <c r="K7">
        <v>1.12639</v>
      </c>
    </row>
  </sheetData>
  <pageMargins left="0.75" right="0.75" top="1" bottom="1" header="0.511805555555556" footer="0.511805555555556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247</v>
      </c>
      <c r="B1">
        <v>2</v>
      </c>
    </row>
    <row r="2" spans="1:19">
      <c r="A2" t="s">
        <v>248</v>
      </c>
      <c r="B2">
        <v>14</v>
      </c>
      <c r="C2" t="s">
        <v>249</v>
      </c>
      <c r="D2">
        <v>14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4">
      <c r="A3" t="s">
        <v>129</v>
      </c>
      <c r="B3">
        <v>1</v>
      </c>
      <c r="C3" t="s">
        <v>129</v>
      </c>
      <c r="D3">
        <v>2</v>
      </c>
    </row>
    <row r="4" spans="1:4">
      <c r="A4" s="1" t="s">
        <v>169</v>
      </c>
      <c r="B4">
        <v>42.07</v>
      </c>
      <c r="D4">
        <v>44.37</v>
      </c>
    </row>
    <row r="5" spans="1:4">
      <c r="A5" t="s">
        <v>135</v>
      </c>
      <c r="B5">
        <v>0.08</v>
      </c>
      <c r="D5">
        <v>0.07</v>
      </c>
    </row>
    <row r="6" spans="1:21">
      <c r="A6" t="s">
        <v>136</v>
      </c>
      <c r="B6">
        <v>0.87</v>
      </c>
      <c r="D6">
        <v>0.65</v>
      </c>
      <c r="J6" s="39"/>
      <c r="S6" s="39"/>
      <c r="U6" s="39" t="s">
        <v>258</v>
      </c>
    </row>
    <row r="7" spans="1:21">
      <c r="A7" s="1" t="s">
        <v>171</v>
      </c>
      <c r="B7" s="2">
        <v>0</v>
      </c>
      <c r="D7" s="2">
        <v>0</v>
      </c>
      <c r="J7" s="39"/>
      <c r="S7" s="39"/>
      <c r="U7" s="39" t="s">
        <v>174</v>
      </c>
    </row>
    <row r="8" spans="1:4">
      <c r="A8" s="1" t="s">
        <v>172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175</v>
      </c>
      <c r="B11" s="33"/>
      <c r="C11" s="33"/>
      <c r="D11" s="33"/>
      <c r="E11" s="33"/>
      <c r="F11" s="33"/>
      <c r="G11" s="33"/>
      <c r="H11" s="33"/>
      <c r="L11" s="40" t="s">
        <v>177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139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184</v>
      </c>
      <c r="B13" s="4" t="s">
        <v>141</v>
      </c>
      <c r="C13" s="4" t="s">
        <v>178</v>
      </c>
      <c r="D13" s="4"/>
      <c r="E13" s="4" t="s">
        <v>179</v>
      </c>
      <c r="F13" s="4"/>
      <c r="G13" s="4" t="s">
        <v>180</v>
      </c>
      <c r="H13" s="4"/>
      <c r="L13" s="4" t="s">
        <v>184</v>
      </c>
      <c r="M13" s="4" t="s">
        <v>141</v>
      </c>
      <c r="N13" s="41" t="s">
        <v>179</v>
      </c>
      <c r="O13" s="41"/>
      <c r="P13" s="41"/>
      <c r="Q13" s="48" t="s">
        <v>180</v>
      </c>
      <c r="R13" s="49"/>
      <c r="S13" s="50"/>
      <c r="T13" s="41" t="s">
        <v>259</v>
      </c>
      <c r="U13" s="41"/>
      <c r="Y13" s="6" t="s">
        <v>184</v>
      </c>
      <c r="Z13" s="6" t="s">
        <v>141</v>
      </c>
      <c r="AA13" s="4" t="s">
        <v>185</v>
      </c>
      <c r="AB13" s="4"/>
      <c r="AC13" s="4"/>
      <c r="AD13" s="4" t="s">
        <v>182</v>
      </c>
      <c r="AE13" s="4" t="s">
        <v>148</v>
      </c>
      <c r="AF13" s="6" t="s">
        <v>186</v>
      </c>
    </row>
    <row r="14" ht="30.75" spans="1:32">
      <c r="A14" s="4"/>
      <c r="B14" s="4"/>
      <c r="C14" s="4" t="s">
        <v>187</v>
      </c>
      <c r="D14" s="4" t="s">
        <v>188</v>
      </c>
      <c r="E14" s="4" t="s">
        <v>187</v>
      </c>
      <c r="F14" s="4" t="s">
        <v>189</v>
      </c>
      <c r="G14" s="4" t="s">
        <v>187</v>
      </c>
      <c r="H14" s="4" t="s">
        <v>189</v>
      </c>
      <c r="L14" s="4"/>
      <c r="M14" s="4"/>
      <c r="N14" s="41" t="s">
        <v>190</v>
      </c>
      <c r="O14" s="41" t="s">
        <v>191</v>
      </c>
      <c r="P14" s="41" t="s">
        <v>79</v>
      </c>
      <c r="Q14" s="41" t="s">
        <v>190</v>
      </c>
      <c r="R14" s="41" t="s">
        <v>191</v>
      </c>
      <c r="S14" s="41" t="s">
        <v>192</v>
      </c>
      <c r="T14" s="4" t="s">
        <v>260</v>
      </c>
      <c r="U14" s="4" t="s">
        <v>79</v>
      </c>
      <c r="Y14" s="58"/>
      <c r="Z14" s="58"/>
      <c r="AA14" s="4" t="s">
        <v>193</v>
      </c>
      <c r="AB14" s="4" t="s">
        <v>194</v>
      </c>
      <c r="AC14" s="4" t="s">
        <v>192</v>
      </c>
      <c r="AD14" s="4"/>
      <c r="AE14" s="4"/>
      <c r="AF14" s="58"/>
    </row>
    <row r="15" spans="1:32">
      <c r="A15" t="s">
        <v>154</v>
      </c>
      <c r="B15" s="35" t="s">
        <v>200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v>2.60000000000002</v>
      </c>
      <c r="O15" s="42">
        <v>-0.300000000000001</v>
      </c>
      <c r="P15" s="43">
        <v>9.27258278000009</v>
      </c>
      <c r="Q15" s="42">
        <v>0.600000000000023</v>
      </c>
      <c r="R15" s="42">
        <v>-0.300000000000001</v>
      </c>
      <c r="S15" s="43">
        <v>1.72444218000008</v>
      </c>
      <c r="T15" s="11">
        <v>0.3</v>
      </c>
      <c r="U15" s="35">
        <f>T15*100/3.45</f>
        <v>8.69565217391304</v>
      </c>
      <c r="Y15" s="35" t="s">
        <v>154</v>
      </c>
      <c r="Z15" s="35" t="s">
        <v>200</v>
      </c>
      <c r="AA15" s="43">
        <v>9</v>
      </c>
      <c r="AB15" s="59">
        <v>7</v>
      </c>
      <c r="AC15" s="59">
        <v>2</v>
      </c>
      <c r="AD15" s="59">
        <v>0</v>
      </c>
      <c r="AE15" s="60">
        <v>0.868036169</v>
      </c>
      <c r="AF15" s="61">
        <v>0.185972152626074</v>
      </c>
    </row>
    <row r="16" spans="1:32">
      <c r="A16" t="s">
        <v>154</v>
      </c>
      <c r="B16" s="35" t="s">
        <v>208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0">E16-C16</f>
        <v>1.80000000000007</v>
      </c>
      <c r="O16" s="42">
        <f t="shared" si="0"/>
        <v>-0.199999999999999</v>
      </c>
      <c r="P16" s="43">
        <f t="shared" ref="P15:P42" si="1">3.7*1.020019*(N16)+1.8*(O16)</f>
        <v>6.43332654000027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154</v>
      </c>
      <c r="B17" s="36" t="s">
        <v>209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0"/>
        <v>2.89999999999998</v>
      </c>
      <c r="O17" s="42">
        <f t="shared" si="0"/>
        <v>-0.199999999999999</v>
      </c>
      <c r="P17" s="43">
        <f t="shared" si="1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154</v>
      </c>
      <c r="B18" s="35" t="s">
        <v>220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0"/>
        <v>0.800000000000011</v>
      </c>
      <c r="O18" s="42">
        <f t="shared" si="0"/>
        <v>-0.199999999999999</v>
      </c>
      <c r="P18" s="43">
        <f t="shared" si="1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154</v>
      </c>
      <c r="B19" s="35" t="s">
        <v>221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0"/>
        <v>4.10000000000002</v>
      </c>
      <c r="O19" s="42">
        <f t="shared" si="0"/>
        <v>-0.199999999999999</v>
      </c>
      <c r="P19" s="43">
        <f t="shared" si="1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154</v>
      </c>
      <c r="B20" s="36" t="s">
        <v>222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0"/>
        <v>4.5</v>
      </c>
      <c r="O20" s="42">
        <f t="shared" si="0"/>
        <v>-0.199999999999999</v>
      </c>
      <c r="P20" s="43">
        <f t="shared" si="1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154</v>
      </c>
      <c r="B21" s="35" t="s">
        <v>223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0"/>
        <v>1.19999999999999</v>
      </c>
      <c r="O21" s="42">
        <f t="shared" si="0"/>
        <v>-0.199999999999999</v>
      </c>
      <c r="P21" s="43">
        <f t="shared" si="1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154</v>
      </c>
      <c r="B22" s="35" t="s">
        <v>224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0"/>
        <v>6.39999999999998</v>
      </c>
      <c r="O22" s="42">
        <f t="shared" si="0"/>
        <v>-0.0999999999999979</v>
      </c>
      <c r="P22" s="43">
        <f t="shared" si="1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154</v>
      </c>
      <c r="B23" s="35" t="s">
        <v>225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0"/>
        <v>7.79999999999995</v>
      </c>
      <c r="O23" s="42">
        <f t="shared" si="0"/>
        <v>-0.0999999999999979</v>
      </c>
      <c r="P23" s="43">
        <f t="shared" si="1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154</v>
      </c>
      <c r="B24" s="37" t="s">
        <v>261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0"/>
        <v>2.69999999999993</v>
      </c>
      <c r="O24" s="42">
        <f t="shared" si="0"/>
        <v>-0.199999999999999</v>
      </c>
      <c r="P24" s="43">
        <f t="shared" si="1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154</v>
      </c>
      <c r="B25" s="35" t="s">
        <v>262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0"/>
        <v>10.6</v>
      </c>
      <c r="O25" s="42">
        <f t="shared" si="0"/>
        <v>-0.0999999999999979</v>
      </c>
      <c r="P25" s="43">
        <f t="shared" si="1"/>
        <v>39.82514518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154</v>
      </c>
      <c r="B26" s="35" t="s">
        <v>263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0"/>
        <v>11.5</v>
      </c>
      <c r="O26" s="42">
        <f t="shared" si="0"/>
        <v>-0.100000000000001</v>
      </c>
      <c r="P26" s="43">
        <f t="shared" si="1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154</v>
      </c>
      <c r="B27" s="37" t="s">
        <v>264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0"/>
        <v>9.09999999999991</v>
      </c>
      <c r="O27" s="42">
        <f t="shared" si="0"/>
        <v>-0.199999999999999</v>
      </c>
      <c r="P27" s="43">
        <f t="shared" si="1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154</v>
      </c>
      <c r="B28" s="36" t="s">
        <v>265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0"/>
        <v>10.8</v>
      </c>
      <c r="O28" s="44">
        <f t="shared" si="0"/>
        <v>-0.100000000000001</v>
      </c>
      <c r="P28" s="45">
        <f t="shared" si="1"/>
        <v>40.57995924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159</v>
      </c>
      <c r="B29" s="38" t="s">
        <v>200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0"/>
        <v>12.1</v>
      </c>
      <c r="O29" s="46">
        <f t="shared" si="0"/>
        <v>-0.5</v>
      </c>
      <c r="P29" s="47">
        <f t="shared" si="1"/>
        <v>44.76625063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159</v>
      </c>
      <c r="B30" s="35" t="s">
        <v>208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0"/>
        <v>9.80000000000007</v>
      </c>
      <c r="O30" s="42">
        <f t="shared" si="0"/>
        <v>-0.399999999999999</v>
      </c>
      <c r="P30" s="43">
        <f t="shared" si="1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159</v>
      </c>
      <c r="B31" s="36" t="s">
        <v>209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0"/>
        <v>12.6</v>
      </c>
      <c r="O31" s="42">
        <f t="shared" si="0"/>
        <v>-0.400000000000002</v>
      </c>
      <c r="P31" s="43">
        <f t="shared" si="1"/>
        <v>46.83328578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159</v>
      </c>
      <c r="B32" s="35" t="s">
        <v>220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1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159</v>
      </c>
      <c r="B33" s="35" t="s">
        <v>221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1"/>
        <v>39.6625522099996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159</v>
      </c>
      <c r="B34" s="36" t="s">
        <v>222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1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159</v>
      </c>
      <c r="B35" s="35" t="s">
        <v>223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1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159</v>
      </c>
      <c r="B36" s="35" t="s">
        <v>224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1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159</v>
      </c>
      <c r="B37" s="35" t="s">
        <v>225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1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159</v>
      </c>
      <c r="B38" s="37" t="s">
        <v>261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1"/>
        <v>2.29925623999983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159</v>
      </c>
      <c r="B39" s="35" t="s">
        <v>262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1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159</v>
      </c>
      <c r="B40" s="35" t="s">
        <v>263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1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159</v>
      </c>
      <c r="B41" s="37" t="s">
        <v>264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1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159</v>
      </c>
      <c r="B42" s="35" t="s">
        <v>265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1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V40"/>
  <sheetViews>
    <sheetView workbookViewId="0">
      <selection activeCell="K20" sqref="K20"/>
    </sheetView>
  </sheetViews>
  <sheetFormatPr defaultColWidth="9" defaultRowHeight="13.5"/>
  <sheetData>
    <row r="1" spans="1:2">
      <c r="A1" t="s">
        <v>266</v>
      </c>
      <c r="B1">
        <v>1</v>
      </c>
    </row>
    <row r="2" spans="1:19">
      <c r="A2" t="s">
        <v>248</v>
      </c>
      <c r="B2">
        <v>14</v>
      </c>
      <c r="C2" t="s">
        <v>249</v>
      </c>
      <c r="E2" t="s">
        <v>250</v>
      </c>
      <c r="G2" t="s">
        <v>251</v>
      </c>
      <c r="I2" t="s">
        <v>252</v>
      </c>
      <c r="K2" t="s">
        <v>253</v>
      </c>
      <c r="M2" t="s">
        <v>254</v>
      </c>
      <c r="O2" t="s">
        <v>255</v>
      </c>
      <c r="Q2" t="s">
        <v>256</v>
      </c>
      <c r="S2" t="s">
        <v>257</v>
      </c>
    </row>
    <row r="3" spans="1:2">
      <c r="A3" t="s">
        <v>129</v>
      </c>
      <c r="B3">
        <v>2</v>
      </c>
    </row>
    <row r="4" spans="1:2">
      <c r="A4" s="1" t="s">
        <v>134</v>
      </c>
      <c r="B4">
        <v>3.28</v>
      </c>
    </row>
    <row r="5" spans="1:2">
      <c r="A5" t="s">
        <v>135</v>
      </c>
      <c r="B5">
        <v>3.29</v>
      </c>
    </row>
    <row r="6" spans="1:2">
      <c r="A6" t="s">
        <v>136</v>
      </c>
      <c r="B6">
        <v>0.05</v>
      </c>
    </row>
    <row r="7" spans="1:2">
      <c r="A7" s="1" t="s">
        <v>137</v>
      </c>
      <c r="B7" s="2">
        <v>0.44</v>
      </c>
    </row>
    <row r="8" spans="1:4">
      <c r="A8" t="s">
        <v>138</v>
      </c>
      <c r="B8" s="2">
        <v>0</v>
      </c>
      <c r="D8" s="2"/>
    </row>
    <row r="9" spans="2:2">
      <c r="B9" s="2">
        <v>0</v>
      </c>
    </row>
    <row r="11" ht="14.25" spans="1:12">
      <c r="A11" s="3" t="s">
        <v>184</v>
      </c>
      <c r="B11" s="3" t="s">
        <v>141</v>
      </c>
      <c r="C11" s="4" t="s">
        <v>142</v>
      </c>
      <c r="D11" s="4" t="s">
        <v>179</v>
      </c>
      <c r="E11" s="4"/>
      <c r="F11" s="4" t="s">
        <v>180</v>
      </c>
      <c r="G11" s="4"/>
      <c r="H11" s="4"/>
      <c r="I11" s="4" t="s">
        <v>152</v>
      </c>
      <c r="J11" s="4" t="s">
        <v>145</v>
      </c>
      <c r="K11" s="4" t="s">
        <v>148</v>
      </c>
      <c r="L11" s="4" t="s">
        <v>267</v>
      </c>
    </row>
    <row r="12" ht="14.25" spans="1:12">
      <c r="A12" s="3"/>
      <c r="B12" s="5"/>
      <c r="C12" s="6"/>
      <c r="D12" s="4" t="s">
        <v>268</v>
      </c>
      <c r="E12" s="4" t="s">
        <v>151</v>
      </c>
      <c r="F12" s="4" t="s">
        <v>268</v>
      </c>
      <c r="G12" s="4" t="s">
        <v>150</v>
      </c>
      <c r="H12" s="4" t="s">
        <v>153</v>
      </c>
      <c r="I12" s="4"/>
      <c r="J12" s="4"/>
      <c r="K12" s="4"/>
      <c r="L12" s="4"/>
    </row>
    <row r="13" spans="1:22">
      <c r="A13" s="7" t="s">
        <v>154</v>
      </c>
      <c r="B13" s="8" t="s">
        <v>269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  <c r="P13">
        <v>0.44</v>
      </c>
      <c r="Q13">
        <v>0.44</v>
      </c>
      <c r="R13">
        <v>0</v>
      </c>
      <c r="S13">
        <v>8.65</v>
      </c>
      <c r="T13">
        <v>0.0508670520231213</v>
      </c>
      <c r="U13">
        <v>0</v>
      </c>
      <c r="V13">
        <v>-8.74</v>
      </c>
    </row>
    <row r="14" spans="1:22">
      <c r="A14" s="7" t="s">
        <v>154</v>
      </c>
      <c r="B14" s="8" t="s">
        <v>270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  <c r="P14">
        <v>0.51</v>
      </c>
      <c r="Q14">
        <v>0.51</v>
      </c>
      <c r="R14">
        <v>0</v>
      </c>
      <c r="S14">
        <v>1.15</v>
      </c>
      <c r="T14">
        <v>0.443478260869565</v>
      </c>
      <c r="U14">
        <v>0</v>
      </c>
      <c r="V14">
        <v>-1.29</v>
      </c>
    </row>
    <row r="15" spans="1:22">
      <c r="A15" s="7" t="s">
        <v>154</v>
      </c>
      <c r="B15" s="8" t="s">
        <v>271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  <c r="P15">
        <v>0.700000000000001</v>
      </c>
      <c r="Q15">
        <v>0.700000000000001</v>
      </c>
      <c r="R15">
        <v>0</v>
      </c>
      <c r="S15">
        <v>7.95</v>
      </c>
      <c r="T15">
        <v>0.0880503144654089</v>
      </c>
      <c r="U15">
        <v>0</v>
      </c>
      <c r="V15">
        <v>-8.04</v>
      </c>
    </row>
    <row r="16" spans="1:22">
      <c r="A16" s="7" t="s">
        <v>154</v>
      </c>
      <c r="B16" s="8" t="s">
        <v>272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  <c r="P16">
        <v>0.77</v>
      </c>
      <c r="Q16">
        <v>0.77</v>
      </c>
      <c r="R16">
        <v>0</v>
      </c>
      <c r="S16">
        <v>2.2</v>
      </c>
      <c r="T16">
        <v>0.35</v>
      </c>
      <c r="U16">
        <v>0</v>
      </c>
      <c r="V16">
        <v>-2.23</v>
      </c>
    </row>
    <row r="17" spans="1:22">
      <c r="A17" s="7" t="s">
        <v>154</v>
      </c>
      <c r="B17" s="8" t="s">
        <v>237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  <c r="P17">
        <v>0.97</v>
      </c>
      <c r="Q17">
        <v>0.97</v>
      </c>
      <c r="R17">
        <v>0</v>
      </c>
      <c r="S17">
        <v>3.93</v>
      </c>
      <c r="T17">
        <v>0.246819338422392</v>
      </c>
      <c r="U17">
        <v>0</v>
      </c>
      <c r="V17">
        <v>-4.05</v>
      </c>
    </row>
    <row r="18" spans="1:22">
      <c r="A18" s="7" t="s">
        <v>154</v>
      </c>
      <c r="B18" s="8" t="s">
        <v>238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  <c r="P18">
        <v>1.28</v>
      </c>
      <c r="Q18">
        <v>1.28</v>
      </c>
      <c r="R18">
        <v>0</v>
      </c>
      <c r="S18">
        <v>6.24</v>
      </c>
      <c r="T18">
        <v>0.205128205128205</v>
      </c>
      <c r="U18">
        <v>0</v>
      </c>
      <c r="V18">
        <v>-6.32</v>
      </c>
    </row>
    <row r="19" spans="1:22">
      <c r="A19" s="7" t="s">
        <v>154</v>
      </c>
      <c r="B19" s="8" t="s">
        <v>239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  <c r="P19">
        <v>1.64</v>
      </c>
      <c r="Q19">
        <v>1.64</v>
      </c>
      <c r="R19">
        <v>0</v>
      </c>
      <c r="S19">
        <v>7.91</v>
      </c>
      <c r="T19">
        <v>0.207332490518331</v>
      </c>
      <c r="U19">
        <v>0</v>
      </c>
      <c r="V19">
        <v>-7.98</v>
      </c>
    </row>
    <row r="20" spans="1:22">
      <c r="A20" s="7" t="s">
        <v>154</v>
      </c>
      <c r="B20" s="8" t="s">
        <v>240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  <c r="P20">
        <v>2.03</v>
      </c>
      <c r="Q20">
        <v>2.03</v>
      </c>
      <c r="R20">
        <v>0</v>
      </c>
      <c r="S20">
        <v>14.19</v>
      </c>
      <c r="T20">
        <v>0.143058491895701</v>
      </c>
      <c r="U20">
        <v>0</v>
      </c>
      <c r="V20">
        <v>-14.28</v>
      </c>
    </row>
    <row r="21" spans="1:22">
      <c r="A21" s="7" t="s">
        <v>154</v>
      </c>
      <c r="B21" s="8" t="s">
        <v>241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  <c r="P21">
        <v>2.5</v>
      </c>
      <c r="Q21">
        <v>2.5</v>
      </c>
      <c r="R21">
        <v>0</v>
      </c>
      <c r="S21">
        <v>12.55</v>
      </c>
      <c r="T21">
        <v>0.199203187250996</v>
      </c>
      <c r="U21">
        <v>0</v>
      </c>
      <c r="V21">
        <v>-12.58</v>
      </c>
    </row>
    <row r="22" spans="1:22">
      <c r="A22" s="7" t="s">
        <v>154</v>
      </c>
      <c r="B22" s="8" t="s">
        <v>242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  <c r="P22">
        <v>2.8</v>
      </c>
      <c r="Q22">
        <v>2.8</v>
      </c>
      <c r="R22">
        <v>0</v>
      </c>
      <c r="S22">
        <v>6.8</v>
      </c>
      <c r="T22">
        <v>0.411764705882353</v>
      </c>
      <c r="U22">
        <v>0</v>
      </c>
      <c r="V22">
        <v>-6.85</v>
      </c>
    </row>
    <row r="23" spans="1:22">
      <c r="A23" s="7" t="s">
        <v>154</v>
      </c>
      <c r="B23" s="8" t="s">
        <v>243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  <c r="P23">
        <v>3.29</v>
      </c>
      <c r="Q23">
        <v>3.29</v>
      </c>
      <c r="R23">
        <v>0</v>
      </c>
      <c r="S23">
        <v>11.93</v>
      </c>
      <c r="T23">
        <v>0.275775356244761</v>
      </c>
      <c r="U23">
        <v>0</v>
      </c>
      <c r="V23">
        <v>-11.92</v>
      </c>
    </row>
    <row r="24" spans="1:22">
      <c r="A24" s="7" t="s">
        <v>154</v>
      </c>
      <c r="B24" s="8" t="s">
        <v>244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  <c r="P24">
        <v>3.1</v>
      </c>
      <c r="Q24">
        <v>3.1</v>
      </c>
      <c r="R24">
        <v>0</v>
      </c>
      <c r="S24">
        <v>16.78</v>
      </c>
      <c r="T24">
        <v>0.184743742550656</v>
      </c>
      <c r="U24">
        <v>0</v>
      </c>
      <c r="V24">
        <v>-16.9</v>
      </c>
    </row>
    <row r="25" spans="1:22">
      <c r="A25" s="7" t="s">
        <v>154</v>
      </c>
      <c r="B25" s="8" t="s">
        <v>245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  <c r="P25">
        <v>2.91</v>
      </c>
      <c r="Q25">
        <v>2.91</v>
      </c>
      <c r="R25">
        <v>0</v>
      </c>
      <c r="S25">
        <v>12.57</v>
      </c>
      <c r="T25">
        <v>0.231503579952267</v>
      </c>
      <c r="U25">
        <v>0</v>
      </c>
      <c r="V25">
        <v>-12.43</v>
      </c>
    </row>
    <row r="26" ht="14.25" spans="1:22">
      <c r="A26" s="7" t="s">
        <v>154</v>
      </c>
      <c r="B26" s="14" t="s">
        <v>246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  <c r="P26">
        <v>2.87</v>
      </c>
      <c r="Q26">
        <v>2.87</v>
      </c>
      <c r="R26">
        <v>0</v>
      </c>
      <c r="S26">
        <v>13.72</v>
      </c>
      <c r="T26">
        <v>0.209183673469388</v>
      </c>
      <c r="U26">
        <v>0</v>
      </c>
      <c r="V26">
        <v>-13.65</v>
      </c>
    </row>
    <row r="27" spans="1:12">
      <c r="A27" s="7"/>
      <c r="B27" s="8" t="s">
        <v>269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270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271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272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237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238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239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240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241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242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243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244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245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246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水准测量草稿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2019-05-06T12:43:45Z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