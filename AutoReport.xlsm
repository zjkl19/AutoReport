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851072FF-2450-49C9-941E-C084BA6B7DB9}" xr6:coauthVersionLast="40" xr6:coauthVersionMax="40" xr10:uidLastSave="{00000000-0000-0000-0000-000000000000}"/>
  <bookViews>
    <workbookView xWindow="0" yWindow="0" windowWidth="24180" windowHeight="13065" xr2:uid="{00000000-000D-0000-FFFF-FFFF00000000}"/>
  </bookViews>
  <sheets>
    <sheet name="首页" sheetId="8" r:id="rId1"/>
    <sheet name="应变" sheetId="2" r:id="rId2"/>
    <sheet name="挠度" sheetId="1" r:id="rId3"/>
    <sheet name="生成Word报告" sheetId="4" r:id="rId4"/>
    <sheet name="水准测量转换" sheetId="7" r:id="rId5"/>
    <sheet name="草稿" sheetId="3" r:id="rId6"/>
    <sheet name="应变测试" sheetId="6" r:id="rId7"/>
    <sheet name="挠度测试" sheetId="5" r:id="rId8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S40" i="6"/>
  <c r="R40" i="6"/>
  <c r="Q40" i="6"/>
  <c r="O40" i="6"/>
  <c r="N40" i="6"/>
  <c r="P40" i="6" s="1"/>
  <c r="U39" i="6"/>
  <c r="R39" i="6"/>
  <c r="S39" i="6" s="1"/>
  <c r="Q39" i="6"/>
  <c r="O39" i="6"/>
  <c r="N39" i="6"/>
  <c r="P39" i="6" s="1"/>
  <c r="U38" i="6"/>
  <c r="R38" i="6"/>
  <c r="Q38" i="6"/>
  <c r="S38" i="6" s="1"/>
  <c r="O38" i="6"/>
  <c r="N38" i="6"/>
  <c r="P38" i="6" s="1"/>
  <c r="U37" i="6"/>
  <c r="R37" i="6"/>
  <c r="Q37" i="6"/>
  <c r="S37" i="6" s="1"/>
  <c r="P37" i="6"/>
  <c r="O37" i="6"/>
  <c r="N37" i="6"/>
  <c r="U36" i="6"/>
  <c r="R36" i="6"/>
  <c r="Q36" i="6"/>
  <c r="S36" i="6" s="1"/>
  <c r="O36" i="6"/>
  <c r="P36" i="6" s="1"/>
  <c r="N36" i="6"/>
  <c r="U35" i="6"/>
  <c r="R35" i="6"/>
  <c r="Q35" i="6"/>
  <c r="S35" i="6" s="1"/>
  <c r="O35" i="6"/>
  <c r="N35" i="6"/>
  <c r="P35" i="6" s="1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S32" i="6"/>
  <c r="R32" i="6"/>
  <c r="Q32" i="6"/>
  <c r="O32" i="6"/>
  <c r="N32" i="6"/>
  <c r="P32" i="6" s="1"/>
  <c r="U31" i="6"/>
  <c r="R31" i="6"/>
  <c r="S31" i="6" s="1"/>
  <c r="Q31" i="6"/>
  <c r="O31" i="6"/>
  <c r="N31" i="6"/>
  <c r="P31" i="6" s="1"/>
  <c r="U30" i="6"/>
  <c r="R30" i="6"/>
  <c r="Q30" i="6"/>
  <c r="S30" i="6" s="1"/>
  <c r="O30" i="6"/>
  <c r="N30" i="6"/>
  <c r="P30" i="6" s="1"/>
  <c r="U29" i="6"/>
  <c r="R29" i="6"/>
  <c r="Q29" i="6"/>
  <c r="S29" i="6" s="1"/>
  <c r="P29" i="6"/>
  <c r="O29" i="6"/>
  <c r="N29" i="6"/>
  <c r="U28" i="6"/>
  <c r="R28" i="6"/>
  <c r="Q28" i="6"/>
  <c r="S28" i="6" s="1"/>
  <c r="O28" i="6"/>
  <c r="P28" i="6" s="1"/>
  <c r="N28" i="6"/>
  <c r="U27" i="6"/>
  <c r="R27" i="6"/>
  <c r="Q27" i="6"/>
  <c r="S27" i="6" s="1"/>
  <c r="O27" i="6"/>
  <c r="N27" i="6"/>
  <c r="P27" i="6" s="1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S24" i="6"/>
  <c r="R24" i="6"/>
  <c r="Q24" i="6"/>
  <c r="O24" i="6"/>
  <c r="N24" i="6"/>
  <c r="P24" i="6" s="1"/>
  <c r="U23" i="6"/>
  <c r="R23" i="6"/>
  <c r="S23" i="6" s="1"/>
  <c r="Q23" i="6"/>
  <c r="O23" i="6"/>
  <c r="N23" i="6"/>
  <c r="P23" i="6" s="1"/>
  <c r="U22" i="6"/>
  <c r="R22" i="6"/>
  <c r="Q22" i="6"/>
  <c r="S22" i="6" s="1"/>
  <c r="O22" i="6"/>
  <c r="N22" i="6"/>
  <c r="P22" i="6" s="1"/>
  <c r="U21" i="6"/>
  <c r="R21" i="6"/>
  <c r="Q21" i="6"/>
  <c r="S21" i="6" s="1"/>
  <c r="P21" i="6"/>
  <c r="O21" i="6"/>
  <c r="N21" i="6"/>
  <c r="U20" i="6"/>
  <c r="R20" i="6"/>
  <c r="Q20" i="6"/>
  <c r="S20" i="6" s="1"/>
  <c r="O20" i="6"/>
  <c r="P20" i="6" s="1"/>
  <c r="N20" i="6"/>
  <c r="U19" i="6"/>
  <c r="R19" i="6"/>
  <c r="Q19" i="6"/>
  <c r="S19" i="6" s="1"/>
  <c r="O19" i="6"/>
  <c r="N19" i="6"/>
  <c r="P19" i="6" s="1"/>
  <c r="U18" i="6"/>
  <c r="R18" i="6"/>
  <c r="Q18" i="6"/>
  <c r="S18" i="6" s="1"/>
  <c r="O18" i="6"/>
  <c r="N18" i="6"/>
  <c r="P18" i="6" s="1"/>
  <c r="U17" i="6"/>
  <c r="R17" i="6"/>
  <c r="Q17" i="6"/>
  <c r="S17" i="6" s="1"/>
  <c r="O17" i="6"/>
  <c r="N17" i="6"/>
  <c r="P17" i="6" s="1"/>
  <c r="U16" i="6"/>
  <c r="S16" i="6"/>
  <c r="R16" i="6"/>
  <c r="Q16" i="6"/>
  <c r="O16" i="6"/>
  <c r="N16" i="6"/>
  <c r="P16" i="6" s="1"/>
  <c r="U15" i="6"/>
  <c r="R15" i="6"/>
  <c r="S15" i="6" s="1"/>
  <c r="Q15" i="6"/>
  <c r="O15" i="6"/>
  <c r="N15" i="6"/>
  <c r="P15" i="6" s="1"/>
  <c r="U42" i="2"/>
  <c r="R42" i="2"/>
  <c r="Q42" i="2"/>
  <c r="S42" i="2" s="1"/>
  <c r="O42" i="2"/>
  <c r="N42" i="2"/>
  <c r="P42" i="2" s="1"/>
  <c r="U41" i="2"/>
  <c r="R41" i="2"/>
  <c r="Q41" i="2"/>
  <c r="S41" i="2" s="1"/>
  <c r="P41" i="2"/>
  <c r="O41" i="2"/>
  <c r="N41" i="2"/>
  <c r="U40" i="2"/>
  <c r="R40" i="2"/>
  <c r="Q40" i="2"/>
  <c r="S40" i="2" s="1"/>
  <c r="O40" i="2"/>
  <c r="P40" i="2" s="1"/>
  <c r="N40" i="2"/>
  <c r="U39" i="2"/>
  <c r="R39" i="2"/>
  <c r="Q39" i="2"/>
  <c r="S39" i="2" s="1"/>
  <c r="O39" i="2"/>
  <c r="N39" i="2"/>
  <c r="P39" i="2" s="1"/>
  <c r="U38" i="2"/>
  <c r="S38" i="2"/>
  <c r="R38" i="2"/>
  <c r="Q38" i="2"/>
  <c r="O38" i="2"/>
  <c r="N38" i="2"/>
  <c r="P38" i="2" s="1"/>
  <c r="U37" i="2"/>
  <c r="R37" i="2"/>
  <c r="Q37" i="2"/>
  <c r="S37" i="2" s="1"/>
  <c r="O37" i="2"/>
  <c r="N37" i="2"/>
  <c r="P37" i="2" s="1"/>
  <c r="U36" i="2"/>
  <c r="S36" i="2"/>
  <c r="R36" i="2"/>
  <c r="Q36" i="2"/>
  <c r="O36" i="2"/>
  <c r="N36" i="2"/>
  <c r="P36" i="2" s="1"/>
  <c r="U35" i="2"/>
  <c r="R35" i="2"/>
  <c r="S35" i="2" s="1"/>
  <c r="Q35" i="2"/>
  <c r="P35" i="2"/>
  <c r="O35" i="2"/>
  <c r="N35" i="2"/>
  <c r="U34" i="2"/>
  <c r="R34" i="2"/>
  <c r="Q34" i="2"/>
  <c r="S34" i="2" s="1"/>
  <c r="O34" i="2"/>
  <c r="N34" i="2"/>
  <c r="P34" i="2" s="1"/>
  <c r="U33" i="2"/>
  <c r="R33" i="2"/>
  <c r="Q33" i="2"/>
  <c r="S33" i="2" s="1"/>
  <c r="P33" i="2"/>
  <c r="O33" i="2"/>
  <c r="N33" i="2"/>
  <c r="U32" i="2"/>
  <c r="R32" i="2"/>
  <c r="Q32" i="2"/>
  <c r="S32" i="2" s="1"/>
  <c r="O32" i="2"/>
  <c r="P32" i="2" s="1"/>
  <c r="N32" i="2"/>
  <c r="U31" i="2"/>
  <c r="R31" i="2"/>
  <c r="Q31" i="2"/>
  <c r="S31" i="2" s="1"/>
  <c r="O31" i="2"/>
  <c r="N31" i="2"/>
  <c r="P31" i="2" s="1"/>
  <c r="U30" i="2"/>
  <c r="S30" i="2"/>
  <c r="R30" i="2"/>
  <c r="Q30" i="2"/>
  <c r="O30" i="2"/>
  <c r="N30" i="2"/>
  <c r="P30" i="2" s="1"/>
  <c r="U29" i="2"/>
  <c r="R29" i="2"/>
  <c r="Q29" i="2"/>
  <c r="S29" i="2" s="1"/>
  <c r="O29" i="2"/>
  <c r="N29" i="2"/>
  <c r="P29" i="2" s="1"/>
  <c r="U28" i="2"/>
  <c r="S28" i="2"/>
  <c r="R28" i="2"/>
  <c r="Q28" i="2"/>
  <c r="O28" i="2"/>
  <c r="N28" i="2"/>
  <c r="P28" i="2" s="1"/>
  <c r="U27" i="2"/>
  <c r="R27" i="2"/>
  <c r="S27" i="2" s="1"/>
  <c r="Q27" i="2"/>
  <c r="P27" i="2"/>
  <c r="O27" i="2"/>
  <c r="N27" i="2"/>
  <c r="U26" i="2"/>
  <c r="R26" i="2"/>
  <c r="Q26" i="2"/>
  <c r="S26" i="2" s="1"/>
  <c r="O26" i="2"/>
  <c r="N26" i="2"/>
  <c r="P26" i="2" s="1"/>
  <c r="U25" i="2"/>
  <c r="R25" i="2"/>
  <c r="Q25" i="2"/>
  <c r="S25" i="2" s="1"/>
  <c r="P25" i="2"/>
  <c r="O25" i="2"/>
  <c r="N25" i="2"/>
  <c r="U24" i="2"/>
  <c r="R24" i="2"/>
  <c r="Q24" i="2"/>
  <c r="S24" i="2" s="1"/>
  <c r="O24" i="2"/>
  <c r="P24" i="2" s="1"/>
  <c r="N24" i="2"/>
  <c r="U23" i="2"/>
  <c r="R23" i="2"/>
  <c r="Q23" i="2"/>
  <c r="S23" i="2" s="1"/>
  <c r="O23" i="2"/>
  <c r="N23" i="2"/>
  <c r="P23" i="2" s="1"/>
  <c r="U22" i="2"/>
  <c r="S22" i="2"/>
  <c r="R22" i="2"/>
  <c r="Q22" i="2"/>
  <c r="O22" i="2"/>
  <c r="N22" i="2"/>
  <c r="P22" i="2" s="1"/>
  <c r="U21" i="2"/>
  <c r="R21" i="2"/>
  <c r="Q21" i="2"/>
  <c r="S21" i="2" s="1"/>
  <c r="O21" i="2"/>
  <c r="N21" i="2"/>
  <c r="P21" i="2" s="1"/>
  <c r="U20" i="2"/>
  <c r="S20" i="2"/>
  <c r="R20" i="2"/>
  <c r="Q20" i="2"/>
  <c r="O20" i="2"/>
  <c r="N20" i="2"/>
  <c r="P20" i="2" s="1"/>
  <c r="U19" i="2"/>
  <c r="R19" i="2"/>
  <c r="S19" i="2" s="1"/>
  <c r="Q19" i="2"/>
  <c r="P19" i="2"/>
  <c r="O19" i="2"/>
  <c r="N19" i="2"/>
  <c r="U18" i="2"/>
  <c r="R18" i="2"/>
  <c r="Q18" i="2"/>
  <c r="S18" i="2" s="1"/>
  <c r="O18" i="2"/>
  <c r="N18" i="2"/>
  <c r="P18" i="2" s="1"/>
  <c r="U17" i="2"/>
  <c r="R17" i="2"/>
  <c r="Q17" i="2"/>
  <c r="S17" i="2" s="1"/>
  <c r="P17" i="2"/>
  <c r="O17" i="2"/>
  <c r="N17" i="2"/>
  <c r="U16" i="2"/>
  <c r="R16" i="2"/>
  <c r="Q16" i="2"/>
  <c r="S16" i="2" s="1"/>
  <c r="O16" i="2"/>
  <c r="P16" i="2" s="1"/>
  <c r="N16" i="2"/>
  <c r="U15" i="2"/>
  <c r="R15" i="2"/>
  <c r="Q15" i="2"/>
  <c r="S15" i="2" s="1"/>
  <c r="O15" i="2"/>
  <c r="N15" i="2"/>
  <c r="P15" i="2" s="1"/>
</calcChain>
</file>

<file path=xl/sharedStrings.xml><?xml version="1.0" encoding="utf-8"?>
<sst xmlns="http://schemas.openxmlformats.org/spreadsheetml/2006/main" count="433" uniqueCount="104">
  <si>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</si>
  <si>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</si>
  <si>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</si>
  <si>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</si>
  <si>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</si>
  <si>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</si>
  <si>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</si>
  <si>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</si>
  <si>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</si>
  <si>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</si>
  <si>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</si>
  <si>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</si>
  <si>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</si>
  <si>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</si>
  <si>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</si>
  <si>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</si>
  <si>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</si>
  <si>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</si>
  <si>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</si>
  <si>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</si>
  <si>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</si>
  <si>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</si>
  <si>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</si>
  <si>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</si>
  <si>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</si>
  <si>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</si>
  <si>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</si>
  <si>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</si>
  <si>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</si>
  <si>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</si>
  <si>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</si>
  <si>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</si>
  <si>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</si>
  <si>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</si>
  <si>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</si>
  <si>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</si>
  <si>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</si>
  <si>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</si>
  <si>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</si>
  <si>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</si>
  <si>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</si>
  <si>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</si>
  <si>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</si>
  <si>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</si>
  <si>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</si>
  <si>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</si>
  <si>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</si>
  <si>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</si>
  <si>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</si>
  <si>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</si>
  <si>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</si>
  <si>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</si>
  <si>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</si>
  <si>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</si>
  <si>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</si>
  <si>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</si>
  <si>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</si>
  <si>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</si>
  <si>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</si>
  <si>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</si>
  <si>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</si>
  <si>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</si>
  <si>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</si>
  <si>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</si>
  <si>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</si>
  <si>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</si>
  <si>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</si>
  <si>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</si>
  <si>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</si>
  <si>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</si>
  <si>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</si>
  <si>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</si>
  <si>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</si>
  <si>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</si>
  <si>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</si>
  <si>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</si>
  <si>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</si>
  <si>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</si>
  <si>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</si>
  <si>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</si>
  <si>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</si>
  <si>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</si>
  <si>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</si>
  <si>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</si>
  <si>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最大弹性位移</t>
    <phoneticPr fontId="6" type="noConversion"/>
  </si>
  <si>
    <t>最小相对残余变形</t>
    <phoneticPr fontId="6" type="noConversion"/>
  </si>
  <si>
    <t>最小相对残余应变</t>
    <phoneticPr fontId="6" type="noConversion"/>
  </si>
  <si>
    <t>最大相对残余应变</t>
    <phoneticPr fontId="6" type="noConversion"/>
  </si>
  <si>
    <t>最大弹性应变</t>
    <phoneticPr fontId="6" type="noConversion"/>
  </si>
  <si>
    <t>JD</t>
  </si>
  <si>
    <t>测点</t>
    <phoneticPr fontId="6" type="noConversion"/>
  </si>
  <si>
    <t>后视点</t>
    <phoneticPr fontId="6" type="noConversion"/>
  </si>
  <si>
    <t>高程</t>
    <phoneticPr fontId="6" type="noConversion"/>
  </si>
  <si>
    <t>/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</si>
  <si>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</si>
  <si>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1#</t>
    </r>
    <phoneticPr fontId="6" type="noConversion"/>
  </si>
  <si>
    <t>8#</t>
    <phoneticPr fontId="6" type="noConversion"/>
  </si>
  <si>
    <t>使用说明</t>
    <phoneticPr fontId="6" type="noConversion"/>
  </si>
  <si>
    <r>
      <t>Z</t>
    </r>
    <r>
      <rPr>
        <sz val="11"/>
        <color theme="1"/>
        <rFont val="等线"/>
        <family val="3"/>
        <charset val="134"/>
        <scheme val="minor"/>
      </rPr>
      <t>D1</t>
    </r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</si>
  <si>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#</t>
    </r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</si>
  <si>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2#</t>
    </r>
    <phoneticPr fontId="6" type="noConversion"/>
  </si>
  <si>
    <t>后示读数</t>
    <phoneticPr fontId="6" type="noConversion"/>
  </si>
  <si>
    <t>前示读数</t>
    <phoneticPr fontId="6" type="noConversion"/>
  </si>
  <si>
    <t>JD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</si>
</sst>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.00_ "/>
  </numFmts>
  <fonts count="7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10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5" fillId="0" borderId="0" xfId="0" applyFont="1"/>
    <xf numFmtId="0" fontId="0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1-40BF-AD85-224C4F5F53B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1-40BF-AD85-224C4F5F5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F-4552-84B1-1E876C140CF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F-4552-84B1-1E876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D-4A7D-9FFD-E9E6C0F49187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D-4A7D-9FFD-E9E6C0F4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9B036-7581-4B66-AEAE-BEE811422862}">
  <sheetPr codeName="Sheet8"/>
  <dimension ref="A1"/>
  <sheetViews>
    <sheetView tabSelected="1" workbookViewId="0"/>
  </sheetViews>
  <sheetFormatPr defaultRowHeight="14.25" x14ac:dyDescent="0.2"/>
  <sheetData/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x14ac:dyDescent="0.2">
      <c r="A11" s="64" t="s">
        <v>16</v>
      </c>
      <c r="B11" s="64"/>
      <c r="C11" s="64"/>
      <c r="D11" s="64"/>
      <c r="E11" s="64"/>
      <c r="F11" s="64"/>
      <c r="G11" s="64"/>
      <c r="H11" s="64"/>
      <c r="L11" s="66" t="s">
        <v>17</v>
      </c>
      <c r="M11" s="66"/>
      <c r="N11" s="66"/>
      <c r="O11" s="66"/>
      <c r="P11" s="66"/>
      <c r="Q11" s="66"/>
      <c r="R11" s="66"/>
      <c r="S11" s="66"/>
      <c r="T11" s="66"/>
      <c r="U11" s="66"/>
      <c r="Y11" s="66" t="s">
        <v>18</v>
      </c>
      <c r="Z11" s="66"/>
      <c r="AA11" s="66"/>
      <c r="AB11" s="66"/>
      <c r="AC11" s="66"/>
      <c r="AD11" s="66"/>
      <c r="AE11" s="66"/>
      <c r="AF11" s="66"/>
    </row>
    <row r="12" spans="1:32" x14ac:dyDescent="0.2">
      <c r="A12" s="65"/>
      <c r="B12" s="65"/>
      <c r="C12" s="65"/>
      <c r="D12" s="65"/>
      <c r="E12" s="65"/>
      <c r="F12" s="65"/>
      <c r="G12" s="65"/>
      <c r="H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Y12" s="65"/>
      <c r="Z12" s="65"/>
      <c r="AA12" s="65"/>
      <c r="AB12" s="65"/>
      <c r="AC12" s="65"/>
      <c r="AD12" s="65"/>
      <c r="AE12" s="65"/>
      <c r="AF12" s="65"/>
    </row>
    <row r="13" spans="1:32" x14ac:dyDescent="0.2">
      <c r="A13" s="68" t="s">
        <v>19</v>
      </c>
      <c r="B13" s="68" t="s">
        <v>20</v>
      </c>
      <c r="C13" s="68" t="s">
        <v>21</v>
      </c>
      <c r="D13" s="68"/>
      <c r="E13" s="68" t="s">
        <v>22</v>
      </c>
      <c r="F13" s="68"/>
      <c r="G13" s="68" t="s">
        <v>23</v>
      </c>
      <c r="H13" s="68"/>
      <c r="L13" s="68" t="s">
        <v>19</v>
      </c>
      <c r="M13" s="68" t="s">
        <v>20</v>
      </c>
      <c r="N13" s="67" t="s">
        <v>22</v>
      </c>
      <c r="O13" s="67"/>
      <c r="P13" s="67"/>
      <c r="Q13" s="69" t="s">
        <v>23</v>
      </c>
      <c r="R13" s="70"/>
      <c r="S13" s="71"/>
      <c r="T13" s="67" t="s">
        <v>24</v>
      </c>
      <c r="U13" s="67"/>
      <c r="Y13" s="62" t="s">
        <v>19</v>
      </c>
      <c r="Z13" s="62" t="s">
        <v>20</v>
      </c>
      <c r="AA13" s="68" t="s">
        <v>25</v>
      </c>
      <c r="AB13" s="68"/>
      <c r="AC13" s="68"/>
      <c r="AD13" s="68" t="s">
        <v>26</v>
      </c>
      <c r="AE13" s="68" t="s">
        <v>27</v>
      </c>
      <c r="AF13" s="62" t="s">
        <v>28</v>
      </c>
    </row>
    <row r="14" spans="1:32" ht="30.75" x14ac:dyDescent="0.2">
      <c r="A14" s="68"/>
      <c r="B14" s="68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8"/>
      <c r="M14" s="68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3"/>
      <c r="Z14" s="63"/>
      <c r="AA14" s="2" t="s">
        <v>37</v>
      </c>
      <c r="AB14" s="2" t="s">
        <v>38</v>
      </c>
      <c r="AC14" s="2" t="s">
        <v>35</v>
      </c>
      <c r="AD14" s="68"/>
      <c r="AE14" s="68"/>
      <c r="AF14" s="63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30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x14ac:dyDescent="0.2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ref="S31:S42" si="5">IF(3.7*1.020019*(Q31)+1.8*(R31)&gt;=0,3.7*1.020019*(Q31)+1.8*(R31),0)</f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6">E32-C32</f>
        <v>7</v>
      </c>
      <c r="O32" s="9">
        <f t="shared" si="6"/>
        <v>-0.40000000000000213</v>
      </c>
      <c r="P32" s="10">
        <f t="shared" si="0"/>
        <v>25.698492099999999</v>
      </c>
      <c r="Q32" s="9">
        <f t="shared" ref="Q32:R42" si="7">G32-C32</f>
        <v>-3.8999999999999773</v>
      </c>
      <c r="R32" s="9">
        <f t="shared" si="7"/>
        <v>-0.30000000000000071</v>
      </c>
      <c r="S32" s="10">
        <f t="shared" si="5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6"/>
        <v>10.699999999999932</v>
      </c>
      <c r="O33" s="9">
        <f t="shared" si="6"/>
        <v>-0.40000000000000213</v>
      </c>
      <c r="P33" s="10">
        <f t="shared" si="0"/>
        <v>39.662552209999738</v>
      </c>
      <c r="Q33" s="9">
        <f t="shared" si="7"/>
        <v>-2.2000000000000455</v>
      </c>
      <c r="R33" s="9">
        <f t="shared" si="7"/>
        <v>-0.30000000000000071</v>
      </c>
      <c r="S33" s="10">
        <f t="shared" si="5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6"/>
        <v>9.6000000000000227</v>
      </c>
      <c r="O34" s="9">
        <f t="shared" si="6"/>
        <v>-0.40000000000000213</v>
      </c>
      <c r="P34" s="10">
        <f t="shared" si="0"/>
        <v>35.511074880000081</v>
      </c>
      <c r="Q34" s="9">
        <f t="shared" si="7"/>
        <v>0.5</v>
      </c>
      <c r="R34" s="9">
        <f t="shared" si="7"/>
        <v>-0.30000000000000071</v>
      </c>
      <c r="S34" s="10">
        <f t="shared" si="5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6"/>
        <v>2.8999999999999773</v>
      </c>
      <c r="O35" s="9">
        <f t="shared" si="6"/>
        <v>-0.40000000000000213</v>
      </c>
      <c r="P35" s="10">
        <f t="shared" si="0"/>
        <v>10.224803869999912</v>
      </c>
      <c r="Q35" s="9">
        <f t="shared" si="7"/>
        <v>-0.39999999999997726</v>
      </c>
      <c r="R35" s="9">
        <f t="shared" si="7"/>
        <v>-0.30000000000000071</v>
      </c>
      <c r="S35" s="10">
        <f t="shared" si="5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6"/>
        <v>5.1000000000000227</v>
      </c>
      <c r="O36" s="9">
        <f t="shared" si="6"/>
        <v>-0.30000000000000071</v>
      </c>
      <c r="P36" s="10">
        <f t="shared" si="0"/>
        <v>18.707758530000085</v>
      </c>
      <c r="Q36" s="9">
        <f t="shared" si="7"/>
        <v>0.10000000000002274</v>
      </c>
      <c r="R36" s="9">
        <f t="shared" si="7"/>
        <v>-0.19999999999999929</v>
      </c>
      <c r="S36" s="10">
        <f t="shared" si="5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6"/>
        <v>4.8999999999999773</v>
      </c>
      <c r="O37" s="9">
        <f t="shared" si="6"/>
        <v>-0.30000000000000071</v>
      </c>
      <c r="P37" s="10">
        <f t="shared" si="0"/>
        <v>17.952944469999913</v>
      </c>
      <c r="Q37" s="9">
        <f t="shared" si="7"/>
        <v>0.20000000000004547</v>
      </c>
      <c r="R37" s="9">
        <f t="shared" si="7"/>
        <v>-0.19999999999999929</v>
      </c>
      <c r="S37" s="10">
        <f t="shared" si="5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6"/>
        <v>0.79999999999995453</v>
      </c>
      <c r="O38" s="9">
        <f t="shared" si="6"/>
        <v>-0.40000000000000213</v>
      </c>
      <c r="P38" s="10">
        <f t="shared" si="0"/>
        <v>2.2992562399998251</v>
      </c>
      <c r="Q38" s="9">
        <f t="shared" si="7"/>
        <v>-0.30000000000006821</v>
      </c>
      <c r="R38" s="9">
        <f t="shared" si="7"/>
        <v>-0.30000000000000071</v>
      </c>
      <c r="S38" s="10">
        <f t="shared" si="5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6"/>
        <v>2.3000000000000682</v>
      </c>
      <c r="O39" s="9">
        <f t="shared" si="6"/>
        <v>-0.30000000000000071</v>
      </c>
      <c r="P39" s="10">
        <f t="shared" si="0"/>
        <v>8.1403616900002582</v>
      </c>
      <c r="Q39" s="9">
        <f t="shared" si="7"/>
        <v>-0.19999999999993179</v>
      </c>
      <c r="R39" s="9">
        <f t="shared" si="7"/>
        <v>-0.19999999999999929</v>
      </c>
      <c r="S39" s="10">
        <f t="shared" si="5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6"/>
        <v>2.8999999999999773</v>
      </c>
      <c r="O40" s="9">
        <f t="shared" si="6"/>
        <v>-0.30000000000000071</v>
      </c>
      <c r="P40" s="10">
        <f t="shared" si="0"/>
        <v>10.404803869999915</v>
      </c>
      <c r="Q40" s="9">
        <f t="shared" si="7"/>
        <v>0.39999999999997726</v>
      </c>
      <c r="R40" s="9">
        <f t="shared" si="7"/>
        <v>-0.19999999999999929</v>
      </c>
      <c r="S40" s="10">
        <f t="shared" si="5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6"/>
        <v>2</v>
      </c>
      <c r="O41" s="9">
        <f t="shared" si="6"/>
        <v>-0.30000000000000071</v>
      </c>
      <c r="P41" s="10">
        <f t="shared" si="0"/>
        <v>7.0081405999999999</v>
      </c>
      <c r="Q41" s="9">
        <f t="shared" si="7"/>
        <v>9.9999999999909051E-2</v>
      </c>
      <c r="R41" s="9">
        <f t="shared" si="7"/>
        <v>-0.30000000000000071</v>
      </c>
      <c r="S41" s="10">
        <f t="shared" si="5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6"/>
        <v>1.5999999999999091</v>
      </c>
      <c r="O42" s="9">
        <f t="shared" si="6"/>
        <v>-0.19999999999999929</v>
      </c>
      <c r="P42" s="10">
        <f t="shared" si="0"/>
        <v>5.6785124799996591</v>
      </c>
      <c r="Q42" s="9">
        <f t="shared" si="7"/>
        <v>-0.40000000000009095</v>
      </c>
      <c r="R42" s="9">
        <f t="shared" si="7"/>
        <v>-0.30000000000000071</v>
      </c>
      <c r="S42" s="10">
        <f t="shared" si="5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  <mergeCell ref="G13:H13"/>
    <mergeCell ref="N13:P13"/>
  </mergeCells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workbookViewId="0">
      <selection activeCell="M2" sqref="M2:S2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0</v>
      </c>
    </row>
    <row r="8" spans="1:19" x14ac:dyDescent="0.2">
      <c r="A8" t="s">
        <v>56</v>
      </c>
      <c r="B8" s="1">
        <v>4.8099999999999997E-2</v>
      </c>
      <c r="D8" s="1"/>
    </row>
    <row r="11" spans="1:19" x14ac:dyDescent="0.2">
      <c r="A11" s="72" t="s">
        <v>19</v>
      </c>
      <c r="B11" s="72" t="s">
        <v>20</v>
      </c>
      <c r="C11" s="68" t="s">
        <v>57</v>
      </c>
      <c r="D11" s="68" t="s">
        <v>22</v>
      </c>
      <c r="E11" s="68"/>
      <c r="F11" s="68" t="s">
        <v>23</v>
      </c>
      <c r="G11" s="68"/>
      <c r="H11" s="68"/>
      <c r="I11" s="68" t="s">
        <v>58</v>
      </c>
      <c r="J11" s="68" t="s">
        <v>59</v>
      </c>
      <c r="K11" s="68" t="s">
        <v>27</v>
      </c>
      <c r="L11" s="68" t="s">
        <v>60</v>
      </c>
    </row>
    <row r="12" spans="1:19" x14ac:dyDescent="0.2">
      <c r="A12" s="72"/>
      <c r="B12" s="73"/>
      <c r="C12" s="62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8"/>
      <c r="J12" s="68"/>
      <c r="K12" s="68"/>
      <c r="L12" s="68"/>
      <c r="P12" t="s">
        <v>65</v>
      </c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  <c r="P13">
        <v>1</v>
      </c>
      <c r="Q13" t="s">
        <v>67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  <c r="P14">
        <v>2</v>
      </c>
      <c r="Q14" t="s">
        <v>69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  <c r="P15">
        <v>3</v>
      </c>
      <c r="Q15" t="s">
        <v>71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x14ac:dyDescent="0.2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x14ac:dyDescent="0.2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K11:K12"/>
    <mergeCell ref="L11:L12"/>
    <mergeCell ref="D11:E11"/>
    <mergeCell ref="F11:H11"/>
    <mergeCell ref="A11:A12"/>
    <mergeCell ref="B11:B12"/>
    <mergeCell ref="C11:C12"/>
    <mergeCell ref="I11:I12"/>
    <mergeCell ref="J11:J12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G3"/>
  <sheetViews>
    <sheetView workbookViewId="0"/>
  </sheetViews>
  <sheetFormatPr defaultColWidth="9" defaultRowHeight="14.25" x14ac:dyDescent="0.2"/>
  <sheetData>
    <row r="3" spans="7:7" x14ac:dyDescent="0.2">
      <c r="G3" t="s">
        <v>83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93B8A-8888-432C-B91C-69CEA05260FD}">
  <sheetPr codeName="Sheet7"/>
  <dimension ref="A1:J15"/>
  <sheetViews>
    <sheetView workbookViewId="0"/>
  </sheetViews>
  <sheetFormatPr defaultRowHeight="14.25" x14ac:dyDescent="0.2"/>
  <sheetData>
    <row r="1" spans="1:10" x14ac:dyDescent="0.2">
      <c r="A1" s="59" t="s">
        <v>90</v>
      </c>
      <c r="B1" s="59" t="s">
        <v>91</v>
      </c>
      <c r="C1" s="59" t="s">
        <v>102</v>
      </c>
      <c r="D1" s="59" t="s">
        <v>101</v>
      </c>
      <c r="E1" s="59" t="s">
        <v>92</v>
      </c>
    </row>
    <row r="2" spans="1:10" x14ac:dyDescent="0.2">
      <c r="A2" s="61" t="s">
        <v>103</v>
      </c>
      <c r="B2" s="59" t="s">
        <v>93</v>
      </c>
      <c r="C2">
        <v>0</v>
      </c>
      <c r="D2">
        <v>1.7195100000000001</v>
      </c>
      <c r="E2">
        <v>0</v>
      </c>
      <c r="J2" s="59" t="s">
        <v>97</v>
      </c>
    </row>
    <row r="3" spans="1:10" x14ac:dyDescent="0.2">
      <c r="A3" s="7" t="s">
        <v>40</v>
      </c>
      <c r="B3" s="61" t="s">
        <v>103</v>
      </c>
      <c r="C3">
        <v>1.34327</v>
      </c>
      <c r="D3">
        <v>1.7195100000000001</v>
      </c>
    </row>
    <row r="4" spans="1:10" x14ac:dyDescent="0.2">
      <c r="A4" s="7" t="s">
        <v>41</v>
      </c>
      <c r="B4" s="7" t="s">
        <v>89</v>
      </c>
      <c r="C4">
        <v>1.36554</v>
      </c>
      <c r="D4">
        <v>1.7195100000000001</v>
      </c>
    </row>
    <row r="5" spans="1:10" x14ac:dyDescent="0.2">
      <c r="A5" s="7" t="s">
        <v>42</v>
      </c>
      <c r="B5" s="7" t="s">
        <v>89</v>
      </c>
      <c r="C5">
        <v>1.38873</v>
      </c>
      <c r="D5">
        <v>1.7195100000000001</v>
      </c>
    </row>
    <row r="6" spans="1:10" x14ac:dyDescent="0.2">
      <c r="A6" s="7" t="s">
        <v>43</v>
      </c>
      <c r="B6" s="7" t="s">
        <v>89</v>
      </c>
      <c r="C6">
        <v>1.7493399999999999</v>
      </c>
      <c r="D6">
        <v>1.7195100000000001</v>
      </c>
    </row>
    <row r="7" spans="1:10" x14ac:dyDescent="0.2">
      <c r="A7" s="7" t="s">
        <v>44</v>
      </c>
      <c r="B7" s="7" t="s">
        <v>89</v>
      </c>
      <c r="C7">
        <v>1.72875</v>
      </c>
      <c r="D7">
        <v>1.7195100000000001</v>
      </c>
    </row>
    <row r="8" spans="1:10" x14ac:dyDescent="0.2">
      <c r="A8" s="7" t="s">
        <v>45</v>
      </c>
      <c r="B8" s="7" t="s">
        <v>89</v>
      </c>
      <c r="C8">
        <v>1.6987000000000001</v>
      </c>
      <c r="D8">
        <v>1.7195100000000001</v>
      </c>
    </row>
    <row r="9" spans="1:10" x14ac:dyDescent="0.2">
      <c r="A9" s="7" t="s">
        <v>46</v>
      </c>
      <c r="B9" s="7" t="s">
        <v>89</v>
      </c>
      <c r="C9">
        <v>1.67526</v>
      </c>
      <c r="D9">
        <v>1.7195100000000001</v>
      </c>
    </row>
    <row r="10" spans="1:10" x14ac:dyDescent="0.2">
      <c r="A10" s="7" t="s">
        <v>47</v>
      </c>
      <c r="B10" s="7" t="s">
        <v>89</v>
      </c>
      <c r="C10">
        <v>1.6615500000000001</v>
      </c>
      <c r="D10">
        <v>1.7195100000000001</v>
      </c>
    </row>
    <row r="11" spans="1:10" x14ac:dyDescent="0.2">
      <c r="A11" s="7" t="s">
        <v>48</v>
      </c>
      <c r="B11" s="7" t="s">
        <v>89</v>
      </c>
      <c r="C11">
        <v>1.64923</v>
      </c>
      <c r="D11">
        <v>1.7195100000000001</v>
      </c>
    </row>
    <row r="12" spans="1:10" x14ac:dyDescent="0.2">
      <c r="A12" s="60" t="s">
        <v>94</v>
      </c>
      <c r="B12" s="60" t="s">
        <v>96</v>
      </c>
      <c r="C12">
        <v>1.6605300000000001</v>
      </c>
      <c r="D12">
        <v>1.7195100000000001</v>
      </c>
    </row>
    <row r="13" spans="1:10" x14ac:dyDescent="0.2">
      <c r="A13" s="60" t="s">
        <v>95</v>
      </c>
      <c r="B13" s="60" t="s">
        <v>96</v>
      </c>
      <c r="C13">
        <v>1.66256</v>
      </c>
      <c r="D13">
        <v>1.7195100000000001</v>
      </c>
    </row>
    <row r="14" spans="1:10" x14ac:dyDescent="0.2">
      <c r="A14" s="60" t="s">
        <v>98</v>
      </c>
      <c r="B14" s="61" t="s">
        <v>99</v>
      </c>
      <c r="C14">
        <v>1.6482300000000001</v>
      </c>
      <c r="D14">
        <v>1.7195100000000001</v>
      </c>
    </row>
    <row r="15" spans="1:10" x14ac:dyDescent="0.2">
      <c r="A15" s="60" t="s">
        <v>100</v>
      </c>
      <c r="B15" s="60" t="s">
        <v>98</v>
      </c>
      <c r="C15">
        <v>1.6582300000000001</v>
      </c>
      <c r="D15">
        <v>1.7195100000000001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"/>
  <sheetViews>
    <sheetView workbookViewId="0"/>
  </sheetViews>
  <sheetFormatPr defaultColWidth="9" defaultRowHeight="14.25" x14ac:dyDescent="0.2"/>
  <sheetData>
    <row r="1" spans="1:6" x14ac:dyDescent="0.2">
      <c r="B1" t="s">
        <v>58</v>
      </c>
      <c r="C1" t="s">
        <v>59</v>
      </c>
      <c r="E1" t="s">
        <v>58</v>
      </c>
      <c r="F1" t="s">
        <v>59</v>
      </c>
    </row>
    <row r="2" spans="1:6" x14ac:dyDescent="0.2">
      <c r="A2" t="s">
        <v>73</v>
      </c>
      <c r="B2">
        <v>0.97</v>
      </c>
      <c r="C2">
        <v>2.3420000000000001</v>
      </c>
      <c r="D2" t="s">
        <v>73</v>
      </c>
      <c r="E2">
        <v>0.97</v>
      </c>
      <c r="F2">
        <v>2.3420000000000001</v>
      </c>
    </row>
    <row r="3" spans="1:6" x14ac:dyDescent="0.2">
      <c r="A3" t="s">
        <v>74</v>
      </c>
      <c r="B3">
        <v>1.28</v>
      </c>
      <c r="C3">
        <v>3.0790000000000002</v>
      </c>
      <c r="D3" t="s">
        <v>74</v>
      </c>
      <c r="E3">
        <v>1.28</v>
      </c>
      <c r="F3">
        <v>3.0790000000000002</v>
      </c>
    </row>
    <row r="4" spans="1:6" x14ac:dyDescent="0.2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 x14ac:dyDescent="0.2">
      <c r="A5" t="s">
        <v>76</v>
      </c>
      <c r="B5">
        <v>2.0299999999999998</v>
      </c>
      <c r="C5">
        <v>5.16</v>
      </c>
      <c r="D5" t="s">
        <v>76</v>
      </c>
      <c r="E5">
        <v>5</v>
      </c>
      <c r="F5">
        <v>5.16</v>
      </c>
    </row>
    <row r="6" spans="1:6" x14ac:dyDescent="0.2">
      <c r="A6" t="s">
        <v>77</v>
      </c>
      <c r="B6">
        <v>2.5</v>
      </c>
      <c r="C6">
        <v>5.9530000000000003</v>
      </c>
      <c r="D6" t="s">
        <v>77</v>
      </c>
      <c r="E6">
        <v>2.5</v>
      </c>
      <c r="F6">
        <v>5.9530000000000003</v>
      </c>
    </row>
    <row r="7" spans="1:6" x14ac:dyDescent="0.2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 x14ac:dyDescent="0.2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 x14ac:dyDescent="0.2">
      <c r="A9" t="s">
        <v>80</v>
      </c>
      <c r="B9">
        <v>3.1</v>
      </c>
      <c r="C9">
        <v>7.2679999999999998</v>
      </c>
      <c r="D9" t="s">
        <v>80</v>
      </c>
      <c r="E9">
        <v>3.1</v>
      </c>
      <c r="F9">
        <v>7.2679999999999998</v>
      </c>
    </row>
    <row r="10" spans="1:6" x14ac:dyDescent="0.2">
      <c r="A10" t="s">
        <v>81</v>
      </c>
      <c r="B10">
        <v>2.77</v>
      </c>
      <c r="C10">
        <v>6.7930000000000001</v>
      </c>
      <c r="D10" t="s">
        <v>81</v>
      </c>
      <c r="E10">
        <v>2.77</v>
      </c>
      <c r="F10">
        <v>6.7930000000000001</v>
      </c>
    </row>
    <row r="11" spans="1:6" x14ac:dyDescent="0.2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ht="14.25" customHeight="1" x14ac:dyDescent="0.2">
      <c r="A11" s="64" t="s">
        <v>16</v>
      </c>
      <c r="B11" s="64"/>
      <c r="C11" s="64"/>
      <c r="D11" s="64"/>
      <c r="E11" s="64"/>
      <c r="F11" s="64"/>
      <c r="G11" s="64"/>
      <c r="H11" s="64"/>
      <c r="L11" s="66" t="s">
        <v>17</v>
      </c>
      <c r="M11" s="66"/>
      <c r="N11" s="66"/>
      <c r="O11" s="66"/>
      <c r="P11" s="66"/>
      <c r="Q11" s="66"/>
      <c r="R11" s="66"/>
      <c r="S11" s="66"/>
      <c r="T11" s="66"/>
      <c r="U11" s="66"/>
      <c r="Y11" s="66" t="s">
        <v>18</v>
      </c>
      <c r="Z11" s="66"/>
      <c r="AA11" s="66"/>
      <c r="AB11" s="66"/>
      <c r="AC11" s="66"/>
      <c r="AD11" s="66"/>
      <c r="AE11" s="66"/>
      <c r="AF11" s="66"/>
    </row>
    <row r="12" spans="1:32" x14ac:dyDescent="0.2">
      <c r="A12" s="65"/>
      <c r="B12" s="65"/>
      <c r="C12" s="65"/>
      <c r="D12" s="65"/>
      <c r="E12" s="65"/>
      <c r="F12" s="65"/>
      <c r="G12" s="65"/>
      <c r="H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Y12" s="65"/>
      <c r="Z12" s="65"/>
      <c r="AA12" s="65"/>
      <c r="AB12" s="65"/>
      <c r="AC12" s="65"/>
      <c r="AD12" s="65"/>
      <c r="AE12" s="65"/>
      <c r="AF12" s="65"/>
    </row>
    <row r="13" spans="1:32" ht="14.25" customHeight="1" x14ac:dyDescent="0.2">
      <c r="A13" s="68" t="s">
        <v>19</v>
      </c>
      <c r="B13" s="68" t="s">
        <v>20</v>
      </c>
      <c r="C13" s="68" t="s">
        <v>21</v>
      </c>
      <c r="D13" s="68"/>
      <c r="E13" s="68" t="s">
        <v>22</v>
      </c>
      <c r="F13" s="68"/>
      <c r="G13" s="68" t="s">
        <v>23</v>
      </c>
      <c r="H13" s="68"/>
      <c r="L13" s="68" t="s">
        <v>19</v>
      </c>
      <c r="M13" s="68" t="s">
        <v>20</v>
      </c>
      <c r="N13" s="67" t="s">
        <v>22</v>
      </c>
      <c r="O13" s="67"/>
      <c r="P13" s="67"/>
      <c r="Q13" s="69" t="s">
        <v>23</v>
      </c>
      <c r="R13" s="70"/>
      <c r="S13" s="71"/>
      <c r="T13" s="67" t="s">
        <v>24</v>
      </c>
      <c r="U13" s="67"/>
      <c r="Y13" s="62" t="s">
        <v>19</v>
      </c>
      <c r="Z13" s="62" t="s">
        <v>20</v>
      </c>
      <c r="AA13" s="68" t="s">
        <v>25</v>
      </c>
      <c r="AB13" s="68"/>
      <c r="AC13" s="68"/>
      <c r="AD13" s="68" t="s">
        <v>26</v>
      </c>
      <c r="AE13" s="68" t="s">
        <v>27</v>
      </c>
      <c r="AF13" s="62" t="s">
        <v>28</v>
      </c>
    </row>
    <row r="14" spans="1:32" ht="30.75" x14ac:dyDescent="0.2">
      <c r="A14" s="68"/>
      <c r="B14" s="68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8"/>
      <c r="M14" s="68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3"/>
      <c r="Z14" s="63"/>
      <c r="AA14" s="2" t="s">
        <v>37</v>
      </c>
      <c r="AB14" s="2" t="s">
        <v>38</v>
      </c>
      <c r="AC14" s="2" t="s">
        <v>35</v>
      </c>
      <c r="AD14" s="68"/>
      <c r="AE14" s="68"/>
      <c r="AF14" s="63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42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ht="15" thickBot="1" x14ac:dyDescent="0.25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si="3"/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5">E32-C32</f>
        <v>7</v>
      </c>
      <c r="O32" s="9">
        <f t="shared" si="5"/>
        <v>-0.40000000000000213</v>
      </c>
      <c r="P32" s="10">
        <f t="shared" si="0"/>
        <v>25.698492099999999</v>
      </c>
      <c r="Q32" s="9">
        <f t="shared" ref="Q32:R42" si="6">G32-C32</f>
        <v>-3.8999999999999773</v>
      </c>
      <c r="R32" s="9">
        <f t="shared" si="6"/>
        <v>-0.30000000000000071</v>
      </c>
      <c r="S32" s="10">
        <f t="shared" si="3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5"/>
        <v>10.699999999999932</v>
      </c>
      <c r="O33" s="9">
        <f t="shared" si="5"/>
        <v>-0.40000000000000213</v>
      </c>
      <c r="P33" s="10">
        <f t="shared" si="0"/>
        <v>39.662552209999738</v>
      </c>
      <c r="Q33" s="9">
        <f t="shared" si="6"/>
        <v>-2.2000000000000455</v>
      </c>
      <c r="R33" s="9">
        <f t="shared" si="6"/>
        <v>-0.30000000000000071</v>
      </c>
      <c r="S33" s="10">
        <f t="shared" si="3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5"/>
        <v>9.6000000000000227</v>
      </c>
      <c r="O34" s="9">
        <f t="shared" si="5"/>
        <v>-0.40000000000000213</v>
      </c>
      <c r="P34" s="10">
        <f t="shared" si="0"/>
        <v>35.511074880000081</v>
      </c>
      <c r="Q34" s="9">
        <f t="shared" si="6"/>
        <v>0.5</v>
      </c>
      <c r="R34" s="9">
        <f t="shared" si="6"/>
        <v>-0.30000000000000071</v>
      </c>
      <c r="S34" s="10">
        <f t="shared" si="3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5"/>
        <v>2.8999999999999773</v>
      </c>
      <c r="O35" s="9">
        <f t="shared" si="5"/>
        <v>-0.40000000000000213</v>
      </c>
      <c r="P35" s="10">
        <f t="shared" si="0"/>
        <v>10.224803869999912</v>
      </c>
      <c r="Q35" s="9">
        <f t="shared" si="6"/>
        <v>-0.39999999999997726</v>
      </c>
      <c r="R35" s="9">
        <f t="shared" si="6"/>
        <v>-0.30000000000000071</v>
      </c>
      <c r="S35" s="10">
        <f t="shared" si="3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5"/>
        <v>5.1000000000000227</v>
      </c>
      <c r="O36" s="9">
        <f t="shared" si="5"/>
        <v>-0.30000000000000071</v>
      </c>
      <c r="P36" s="10">
        <f t="shared" si="0"/>
        <v>18.707758530000085</v>
      </c>
      <c r="Q36" s="9">
        <f t="shared" si="6"/>
        <v>0.10000000000002274</v>
      </c>
      <c r="R36" s="9">
        <f t="shared" si="6"/>
        <v>-0.19999999999999929</v>
      </c>
      <c r="S36" s="10">
        <f t="shared" si="3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5"/>
        <v>4.8999999999999773</v>
      </c>
      <c r="O37" s="9">
        <f t="shared" si="5"/>
        <v>-0.30000000000000071</v>
      </c>
      <c r="P37" s="10">
        <f t="shared" si="0"/>
        <v>17.952944469999913</v>
      </c>
      <c r="Q37" s="9">
        <f t="shared" si="6"/>
        <v>0.20000000000004547</v>
      </c>
      <c r="R37" s="9">
        <f t="shared" si="6"/>
        <v>-0.19999999999999929</v>
      </c>
      <c r="S37" s="10">
        <f t="shared" si="3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5"/>
        <v>0.79999999999995453</v>
      </c>
      <c r="O38" s="9">
        <f t="shared" si="5"/>
        <v>-0.40000000000000213</v>
      </c>
      <c r="P38" s="10">
        <f t="shared" si="0"/>
        <v>2.2992562399998251</v>
      </c>
      <c r="Q38" s="9">
        <f t="shared" si="6"/>
        <v>-0.30000000000006821</v>
      </c>
      <c r="R38" s="9">
        <f t="shared" si="6"/>
        <v>-0.30000000000000071</v>
      </c>
      <c r="S38" s="10">
        <f t="shared" si="3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5"/>
        <v>2.3000000000000682</v>
      </c>
      <c r="O39" s="9">
        <f t="shared" si="5"/>
        <v>-0.30000000000000071</v>
      </c>
      <c r="P39" s="10">
        <f t="shared" si="0"/>
        <v>8.1403616900002582</v>
      </c>
      <c r="Q39" s="9">
        <f t="shared" si="6"/>
        <v>-0.19999999999993179</v>
      </c>
      <c r="R39" s="9">
        <f t="shared" si="6"/>
        <v>-0.19999999999999929</v>
      </c>
      <c r="S39" s="10">
        <f t="shared" si="3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5"/>
        <v>2.8999999999999773</v>
      </c>
      <c r="O40" s="9">
        <f t="shared" si="5"/>
        <v>-0.30000000000000071</v>
      </c>
      <c r="P40" s="10">
        <f t="shared" si="0"/>
        <v>10.404803869999915</v>
      </c>
      <c r="Q40" s="9">
        <f t="shared" si="6"/>
        <v>0.39999999999997726</v>
      </c>
      <c r="R40" s="9">
        <f t="shared" si="6"/>
        <v>-0.19999999999999929</v>
      </c>
      <c r="S40" s="10">
        <f t="shared" si="3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5"/>
        <v>2</v>
      </c>
      <c r="O41" s="9">
        <f t="shared" si="5"/>
        <v>-0.30000000000000071</v>
      </c>
      <c r="P41" s="10">
        <f t="shared" si="0"/>
        <v>7.0081405999999999</v>
      </c>
      <c r="Q41" s="9">
        <f t="shared" si="6"/>
        <v>9.9999999999909051E-2</v>
      </c>
      <c r="R41" s="9">
        <f t="shared" si="6"/>
        <v>-0.30000000000000071</v>
      </c>
      <c r="S41" s="10">
        <f t="shared" si="3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5"/>
        <v>1.5999999999999091</v>
      </c>
      <c r="O42" s="9">
        <f t="shared" si="5"/>
        <v>-0.19999999999999929</v>
      </c>
      <c r="P42" s="10">
        <f t="shared" si="0"/>
        <v>5.6785124799996591</v>
      </c>
      <c r="Q42" s="9">
        <f t="shared" si="6"/>
        <v>-0.40000000000009095</v>
      </c>
      <c r="R42" s="9">
        <f t="shared" si="6"/>
        <v>-0.30000000000000071</v>
      </c>
      <c r="S42" s="10">
        <f t="shared" si="3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A13:AC13"/>
    <mergeCell ref="AD13:AD14"/>
    <mergeCell ref="AE13:AE14"/>
    <mergeCell ref="A11:H12"/>
    <mergeCell ref="L11:U12"/>
    <mergeCell ref="Y11:AF12"/>
    <mergeCell ref="A13:A14"/>
    <mergeCell ref="B13:B14"/>
    <mergeCell ref="C13:D13"/>
    <mergeCell ref="E13:F13"/>
    <mergeCell ref="G13:H13"/>
    <mergeCell ref="L13:L14"/>
    <mergeCell ref="M13:M14"/>
    <mergeCell ref="N13:P13"/>
    <mergeCell ref="Q13:S13"/>
    <mergeCell ref="T13:U13"/>
    <mergeCell ref="AF13:AF14"/>
    <mergeCell ref="Y13:Y14"/>
    <mergeCell ref="Z13:Z14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2" t="s">
        <v>19</v>
      </c>
      <c r="B11" s="72" t="s">
        <v>20</v>
      </c>
      <c r="C11" s="68" t="s">
        <v>57</v>
      </c>
      <c r="D11" s="68" t="s">
        <v>22</v>
      </c>
      <c r="E11" s="68"/>
      <c r="F11" s="68" t="s">
        <v>23</v>
      </c>
      <c r="G11" s="68"/>
      <c r="H11" s="68"/>
      <c r="I11" s="68" t="s">
        <v>58</v>
      </c>
      <c r="J11" s="68" t="s">
        <v>59</v>
      </c>
      <c r="K11" s="68" t="s">
        <v>27</v>
      </c>
      <c r="L11" s="68" t="s">
        <v>60</v>
      </c>
    </row>
    <row r="12" spans="1:19" x14ac:dyDescent="0.2">
      <c r="A12" s="72"/>
      <c r="B12" s="73"/>
      <c r="C12" s="62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8"/>
      <c r="J12" s="68"/>
      <c r="K12" s="68"/>
      <c r="L12" s="68"/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ht="15" thickBot="1" x14ac:dyDescent="0.25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ht="15" thickBot="1" x14ac:dyDescent="0.25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I11:I12"/>
    <mergeCell ref="J11:J12"/>
    <mergeCell ref="K11:K12"/>
    <mergeCell ref="L11:L12"/>
    <mergeCell ref="A11:A12"/>
    <mergeCell ref="B11:B12"/>
    <mergeCell ref="C11:C12"/>
    <mergeCell ref="D11:E11"/>
    <mergeCell ref="F11:H11"/>
  </mergeCells>
  <phoneticPr fontId="6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首页</vt:lpstr>
      <vt:lpstr>应变</vt:lpstr>
      <vt:lpstr>挠度</vt:lpstr>
      <vt:lpstr>生成Word报告</vt:lpstr>
      <vt:lpstr>水准测量转换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2018-12-15T15:48:20Z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