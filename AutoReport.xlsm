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2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<sst xmlns="http://schemas.openxmlformats.org/spreadsheetml/2006/main" count="104">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</sst>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</numFmts>
  <fonts count="24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9" fillId="2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6" fillId="0" borderId="12" applyNumberFormat="0" applyFill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3" fillId="16" borderId="13" applyNumberFormat="0" applyAlignment="0" applyProtection="0">
      <alignment vertical="center"/>
    </xf>
    <xf numFmtId="0" fontId="20" fillId="16" borderId="17" applyNumberFormat="0" applyAlignment="0" applyProtection="0">
      <alignment vertical="center"/>
    </xf>
    <xf numFmtId="0" fontId="5" fillId="7" borderId="11" applyNumberFormat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</cellStyleXfs>
  <cellXfs count="72">
    <xf numFmtId="0" fontId="0" fillId="0" borderId="0" xfId="0"/>
    <xf numFmtId="0" fontId="1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"弹性变形"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 c:formatCode="0_ ">
                  <c:v>Z1</c:v>
                </c:pt>
                <c:pt idx="1" c:formatCode="0_ ">
                  <c:v>Z2</c:v>
                </c:pt>
                <c:pt idx="2" c:formatCode="0_ ">
                  <c:v>Z3</c:v>
                </c:pt>
                <c:pt idx="3" c:formatCode="0_ ">
                  <c:v>Z4</c:v>
                </c:pt>
                <c:pt idx="4" c:formatCode="0_ ">
                  <c:v>Z5</c:v>
                </c:pt>
                <c:pt idx="5" c:formatCode="0_ ">
                  <c:v>Z6</c:v>
                </c:pt>
                <c:pt idx="6" c:formatCode="0_ ">
                  <c:v>Z7</c:v>
                </c:pt>
                <c:pt idx="7" c:formatCode="0_ ">
                  <c:v>Z8</c:v>
                </c:pt>
                <c:pt idx="8" c:formatCode="0_ ">
                  <c:v>Z9</c:v>
                </c:pt>
                <c:pt idx="9" c:formatCode="0_ ">
                  <c:v>Z10</c:v>
                </c:pt>
                <c:pt idx="10" c:formatCode="0_ ">
                  <c:v>Z11</c:v>
                </c:pt>
                <c:pt idx="11" c:formatCode="0_ ">
                  <c:v>Z12</c:v>
                </c:pt>
                <c:pt idx="12" c:formatCode="0_ ">
                  <c:v>Z13</c:v>
                </c:pt>
                <c:pt idx="13" c:formatCode="0_ ">
                  <c:v>Z14</c:v>
                </c:pt>
              </c:strCache>
            </c:strRef>
          </c:cat>
          <c:val>
            <c:numRef>
              <c:f>挠度!$I$13:$I$26</c:f>
              <c:numCache>
                <c:formatCode>0.00_ </c:formatCode>
                <c:ptCount val="14"/>
                <c:pt idx="0">
                  <c:v>0.44</c:v>
                </c:pt>
                <c:pt idx="1">
                  <c:v>0.51</c:v>
                </c:pt>
                <c:pt idx="2">
                  <c:v>0.700000000000001</c:v>
                </c:pt>
                <c:pt idx="3">
                  <c:v>0.77</c:v>
                </c:pt>
                <c:pt idx="4">
                  <c:v>0.97</c:v>
                </c:pt>
                <c:pt idx="5">
                  <c:v>1.28</c:v>
                </c:pt>
                <c:pt idx="6">
                  <c:v>1.64</c:v>
                </c:pt>
                <c:pt idx="7">
                  <c:v>2.03</c:v>
                </c:pt>
                <c:pt idx="8">
                  <c:v>2.5</c:v>
                </c:pt>
                <c:pt idx="9">
                  <c:v>2.8</c:v>
                </c:pt>
                <c:pt idx="10">
                  <c:v>3.28</c:v>
                </c:pt>
                <c:pt idx="11">
                  <c:v>3.1</c:v>
                </c:pt>
                <c:pt idx="12">
                  <c:v>2.77</c:v>
                </c:pt>
                <c:pt idx="13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"理论"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 c:formatCode="0_ ">
                  <c:v>Z1</c:v>
                </c:pt>
                <c:pt idx="1" c:formatCode="0_ ">
                  <c:v>Z2</c:v>
                </c:pt>
                <c:pt idx="2" c:formatCode="0_ ">
                  <c:v>Z3</c:v>
                </c:pt>
                <c:pt idx="3" c:formatCode="0_ ">
                  <c:v>Z4</c:v>
                </c:pt>
                <c:pt idx="4" c:formatCode="0_ ">
                  <c:v>Z5</c:v>
                </c:pt>
                <c:pt idx="5" c:formatCode="0_ ">
                  <c:v>Z6</c:v>
                </c:pt>
                <c:pt idx="6" c:formatCode="0_ ">
                  <c:v>Z7</c:v>
                </c:pt>
                <c:pt idx="7" c:formatCode="0_ ">
                  <c:v>Z8</c:v>
                </c:pt>
                <c:pt idx="8" c:formatCode="0_ ">
                  <c:v>Z9</c:v>
                </c:pt>
                <c:pt idx="9" c:formatCode="0_ ">
                  <c:v>Z10</c:v>
                </c:pt>
                <c:pt idx="10" c:formatCode="0_ ">
                  <c:v>Z11</c:v>
                </c:pt>
                <c:pt idx="11" c:formatCode="0_ ">
                  <c:v>Z12</c:v>
                </c:pt>
                <c:pt idx="12" c:formatCode="0_ ">
                  <c:v>Z13</c:v>
                </c:pt>
                <c:pt idx="13" c:formatCode="0_ ">
                  <c:v>Z14</c:v>
                </c:pt>
              </c:strCache>
            </c:strRef>
          </c:cat>
          <c:val>
            <c:numRef>
              <c:f>挠度!$J$13:$J$26</c:f>
              <c:numCache>
                <c:formatCode>General</c:formatCode>
                <c:ptCount val="14"/>
                <c:pt idx="0">
                  <c:v>0.473</c:v>
                </c:pt>
                <c:pt idx="1">
                  <c:v>0.825</c:v>
                </c:pt>
                <c:pt idx="2">
                  <c:v>1.245</c:v>
                </c:pt>
                <c:pt idx="3">
                  <c:v>1.743</c:v>
                </c:pt>
                <c:pt idx="4">
                  <c:v>2.342</c:v>
                </c:pt>
                <c:pt idx="5">
                  <c:v>3.079</c:v>
                </c:pt>
                <c:pt idx="6">
                  <c:v>4.008</c:v>
                </c:pt>
                <c:pt idx="7">
                  <c:v>5.16</c:v>
                </c:pt>
                <c:pt idx="8">
                  <c:v>5.953</c:v>
                </c:pt>
                <c:pt idx="9">
                  <c:v>6.742</c:v>
                </c:pt>
                <c:pt idx="10">
                  <c:v>7.048</c:v>
                </c:pt>
                <c:pt idx="11">
                  <c:v>7.268</c:v>
                </c:pt>
                <c:pt idx="12">
                  <c:v>6.793</c:v>
                </c:pt>
                <c:pt idx="13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77002"/>
        <c:axId val="282804592"/>
      </c:lineChart>
      <c:catAx>
        <c:axId val="40817700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2804592"/>
        <c:crosses val="autoZero"/>
        <c:auto val="1"/>
        <c:lblAlgn val="ctr"/>
        <c:lblOffset val="100"/>
        <c:noMultiLvlLbl val="0"/>
      </c:catAx>
      <c:valAx>
        <c:axId val="2828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817700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"弹性变形"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挠度!$B$27:$B$40</c:f>
              <c:strCache>
                <c:ptCount val="14"/>
                <c:pt idx="0" c:formatCode="0_ ">
                  <c:v>Z1</c:v>
                </c:pt>
                <c:pt idx="1" c:formatCode="0_ ">
                  <c:v>Z2</c:v>
                </c:pt>
                <c:pt idx="2" c:formatCode="0_ ">
                  <c:v>Z3</c:v>
                </c:pt>
                <c:pt idx="3" c:formatCode="0_ ">
                  <c:v>Z4</c:v>
                </c:pt>
                <c:pt idx="4" c:formatCode="0_ ">
                  <c:v>Z5</c:v>
                </c:pt>
                <c:pt idx="5" c:formatCode="0_ ">
                  <c:v>Z6</c:v>
                </c:pt>
                <c:pt idx="6" c:formatCode="0_ ">
                  <c:v>Z7</c:v>
                </c:pt>
                <c:pt idx="7" c:formatCode="0_ ">
                  <c:v>Z8</c:v>
                </c:pt>
                <c:pt idx="8" c:formatCode="0_ ">
                  <c:v>Z9</c:v>
                </c:pt>
                <c:pt idx="9" c:formatCode="0_ ">
                  <c:v>Z10</c:v>
                </c:pt>
                <c:pt idx="10" c:formatCode="0_ ">
                  <c:v>Z11</c:v>
                </c:pt>
                <c:pt idx="11" c:formatCode="0_ ">
                  <c:v>Z12</c:v>
                </c:pt>
                <c:pt idx="12" c:formatCode="0_ ">
                  <c:v>Z13</c:v>
                </c:pt>
                <c:pt idx="13" c:formatCode="0_ ">
                  <c:v>Z14</c:v>
                </c:pt>
              </c:strCache>
            </c:strRef>
          </c:cat>
          <c:val>
            <c:numRef>
              <c:f>挠度!$I$27:$I$40</c:f>
              <c:numCache>
                <c:formatCode>0.00_ </c:formatCode>
                <c:ptCount val="14"/>
                <c:pt idx="0">
                  <c:v>2.73</c:v>
                </c:pt>
                <c:pt idx="1">
                  <c:v>2.9</c:v>
                </c:pt>
                <c:pt idx="2">
                  <c:v>3.11</c:v>
                </c:pt>
                <c:pt idx="3">
                  <c:v>3.1</c:v>
                </c:pt>
                <c:pt idx="4">
                  <c:v>2.92</c:v>
                </c:pt>
                <c:pt idx="5">
                  <c:v>2.39</c:v>
                </c:pt>
                <c:pt idx="6">
                  <c:v>2.19</c:v>
                </c:pt>
                <c:pt idx="7">
                  <c:v>1.69</c:v>
                </c:pt>
                <c:pt idx="8">
                  <c:v>1.33</c:v>
                </c:pt>
                <c:pt idx="9">
                  <c:v>0.87</c:v>
                </c:pt>
                <c:pt idx="10">
                  <c:v>0.81</c:v>
                </c:pt>
                <c:pt idx="11">
                  <c:v>0.510000000000002</c:v>
                </c:pt>
                <c:pt idx="12">
                  <c:v>0.34</c:v>
                </c:pt>
                <c:pt idx="13">
                  <c:v>0.5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"理论"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挠度!$B$27:$B$40</c:f>
              <c:strCache>
                <c:ptCount val="14"/>
                <c:pt idx="0" c:formatCode="0_ ">
                  <c:v>Z1</c:v>
                </c:pt>
                <c:pt idx="1" c:formatCode="0_ ">
                  <c:v>Z2</c:v>
                </c:pt>
                <c:pt idx="2" c:formatCode="0_ ">
                  <c:v>Z3</c:v>
                </c:pt>
                <c:pt idx="3" c:formatCode="0_ ">
                  <c:v>Z4</c:v>
                </c:pt>
                <c:pt idx="4" c:formatCode="0_ ">
                  <c:v>Z5</c:v>
                </c:pt>
                <c:pt idx="5" c:formatCode="0_ ">
                  <c:v>Z6</c:v>
                </c:pt>
                <c:pt idx="6" c:formatCode="0_ ">
                  <c:v>Z7</c:v>
                </c:pt>
                <c:pt idx="7" c:formatCode="0_ ">
                  <c:v>Z8</c:v>
                </c:pt>
                <c:pt idx="8" c:formatCode="0_ ">
                  <c:v>Z9</c:v>
                </c:pt>
                <c:pt idx="9" c:formatCode="0_ ">
                  <c:v>Z10</c:v>
                </c:pt>
                <c:pt idx="10" c:formatCode="0_ ">
                  <c:v>Z11</c:v>
                </c:pt>
                <c:pt idx="11" c:formatCode="0_ ">
                  <c:v>Z12</c:v>
                </c:pt>
                <c:pt idx="12" c:formatCode="0_ ">
                  <c:v>Z13</c:v>
                </c:pt>
                <c:pt idx="13" c:formatCode="0_ ">
                  <c:v>Z14</c:v>
                </c:pt>
              </c:strCache>
            </c:strRef>
          </c:cat>
          <c:val>
            <c:numRef>
              <c:f>挠度!$J$27:$J$40</c:f>
              <c:numCache>
                <c:formatCode>General</c:formatCode>
                <c:ptCount val="14"/>
                <c:pt idx="0">
                  <c:v>6.632</c:v>
                </c:pt>
                <c:pt idx="1">
                  <c:v>6.725</c:v>
                </c:pt>
                <c:pt idx="2">
                  <c:v>7.195</c:v>
                </c:pt>
                <c:pt idx="3">
                  <c:v>7</c:v>
                </c:pt>
                <c:pt idx="4">
                  <c:v>6.728</c:v>
                </c:pt>
                <c:pt idx="5">
                  <c:v>5.975</c:v>
                </c:pt>
                <c:pt idx="6">
                  <c:v>5.203</c:v>
                </c:pt>
                <c:pt idx="7">
                  <c:v>4.043</c:v>
                </c:pt>
                <c:pt idx="8">
                  <c:v>3.11</c:v>
                </c:pt>
                <c:pt idx="9">
                  <c:v>2.369</c:v>
                </c:pt>
                <c:pt idx="10">
                  <c:v>1.769</c:v>
                </c:pt>
                <c:pt idx="11">
                  <c:v>1.271</c:v>
                </c:pt>
                <c:pt idx="12">
                  <c:v>0.852</c:v>
                </c:pt>
                <c:pt idx="13">
                  <c:v>0.499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382165"/>
        <c:axId val="907825579"/>
      </c:lineChart>
      <c:catAx>
        <c:axId val="94738216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7825579"/>
        <c:crosses val="autoZero"/>
        <c:auto val="1"/>
        <c:lblAlgn val="ctr"/>
        <c:lblOffset val="100"/>
        <c:noMultiLvlLbl val="0"/>
      </c:catAx>
      <c:valAx>
        <c:axId val="9078255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4738216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339725</xdr:colOff>
      <xdr:row>11</xdr:row>
      <xdr:rowOff>9525</xdr:rowOff>
    </xdr:from>
    <xdr:to>
      <xdr:col>20</xdr:col>
      <xdr:colOff>34925</xdr:colOff>
      <xdr:row>25</xdr:row>
      <xdr:rowOff>139700</xdr:rowOff>
    </xdr:to>
    <xdr:graphicFrame>
      <xdr:nvGraphicFramePr>
        <xdr:cNvPr id="34" name="图表 33"/>
        <xdr:cNvGraphicFramePr/>
      </xdr:nvGraphicFramePr>
      <xdr:xfrm>
        <a:off x="10160000" y="1905000"/>
        <a:ext cx="3810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34925</xdr:colOff>
      <xdr:row>42</xdr:row>
      <xdr:rowOff>0</xdr:rowOff>
    </xdr:to>
    <xdr:graphicFrame>
      <xdr:nvGraphicFramePr>
        <xdr:cNvPr id="35" name="图表 34"/>
        <xdr:cNvGraphicFramePr/>
      </xdr:nvGraphicFramePr>
      <xdr:xfrm>
        <a:off x="10160000" y="4699000"/>
        <a:ext cx="3810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workbookViewId="0">
      <selection activeCell="A21" sqref="A21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A15" sqref="A15:A42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30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ref="S31:S42" si="5">IF(3.7*1.020019*(Q31)+1.8*(R31)&gt;=0,3.7*1.020019*(Q31)+1.8*(R31),0)</f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6">E32-C32</f>
        <v>7</v>
      </c>
      <c r="O32" s="42">
        <f t="shared" si="6"/>
        <v>-0.400000000000002</v>
      </c>
      <c r="P32" s="43">
        <f t="shared" si="0"/>
        <v>25.6984921</v>
      </c>
      <c r="Q32" s="42">
        <f t="shared" ref="Q32:R42" si="7">G32-C32</f>
        <v>-3.89999999999998</v>
      </c>
      <c r="R32" s="42">
        <f t="shared" si="7"/>
        <v>-0.300000000000001</v>
      </c>
      <c r="S32" s="43">
        <f t="shared" si="5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6"/>
        <v>10.6999999999999</v>
      </c>
      <c r="O33" s="42">
        <f t="shared" si="6"/>
        <v>-0.400000000000002</v>
      </c>
      <c r="P33" s="43">
        <f t="shared" si="0"/>
        <v>39.6625522099997</v>
      </c>
      <c r="Q33" s="42">
        <f t="shared" si="7"/>
        <v>-2.20000000000005</v>
      </c>
      <c r="R33" s="42">
        <f t="shared" si="7"/>
        <v>-0.300000000000001</v>
      </c>
      <c r="S33" s="43">
        <f t="shared" si="5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6"/>
        <v>9.60000000000002</v>
      </c>
      <c r="O34" s="42">
        <f t="shared" si="6"/>
        <v>-0.400000000000002</v>
      </c>
      <c r="P34" s="43">
        <f t="shared" si="0"/>
        <v>35.5110748800001</v>
      </c>
      <c r="Q34" s="42">
        <f t="shared" si="7"/>
        <v>0.5</v>
      </c>
      <c r="R34" s="42">
        <f t="shared" si="7"/>
        <v>-0.300000000000001</v>
      </c>
      <c r="S34" s="43">
        <f t="shared" si="5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6"/>
        <v>2.89999999999998</v>
      </c>
      <c r="O35" s="42">
        <f t="shared" si="6"/>
        <v>-0.400000000000002</v>
      </c>
      <c r="P35" s="43">
        <f t="shared" si="0"/>
        <v>10.2248038699999</v>
      </c>
      <c r="Q35" s="42">
        <f t="shared" si="7"/>
        <v>-0.399999999999977</v>
      </c>
      <c r="R35" s="42">
        <f t="shared" si="7"/>
        <v>-0.300000000000001</v>
      </c>
      <c r="S35" s="43">
        <f t="shared" si="5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6"/>
        <v>5.10000000000002</v>
      </c>
      <c r="O36" s="42">
        <f t="shared" si="6"/>
        <v>-0.300000000000001</v>
      </c>
      <c r="P36" s="43">
        <f t="shared" si="0"/>
        <v>18.7077585300001</v>
      </c>
      <c r="Q36" s="42">
        <f t="shared" si="7"/>
        <v>0.100000000000023</v>
      </c>
      <c r="R36" s="42">
        <f t="shared" si="7"/>
        <v>-0.199999999999999</v>
      </c>
      <c r="S36" s="43">
        <f t="shared" si="5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6"/>
        <v>4.89999999999998</v>
      </c>
      <c r="O37" s="42">
        <f t="shared" si="6"/>
        <v>-0.300000000000001</v>
      </c>
      <c r="P37" s="43">
        <f t="shared" si="0"/>
        <v>17.9529444699999</v>
      </c>
      <c r="Q37" s="42">
        <f t="shared" si="7"/>
        <v>0.200000000000045</v>
      </c>
      <c r="R37" s="42">
        <f t="shared" si="7"/>
        <v>-0.199999999999999</v>
      </c>
      <c r="S37" s="43">
        <f t="shared" si="5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6"/>
        <v>0.799999999999955</v>
      </c>
      <c r="O38" s="42">
        <f t="shared" si="6"/>
        <v>-0.400000000000002</v>
      </c>
      <c r="P38" s="43">
        <f t="shared" si="0"/>
        <v>2.29925623999982</v>
      </c>
      <c r="Q38" s="42">
        <f t="shared" si="7"/>
        <v>-0.300000000000068</v>
      </c>
      <c r="R38" s="42">
        <f t="shared" si="7"/>
        <v>-0.300000000000001</v>
      </c>
      <c r="S38" s="43">
        <f t="shared" si="5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6"/>
        <v>2.30000000000007</v>
      </c>
      <c r="O39" s="42">
        <f t="shared" si="6"/>
        <v>-0.300000000000001</v>
      </c>
      <c r="P39" s="43">
        <f t="shared" si="0"/>
        <v>8.14036169000026</v>
      </c>
      <c r="Q39" s="42">
        <f t="shared" si="7"/>
        <v>-0.199999999999932</v>
      </c>
      <c r="R39" s="42">
        <f t="shared" si="7"/>
        <v>-0.199999999999999</v>
      </c>
      <c r="S39" s="43">
        <f t="shared" si="5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6"/>
        <v>2.89999999999998</v>
      </c>
      <c r="O40" s="42">
        <f t="shared" si="6"/>
        <v>-0.300000000000001</v>
      </c>
      <c r="P40" s="43">
        <f t="shared" si="0"/>
        <v>10.4048038699999</v>
      </c>
      <c r="Q40" s="42">
        <f t="shared" si="7"/>
        <v>0.399999999999977</v>
      </c>
      <c r="R40" s="42">
        <f t="shared" si="7"/>
        <v>-0.199999999999999</v>
      </c>
      <c r="S40" s="43">
        <f t="shared" si="5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6"/>
        <v>2</v>
      </c>
      <c r="O41" s="42">
        <f t="shared" si="6"/>
        <v>-0.300000000000001</v>
      </c>
      <c r="P41" s="43">
        <f t="shared" si="0"/>
        <v>7.0081406</v>
      </c>
      <c r="Q41" s="42">
        <f t="shared" si="7"/>
        <v>0.0999999999999091</v>
      </c>
      <c r="R41" s="42">
        <f t="shared" si="7"/>
        <v>-0.300000000000001</v>
      </c>
      <c r="S41" s="43">
        <f t="shared" si="5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6"/>
        <v>1.59999999999991</v>
      </c>
      <c r="O42" s="42">
        <f t="shared" si="6"/>
        <v>-0.199999999999999</v>
      </c>
      <c r="P42" s="43">
        <f t="shared" si="0"/>
        <v>5.67851247999966</v>
      </c>
      <c r="Q42" s="42">
        <f t="shared" si="7"/>
        <v>-0.400000000000091</v>
      </c>
      <c r="R42" s="42">
        <f t="shared" si="7"/>
        <v>-0.300000000000001</v>
      </c>
      <c r="S42" s="43">
        <f t="shared" si="5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tabSelected="1" workbookViewId="0">
      <selection activeCell="A27" sqref="A27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A1" sqref="A1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A2" sqref="A2:E15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 t="s">
        <v>97</v>
      </c>
      <c r="B2" s="1" t="s">
        <v>98</v>
      </c>
      <c r="C2">
        <v>0</v>
      </c>
      <c r="D2">
        <v>1.71951</v>
      </c>
      <c r="E2">
        <v>0</v>
      </c>
      <c r="F2">
        <v>0</v>
      </c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 t="s">
        <v>45</v>
      </c>
      <c r="B3" s="70" t="s">
        <v>97</v>
      </c>
      <c r="C3">
        <v>1.34327</v>
      </c>
      <c r="D3">
        <v>1.71951</v>
      </c>
      <c r="E3">
        <v>0.37624</v>
      </c>
      <c r="F3">
        <v>-376.24</v>
      </c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 t="s">
        <v>46</v>
      </c>
      <c r="B4" s="39" t="s">
        <v>97</v>
      </c>
      <c r="C4">
        <v>1.36554</v>
      </c>
      <c r="D4">
        <v>1.71951</v>
      </c>
      <c r="E4">
        <v>0.35397</v>
      </c>
      <c r="F4">
        <v>-353.97</v>
      </c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 t="s">
        <v>47</v>
      </c>
      <c r="B5" s="39" t="s">
        <v>97</v>
      </c>
      <c r="C5">
        <v>1.38873</v>
      </c>
      <c r="D5">
        <v>1.71951</v>
      </c>
      <c r="E5">
        <v>0.33078</v>
      </c>
      <c r="F5">
        <v>-330.78</v>
      </c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 t="s">
        <v>48</v>
      </c>
      <c r="B6" s="39" t="s">
        <v>97</v>
      </c>
      <c r="C6">
        <v>1.74934</v>
      </c>
      <c r="D6">
        <v>1.71951</v>
      </c>
      <c r="E6">
        <v>-0.0298299999999998</v>
      </c>
      <c r="F6">
        <v>29.8299999999998</v>
      </c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 t="s">
        <v>49</v>
      </c>
      <c r="B7" s="39" t="s">
        <v>97</v>
      </c>
      <c r="C7">
        <v>1.72875</v>
      </c>
      <c r="D7">
        <v>1.71951</v>
      </c>
      <c r="E7">
        <v>-0.00923999999999991</v>
      </c>
      <c r="F7">
        <v>9.23999999999991</v>
      </c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 t="s">
        <v>50</v>
      </c>
      <c r="B8" s="39" t="s">
        <v>97</v>
      </c>
      <c r="C8">
        <v>1.6987</v>
      </c>
      <c r="D8">
        <v>1.71951</v>
      </c>
      <c r="E8">
        <v>0.02081</v>
      </c>
      <c r="F8">
        <v>-20.81</v>
      </c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 t="s">
        <v>51</v>
      </c>
      <c r="B9" s="39" t="s">
        <v>97</v>
      </c>
      <c r="C9">
        <v>1.67526</v>
      </c>
      <c r="D9">
        <v>1.71951</v>
      </c>
      <c r="E9">
        <v>0.0442500000000001</v>
      </c>
      <c r="F9">
        <v>-44.2500000000001</v>
      </c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 t="s">
        <v>52</v>
      </c>
      <c r="B10" s="39" t="s">
        <v>97</v>
      </c>
      <c r="C10">
        <v>1.66155</v>
      </c>
      <c r="D10">
        <v>1.71951</v>
      </c>
      <c r="E10">
        <v>0.05796</v>
      </c>
      <c r="F10">
        <v>-57.96</v>
      </c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 t="s">
        <v>53</v>
      </c>
      <c r="B11" s="39" t="s">
        <v>97</v>
      </c>
      <c r="C11">
        <v>1.64923</v>
      </c>
      <c r="D11">
        <v>1.71951</v>
      </c>
      <c r="E11">
        <v>0.0702800000000001</v>
      </c>
      <c r="F11">
        <v>-70.2800000000001</v>
      </c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1" t="s">
        <v>99</v>
      </c>
      <c r="B12" s="71" t="s">
        <v>52</v>
      </c>
      <c r="C12">
        <v>1.66053</v>
      </c>
      <c r="D12">
        <v>1.72431</v>
      </c>
      <c r="E12">
        <v>0.12174</v>
      </c>
      <c r="F12">
        <v>-121.74</v>
      </c>
      <c r="K12" s="71" t="s">
        <v>99</v>
      </c>
      <c r="L12" s="71" t="s">
        <v>52</v>
      </c>
      <c r="M12">
        <v>1.66053</v>
      </c>
      <c r="N12">
        <v>1.72431</v>
      </c>
    </row>
    <row r="13" spans="1:14">
      <c r="A13" s="71" t="s">
        <v>100</v>
      </c>
      <c r="B13" s="71" t="s">
        <v>52</v>
      </c>
      <c r="C13">
        <v>1.66256</v>
      </c>
      <c r="D13">
        <v>1.72352</v>
      </c>
      <c r="E13">
        <v>0.11892</v>
      </c>
      <c r="F13">
        <v>-118.92</v>
      </c>
      <c r="K13" s="71" t="s">
        <v>100</v>
      </c>
      <c r="L13" s="71" t="s">
        <v>52</v>
      </c>
      <c r="M13">
        <v>1.66256</v>
      </c>
      <c r="N13">
        <v>1.72352</v>
      </c>
    </row>
    <row r="14" spans="1:14">
      <c r="A14" s="71" t="s">
        <v>101</v>
      </c>
      <c r="B14" s="70" t="s">
        <v>102</v>
      </c>
      <c r="C14">
        <v>1.64823</v>
      </c>
      <c r="D14">
        <v>1.71828</v>
      </c>
      <c r="E14">
        <v>0.14033</v>
      </c>
      <c r="F14">
        <v>-140.33</v>
      </c>
      <c r="K14" s="71" t="s">
        <v>101</v>
      </c>
      <c r="L14" s="70" t="s">
        <v>102</v>
      </c>
      <c r="M14">
        <v>1.64823</v>
      </c>
      <c r="N14">
        <v>1.71828</v>
      </c>
    </row>
    <row r="15" spans="1:14">
      <c r="A15" s="71" t="s">
        <v>103</v>
      </c>
      <c r="B15" s="71" t="s">
        <v>101</v>
      </c>
      <c r="C15">
        <v>1.65823</v>
      </c>
      <c r="D15">
        <v>1.71639</v>
      </c>
      <c r="E15">
        <v>0.19849</v>
      </c>
      <c r="F15">
        <v>-198.49</v>
      </c>
      <c r="K15" s="71" t="s">
        <v>103</v>
      </c>
      <c r="L15" s="71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2018-12-17T14:17:24Z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