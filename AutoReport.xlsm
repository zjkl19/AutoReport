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3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<sst xmlns="http://schemas.openxmlformats.org/spreadsheetml/2006/main" count="104">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</sst>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44" formatCode="_ &quot;￥&quot;* #,##0.00_ ;_ &quot;￥&quot;* \-#,##0.00_ ;_ &quot;￥&quot;* &quot;-&quot;??_ ;_ @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7" fillId="28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0" borderId="15" applyNumberFormat="0" applyFon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10" fillId="0" borderId="13" applyNumberFormat="0" applyFill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6" fillId="0" borderId="18" applyNumberFormat="0" applyFill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3" fillId="7" borderId="14" applyNumberFormat="0" applyAlignment="0" applyProtection="0">
      <alignment vertical="center"/>
    </xf>
    <xf numFmtId="0" fontId="4" fillId="7" borderId="11" applyNumberFormat="0" applyAlignment="0" applyProtection="0">
      <alignment vertical="center"/>
    </xf>
    <xf numFmtId="0" fontId="9" fillId="15" borderId="12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A1" sqref="A1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F17" sqref="F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f t="shared" ref="P15:P42" si="0">3.7*1.020019*(N15)+1.8*(O15)</f>
        <v>9.27258278000009</v>
      </c>
      <c r="Q15" s="42">
        <v>0.600000000000023</v>
      </c>
      <c r="R15" s="42"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v>1.80000000000007</v>
      </c>
      <c r="O16" s="42">
        <v>-0.199999999999999</v>
      </c>
      <c r="P16" s="43">
        <f t="shared" si="0"/>
        <v>6.43332654000026</v>
      </c>
      <c r="Q16" s="42">
        <v>0.399999999999977</v>
      </c>
      <c r="R16" s="42">
        <v>-0.299999999999997</v>
      </c>
      <c r="S16" s="43">
        <f t="shared" ref="S16:S30" si="1">IF(3.7*1.020019*(Q16)+1.8*(R16)&gt;=0,3.7*1.020019*(Q16)+1.8*(R16),0)</f>
        <v>0.969628119999919</v>
      </c>
      <c r="T16" s="51">
        <v>0.4</v>
      </c>
      <c r="U16" s="35">
        <f t="shared" ref="U16:U42" si="2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v>2.89999999999998</v>
      </c>
      <c r="O17" s="42">
        <v>-0.199999999999999</v>
      </c>
      <c r="P17" s="43">
        <f t="shared" si="0"/>
        <v>10.5848038699999</v>
      </c>
      <c r="Q17" s="42">
        <v>0.600000000000023</v>
      </c>
      <c r="R17" s="42">
        <v>-0.300000000000001</v>
      </c>
      <c r="S17" s="43">
        <f t="shared" si="1"/>
        <v>1.72444218000008</v>
      </c>
      <c r="T17" s="52">
        <v>0.6</v>
      </c>
      <c r="U17" s="36">
        <f t="shared" si="2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v>0.800000000000011</v>
      </c>
      <c r="O18" s="42">
        <v>-0.199999999999999</v>
      </c>
      <c r="P18" s="43">
        <f t="shared" si="0"/>
        <v>2.65925624000004</v>
      </c>
      <c r="Q18" s="42">
        <v>-1.89999999999998</v>
      </c>
      <c r="R18" s="42">
        <v>-0.300000000000001</v>
      </c>
      <c r="S18" s="43">
        <f t="shared" si="1"/>
        <v>0</v>
      </c>
      <c r="T18" s="53">
        <v>0.8</v>
      </c>
      <c r="U18" s="35">
        <f t="shared" si="2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v>4.10000000000002</v>
      </c>
      <c r="O19" s="42">
        <v>-0.199999999999999</v>
      </c>
      <c r="P19" s="43">
        <f t="shared" si="0"/>
        <v>15.1136882300001</v>
      </c>
      <c r="Q19" s="42">
        <v>-1.20000000000005</v>
      </c>
      <c r="R19" s="42">
        <v>-0.400000000000002</v>
      </c>
      <c r="S19" s="43">
        <f t="shared" si="1"/>
        <v>0</v>
      </c>
      <c r="T19" s="53">
        <v>1</v>
      </c>
      <c r="U19" s="35">
        <f t="shared" si="2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v>4.5</v>
      </c>
      <c r="O20" s="42">
        <v>-0.199999999999999</v>
      </c>
      <c r="P20" s="43">
        <f t="shared" si="0"/>
        <v>16.62331635</v>
      </c>
      <c r="Q20" s="42">
        <v>0.399999999999977</v>
      </c>
      <c r="R20" s="42">
        <v>-0.300000000000001</v>
      </c>
      <c r="S20" s="43">
        <f t="shared" si="1"/>
        <v>0.969628119999913</v>
      </c>
      <c r="T20" s="53">
        <v>1.4</v>
      </c>
      <c r="U20" s="35">
        <f t="shared" si="2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v>1.19999999999999</v>
      </c>
      <c r="O21" s="42">
        <v>-0.199999999999999</v>
      </c>
      <c r="P21" s="43">
        <f t="shared" si="0"/>
        <v>4.16888435999996</v>
      </c>
      <c r="Q21" s="42">
        <v>-0.199999999999989</v>
      </c>
      <c r="R21" s="42">
        <v>-0.300000000000001</v>
      </c>
      <c r="S21" s="43">
        <f t="shared" si="1"/>
        <v>0</v>
      </c>
      <c r="T21" s="54">
        <v>1.9</v>
      </c>
      <c r="U21" s="37">
        <f t="shared" si="2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v>6.39999999999998</v>
      </c>
      <c r="O22" s="42">
        <v>-0.0999999999999979</v>
      </c>
      <c r="P22" s="43">
        <f t="shared" si="0"/>
        <v>23.9740499199999</v>
      </c>
      <c r="Q22" s="42">
        <v>0.100000000000023</v>
      </c>
      <c r="R22" s="42">
        <v>-0.199999999999999</v>
      </c>
      <c r="S22" s="43">
        <f t="shared" si="1"/>
        <v>0.0174070300000871</v>
      </c>
      <c r="T22" s="53">
        <v>2.9</v>
      </c>
      <c r="U22" s="35">
        <f t="shared" si="2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v>7.79999999999995</v>
      </c>
      <c r="O23" s="42">
        <v>-0.0999999999999979</v>
      </c>
      <c r="P23" s="43">
        <f t="shared" si="0"/>
        <v>29.2577483399998</v>
      </c>
      <c r="Q23" s="42">
        <v>0.200000000000045</v>
      </c>
      <c r="R23" s="42">
        <v>-0.199999999999999</v>
      </c>
      <c r="S23" s="43">
        <f t="shared" si="1"/>
        <v>0.394814060000173</v>
      </c>
      <c r="T23" s="53">
        <v>3.2</v>
      </c>
      <c r="U23" s="35">
        <f t="shared" si="2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v>2.69999999999993</v>
      </c>
      <c r="O24" s="42">
        <v>-0.199999999999999</v>
      </c>
      <c r="P24" s="43">
        <f t="shared" si="0"/>
        <v>9.82998980999974</v>
      </c>
      <c r="Q24" s="42">
        <v>-0.200000000000045</v>
      </c>
      <c r="R24" s="42">
        <v>-0.199999999999999</v>
      </c>
      <c r="S24" s="43">
        <f t="shared" si="1"/>
        <v>0</v>
      </c>
      <c r="T24" s="54">
        <v>3.6</v>
      </c>
      <c r="U24" s="37">
        <f t="shared" si="2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v>10.6</v>
      </c>
      <c r="O25" s="42">
        <v>-0.0999999999999979</v>
      </c>
      <c r="P25" s="43">
        <f t="shared" si="0"/>
        <v>39.8251451800001</v>
      </c>
      <c r="Q25" s="42">
        <v>-0.100000000000023</v>
      </c>
      <c r="R25" s="42">
        <v>-0.199999999999999</v>
      </c>
      <c r="S25" s="43">
        <f t="shared" si="1"/>
        <v>0</v>
      </c>
      <c r="T25" s="53">
        <v>3.5</v>
      </c>
      <c r="U25" s="35">
        <f t="shared" si="2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v>11.5</v>
      </c>
      <c r="O26" s="42">
        <v>-0.100000000000001</v>
      </c>
      <c r="P26" s="43">
        <f t="shared" si="0"/>
        <v>43.22180845</v>
      </c>
      <c r="Q26" s="42">
        <v>0.399999999999977</v>
      </c>
      <c r="R26" s="42">
        <v>-0.199999999999999</v>
      </c>
      <c r="S26" s="43">
        <f t="shared" si="1"/>
        <v>1.14962811999992</v>
      </c>
      <c r="T26" s="53">
        <v>3.6</v>
      </c>
      <c r="U26" s="35">
        <f t="shared" si="2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v>9.09999999999991</v>
      </c>
      <c r="O27" s="42">
        <v>-0.199999999999999</v>
      </c>
      <c r="P27" s="43">
        <f t="shared" si="0"/>
        <v>33.9840397299997</v>
      </c>
      <c r="Q27" s="42">
        <v>0.199999999999932</v>
      </c>
      <c r="R27" s="42">
        <v>-0.300000000000001</v>
      </c>
      <c r="S27" s="43">
        <f t="shared" si="1"/>
        <v>0.214814059999741</v>
      </c>
      <c r="T27" s="54">
        <v>3.1</v>
      </c>
      <c r="U27" s="37">
        <f t="shared" si="2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v>10.8</v>
      </c>
      <c r="O28" s="44">
        <v>-0.100000000000001</v>
      </c>
      <c r="P28" s="45">
        <f t="shared" si="0"/>
        <v>40.5799592399998</v>
      </c>
      <c r="Q28" s="44">
        <v>-0.400000000000091</v>
      </c>
      <c r="R28" s="44">
        <v>-0.199999999999999</v>
      </c>
      <c r="S28" s="43">
        <f t="shared" si="1"/>
        <v>0</v>
      </c>
      <c r="T28" s="55">
        <v>2.9</v>
      </c>
      <c r="U28" s="36">
        <f t="shared" si="2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v>12.1</v>
      </c>
      <c r="O29" s="46">
        <v>-0.5</v>
      </c>
      <c r="P29" s="47">
        <f t="shared" si="0"/>
        <v>44.7662506300001</v>
      </c>
      <c r="Q29" s="46">
        <v>1</v>
      </c>
      <c r="R29" s="46">
        <v>-0.400000000000002</v>
      </c>
      <c r="S29" s="56">
        <f t="shared" si="1"/>
        <v>3.0540703</v>
      </c>
      <c r="T29" s="57">
        <v>2.9</v>
      </c>
      <c r="U29" s="38">
        <f t="shared" si="2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v>9.80000000000007</v>
      </c>
      <c r="O30" s="42">
        <v>-0.399999999999999</v>
      </c>
      <c r="P30" s="43">
        <f t="shared" si="0"/>
        <v>36.2658889400003</v>
      </c>
      <c r="Q30" s="42">
        <v>0.399999999999977</v>
      </c>
      <c r="R30" s="42">
        <v>-0.299999999999997</v>
      </c>
      <c r="S30" s="43">
        <f t="shared" si="1"/>
        <v>0.969628119999919</v>
      </c>
      <c r="T30" s="54">
        <v>3</v>
      </c>
      <c r="U30" s="37">
        <f t="shared" si="2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v>12.6</v>
      </c>
      <c r="O31" s="42">
        <v>-0.400000000000002</v>
      </c>
      <c r="P31" s="43">
        <f t="shared" si="0"/>
        <v>46.8332857800001</v>
      </c>
      <c r="Q31" s="42">
        <v>0.700000000000045</v>
      </c>
      <c r="R31" s="42">
        <v>-0.100000000000001</v>
      </c>
      <c r="S31" s="43">
        <f t="shared" ref="S31:S42" si="3">IF(3.7*1.020019*(Q31)+1.8*(R31)&gt;=0,3.7*1.020019*(Q31)+1.8*(R31),0)</f>
        <v>2.46184921000017</v>
      </c>
      <c r="T31" s="53">
        <v>3.6</v>
      </c>
      <c r="U31" s="35">
        <f t="shared" si="2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v>7</v>
      </c>
      <c r="O32" s="42">
        <v>-0.400000000000002</v>
      </c>
      <c r="P32" s="43">
        <f t="shared" si="0"/>
        <v>25.6984921</v>
      </c>
      <c r="Q32" s="42">
        <v>-3.89999999999998</v>
      </c>
      <c r="R32" s="42">
        <v>-0.300000000000001</v>
      </c>
      <c r="S32" s="43">
        <f t="shared" si="3"/>
        <v>0</v>
      </c>
      <c r="T32" s="53">
        <v>3.4</v>
      </c>
      <c r="U32" s="35">
        <f t="shared" si="2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v>10.6999999999999</v>
      </c>
      <c r="O33" s="42">
        <v>-0.400000000000002</v>
      </c>
      <c r="P33" s="43">
        <f t="shared" si="0"/>
        <v>39.6625522099997</v>
      </c>
      <c r="Q33" s="42">
        <v>-2.20000000000005</v>
      </c>
      <c r="R33" s="42">
        <v>-0.300000000000001</v>
      </c>
      <c r="S33" s="43">
        <f t="shared" si="3"/>
        <v>0</v>
      </c>
      <c r="T33" s="54">
        <v>3.6</v>
      </c>
      <c r="U33" s="37">
        <f t="shared" si="2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v>9.60000000000002</v>
      </c>
      <c r="O34" s="42">
        <v>-0.400000000000002</v>
      </c>
      <c r="P34" s="43">
        <f t="shared" si="0"/>
        <v>35.5110748800001</v>
      </c>
      <c r="Q34" s="42">
        <v>0.5</v>
      </c>
      <c r="R34" s="42">
        <v>-0.300000000000001</v>
      </c>
      <c r="S34" s="43">
        <f t="shared" si="3"/>
        <v>1.34703515</v>
      </c>
      <c r="T34" s="53">
        <v>3.2</v>
      </c>
      <c r="U34" s="35">
        <f t="shared" si="2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v>2.89999999999998</v>
      </c>
      <c r="O35" s="42">
        <v>-0.400000000000002</v>
      </c>
      <c r="P35" s="43">
        <f t="shared" si="0"/>
        <v>10.2248038699999</v>
      </c>
      <c r="Q35" s="42">
        <v>-0.399999999999977</v>
      </c>
      <c r="R35" s="42">
        <v>-0.300000000000001</v>
      </c>
      <c r="S35" s="43">
        <f t="shared" si="3"/>
        <v>0</v>
      </c>
      <c r="T35" s="53">
        <v>3</v>
      </c>
      <c r="U35" s="35">
        <f t="shared" si="2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v>5.10000000000002</v>
      </c>
      <c r="O36" s="42">
        <v>-0.300000000000001</v>
      </c>
      <c r="P36" s="43">
        <f t="shared" si="0"/>
        <v>18.7077585300001</v>
      </c>
      <c r="Q36" s="42">
        <v>0.100000000000023</v>
      </c>
      <c r="R36" s="42">
        <v>-0.199999999999999</v>
      </c>
      <c r="S36" s="43">
        <f t="shared" si="3"/>
        <v>0.0174070300000871</v>
      </c>
      <c r="T36" s="54">
        <v>2</v>
      </c>
      <c r="U36" s="37">
        <f t="shared" si="2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v>4.89999999999998</v>
      </c>
      <c r="O37" s="42">
        <v>-0.300000000000001</v>
      </c>
      <c r="P37" s="43">
        <f t="shared" si="0"/>
        <v>17.9529444699999</v>
      </c>
      <c r="Q37" s="42">
        <v>0.200000000000045</v>
      </c>
      <c r="R37" s="42">
        <v>-0.199999999999999</v>
      </c>
      <c r="S37" s="43">
        <f t="shared" si="3"/>
        <v>0.394814060000173</v>
      </c>
      <c r="T37" s="53">
        <v>1.4</v>
      </c>
      <c r="U37" s="35">
        <f t="shared" si="2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v>0.799999999999955</v>
      </c>
      <c r="O38" s="42">
        <v>-0.400000000000002</v>
      </c>
      <c r="P38" s="43">
        <f t="shared" si="0"/>
        <v>2.29925623999982</v>
      </c>
      <c r="Q38" s="42">
        <v>-0.300000000000068</v>
      </c>
      <c r="R38" s="42">
        <v>-0.300000000000001</v>
      </c>
      <c r="S38" s="43">
        <f t="shared" si="3"/>
        <v>0</v>
      </c>
      <c r="T38" s="53">
        <v>1.1</v>
      </c>
      <c r="U38" s="35">
        <f t="shared" si="2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v>2.30000000000007</v>
      </c>
      <c r="O39" s="42">
        <v>-0.300000000000001</v>
      </c>
      <c r="P39" s="43">
        <f t="shared" si="0"/>
        <v>8.14036169000026</v>
      </c>
      <c r="Q39" s="42">
        <v>-0.199999999999932</v>
      </c>
      <c r="R39" s="42">
        <v>-0.199999999999999</v>
      </c>
      <c r="S39" s="43">
        <f t="shared" si="3"/>
        <v>0</v>
      </c>
      <c r="T39" s="54">
        <v>0.8</v>
      </c>
      <c r="U39" s="37">
        <f t="shared" si="2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v>2.89999999999998</v>
      </c>
      <c r="O40" s="42">
        <v>-0.300000000000001</v>
      </c>
      <c r="P40" s="43">
        <f t="shared" si="0"/>
        <v>10.4048038699999</v>
      </c>
      <c r="Q40" s="42">
        <v>0.399999999999977</v>
      </c>
      <c r="R40" s="42">
        <v>-0.199999999999999</v>
      </c>
      <c r="S40" s="43">
        <f t="shared" si="3"/>
        <v>1.14962811999992</v>
      </c>
      <c r="T40" s="53">
        <v>0.6</v>
      </c>
      <c r="U40" s="35">
        <f t="shared" si="2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v>2</v>
      </c>
      <c r="O41" s="42">
        <v>-0.300000000000001</v>
      </c>
      <c r="P41" s="43">
        <f t="shared" si="0"/>
        <v>7.0081406</v>
      </c>
      <c r="Q41" s="42">
        <v>0.0999999999999091</v>
      </c>
      <c r="R41" s="42">
        <v>-0.300000000000001</v>
      </c>
      <c r="S41" s="43">
        <f t="shared" si="3"/>
        <v>0</v>
      </c>
      <c r="T41" s="53">
        <v>0.4</v>
      </c>
      <c r="U41" s="35">
        <f t="shared" si="2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v>1.59999999999991</v>
      </c>
      <c r="O42" s="42">
        <v>-0.199999999999999</v>
      </c>
      <c r="P42" s="43">
        <f t="shared" si="0"/>
        <v>5.67851247999966</v>
      </c>
      <c r="Q42" s="42">
        <v>-0.400000000000091</v>
      </c>
      <c r="R42" s="42">
        <v>-0.300000000000001</v>
      </c>
      <c r="S42" s="43">
        <f t="shared" si="3"/>
        <v>0</v>
      </c>
      <c r="T42" s="54">
        <v>0.3</v>
      </c>
      <c r="U42" s="37">
        <f t="shared" si="2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opLeftCell="A4" workbookViewId="0">
      <selection activeCell="B3" sqref="B3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tabSelected="1"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 t="s">
        <v>99</v>
      </c>
      <c r="B12" s="70" t="s">
        <v>52</v>
      </c>
      <c r="C12">
        <v>1.66053</v>
      </c>
      <c r="D12">
        <v>1.72431</v>
      </c>
      <c r="E12">
        <v>0.12174</v>
      </c>
      <c r="F12">
        <v>-121.74</v>
      </c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 t="s">
        <v>100</v>
      </c>
      <c r="B13" s="70" t="s">
        <v>52</v>
      </c>
      <c r="C13">
        <v>1.66256</v>
      </c>
      <c r="D13">
        <v>1.72352</v>
      </c>
      <c r="E13">
        <v>0.11892</v>
      </c>
      <c r="F13">
        <v>-118.92</v>
      </c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 t="s">
        <v>103</v>
      </c>
      <c r="B15" s="70" t="s">
        <v>101</v>
      </c>
      <c r="C15">
        <v>1.65823</v>
      </c>
      <c r="D15">
        <v>1.71639</v>
      </c>
      <c r="E15">
        <v>0.19849</v>
      </c>
      <c r="F15">
        <v>-198.49</v>
      </c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2018-12-19T08:34:55Z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