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44525" refMode="R1C1"/>
</workbook>
</file>

<file path=xl/sharedStrings.xml><?xml version="1.0" encoding="utf-8"?>
<sst xmlns="http://schemas.openxmlformats.org/spreadsheetml/2006/main" count="104">
  <si>
    <t>CopyRight 2018 - 福建省建筑科学研究院 - 福建省建筑工程质量检测中心有限公司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</si>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</sst>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0.00_ "/>
    <numFmt numFmtId="177" formatCode="0_ "/>
    <numFmt numFmtId="41" formatCode="_ * #,##0_ ;_ * \-#,##0_ ;_ * &quot;-&quot;_ ;_ @_ "/>
    <numFmt numFmtId="178" formatCode="0.0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8" fillId="25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7" borderId="14" applyNumberFormat="0" applyFon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12" applyNumberFormat="0" applyFill="0" applyAlignment="0" applyProtection="0">
      <alignment vertical="center"/>
    </xf>
    <xf numFmtId="0" fontId="5" fillId="0" borderId="12" applyNumberFormat="0" applyFill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8" fillId="0" borderId="16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2" fillId="16" borderId="13" applyNumberFormat="0" applyAlignment="0" applyProtection="0">
      <alignment vertical="center"/>
    </xf>
    <xf numFmtId="0" fontId="19" fillId="16" borderId="17" applyNumberFormat="0" applyAlignment="0" applyProtection="0">
      <alignment vertical="center"/>
    </xf>
    <xf numFmtId="0" fontId="4" fillId="7" borderId="11" applyNumberFormat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20" fillId="0" borderId="18" applyNumberFormat="0" applyFill="0" applyAlignment="0" applyProtection="0">
      <alignment vertical="center"/>
    </xf>
    <xf numFmtId="0" fontId="14" fillId="0" borderId="15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</cellStyleXfs>
  <cellXfs count="7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2085975" y="819150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86525" y="9048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67475" y="4572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8669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12573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[0]!AutoGraph_Click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9220200" y="2505075"/>
              <a:ext cx="97155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WordDisp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580390</xdr:colOff>
          <xdr:row>8</xdr:row>
          <xdr:rowOff>123825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200150"/>
              <a:ext cx="1132840" cy="2952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导出Word计算书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579120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8.xml"/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8"/>
  <sheetViews>
    <sheetView tabSelected="1" workbookViewId="0">
      <selection activeCell="D8" sqref="D8"/>
    </sheetView>
  </sheetViews>
  <sheetFormatPr defaultColWidth="9" defaultRowHeight="13.5" outlineLevelRow="7" outlineLevelCol="3"/>
  <sheetData>
    <row r="8" spans="4:4">
      <c r="D8" s="1" t="s">
        <v>0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E9" sqref="E9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21">
      <c r="A8" s="1" t="s">
        <v>19</v>
      </c>
      <c r="B8" s="2">
        <v>0.186</v>
      </c>
      <c r="D8" s="2">
        <v>0.1105</v>
      </c>
      <c r="U8" s="1" t="s">
        <v>20</v>
      </c>
    </row>
    <row r="9" spans="2:4">
      <c r="B9" s="2"/>
      <c r="D9" s="2"/>
    </row>
    <row r="10" spans="2:4">
      <c r="B10" s="2"/>
      <c r="D10" s="2"/>
    </row>
    <row r="1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30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ref="S31:S42" si="5">IF(3.7*1.020019*(Q31)+1.8*(R31)&gt;=0,3.7*1.020019*(Q31)+1.8*(R31),0)</f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6">E32-C32</f>
        <v>7</v>
      </c>
      <c r="O32" s="42">
        <f t="shared" si="6"/>
        <v>-0.400000000000002</v>
      </c>
      <c r="P32" s="43">
        <f t="shared" si="0"/>
        <v>25.6984921</v>
      </c>
      <c r="Q32" s="42">
        <f t="shared" ref="Q32:R42" si="7">G32-C32</f>
        <v>-3.89999999999998</v>
      </c>
      <c r="R32" s="42">
        <f t="shared" si="7"/>
        <v>-0.300000000000001</v>
      </c>
      <c r="S32" s="43">
        <f t="shared" si="5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6"/>
        <v>10.6999999999999</v>
      </c>
      <c r="O33" s="42">
        <f t="shared" si="6"/>
        <v>-0.400000000000002</v>
      </c>
      <c r="P33" s="43">
        <f t="shared" si="0"/>
        <v>39.6625522099997</v>
      </c>
      <c r="Q33" s="42">
        <f t="shared" si="7"/>
        <v>-2.20000000000005</v>
      </c>
      <c r="R33" s="42">
        <f t="shared" si="7"/>
        <v>-0.300000000000001</v>
      </c>
      <c r="S33" s="43">
        <f t="shared" si="5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6"/>
        <v>9.60000000000002</v>
      </c>
      <c r="O34" s="42">
        <f t="shared" si="6"/>
        <v>-0.400000000000002</v>
      </c>
      <c r="P34" s="43">
        <f t="shared" si="0"/>
        <v>35.5110748800001</v>
      </c>
      <c r="Q34" s="42">
        <f t="shared" si="7"/>
        <v>0.5</v>
      </c>
      <c r="R34" s="42">
        <f t="shared" si="7"/>
        <v>-0.300000000000001</v>
      </c>
      <c r="S34" s="43">
        <f t="shared" si="5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6"/>
        <v>2.89999999999998</v>
      </c>
      <c r="O35" s="42">
        <f t="shared" si="6"/>
        <v>-0.400000000000002</v>
      </c>
      <c r="P35" s="43">
        <f t="shared" si="0"/>
        <v>10.2248038699999</v>
      </c>
      <c r="Q35" s="42">
        <f t="shared" si="7"/>
        <v>-0.399999999999977</v>
      </c>
      <c r="R35" s="42">
        <f t="shared" si="7"/>
        <v>-0.300000000000001</v>
      </c>
      <c r="S35" s="43">
        <f t="shared" si="5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6"/>
        <v>5.10000000000002</v>
      </c>
      <c r="O36" s="42">
        <f t="shared" si="6"/>
        <v>-0.300000000000001</v>
      </c>
      <c r="P36" s="43">
        <f t="shared" si="0"/>
        <v>18.7077585300001</v>
      </c>
      <c r="Q36" s="42">
        <f t="shared" si="7"/>
        <v>0.100000000000023</v>
      </c>
      <c r="R36" s="42">
        <f t="shared" si="7"/>
        <v>-0.199999999999999</v>
      </c>
      <c r="S36" s="43">
        <f t="shared" si="5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6"/>
        <v>4.89999999999998</v>
      </c>
      <c r="O37" s="42">
        <f t="shared" si="6"/>
        <v>-0.300000000000001</v>
      </c>
      <c r="P37" s="43">
        <f t="shared" si="0"/>
        <v>17.9529444699999</v>
      </c>
      <c r="Q37" s="42">
        <f t="shared" si="7"/>
        <v>0.200000000000045</v>
      </c>
      <c r="R37" s="42">
        <f t="shared" si="7"/>
        <v>-0.199999999999999</v>
      </c>
      <c r="S37" s="43">
        <f t="shared" si="5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6"/>
        <v>0.799999999999955</v>
      </c>
      <c r="O38" s="42">
        <f t="shared" si="6"/>
        <v>-0.400000000000002</v>
      </c>
      <c r="P38" s="43">
        <f t="shared" si="0"/>
        <v>2.29925623999982</v>
      </c>
      <c r="Q38" s="42">
        <f t="shared" si="7"/>
        <v>-0.300000000000068</v>
      </c>
      <c r="R38" s="42">
        <f t="shared" si="7"/>
        <v>-0.300000000000001</v>
      </c>
      <c r="S38" s="43">
        <f t="shared" si="5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6"/>
        <v>2.30000000000007</v>
      </c>
      <c r="O39" s="42">
        <f t="shared" si="6"/>
        <v>-0.300000000000001</v>
      </c>
      <c r="P39" s="43">
        <f t="shared" si="0"/>
        <v>8.14036169000026</v>
      </c>
      <c r="Q39" s="42">
        <f t="shared" si="7"/>
        <v>-0.199999999999932</v>
      </c>
      <c r="R39" s="42">
        <f t="shared" si="7"/>
        <v>-0.199999999999999</v>
      </c>
      <c r="S39" s="43">
        <f t="shared" si="5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6"/>
        <v>2.89999999999998</v>
      </c>
      <c r="O40" s="42">
        <f t="shared" si="6"/>
        <v>-0.300000000000001</v>
      </c>
      <c r="P40" s="43">
        <f t="shared" si="0"/>
        <v>10.4048038699999</v>
      </c>
      <c r="Q40" s="42">
        <f t="shared" si="7"/>
        <v>0.399999999999977</v>
      </c>
      <c r="R40" s="42">
        <f t="shared" si="7"/>
        <v>-0.199999999999999</v>
      </c>
      <c r="S40" s="43">
        <f t="shared" si="5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6"/>
        <v>2</v>
      </c>
      <c r="O41" s="42">
        <f t="shared" si="6"/>
        <v>-0.300000000000001</v>
      </c>
      <c r="P41" s="43">
        <f t="shared" si="0"/>
        <v>7.0081406</v>
      </c>
      <c r="Q41" s="42">
        <f t="shared" si="7"/>
        <v>0.0999999999999091</v>
      </c>
      <c r="R41" s="42">
        <f t="shared" si="7"/>
        <v>-0.300000000000001</v>
      </c>
      <c r="S41" s="43">
        <f t="shared" si="5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6"/>
        <v>1.59999999999991</v>
      </c>
      <c r="O42" s="42">
        <f t="shared" si="6"/>
        <v>-0.199999999999999</v>
      </c>
      <c r="P42" s="43">
        <f t="shared" si="0"/>
        <v>5.67851247999966</v>
      </c>
      <c r="Q42" s="42">
        <f t="shared" si="7"/>
        <v>-0.400000000000091</v>
      </c>
      <c r="R42" s="42">
        <f t="shared" si="7"/>
        <v>-0.300000000000001</v>
      </c>
      <c r="S42" s="43">
        <f t="shared" si="5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B3" sqref="B3"/>
    </sheetView>
  </sheetViews>
  <sheetFormatPr defaultColWidth="9" defaultRowHeight="13.5"/>
  <cols>
    <col min="1" max="1" width="11.875" customWidth="1"/>
  </cols>
  <sheetData>
    <row r="1" spans="1:2">
      <c r="A1" t="s">
        <v>60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D3">
        <v>2</v>
      </c>
    </row>
    <row r="4" spans="1:4">
      <c r="A4" s="1" t="s">
        <v>61</v>
      </c>
      <c r="B4">
        <v>3.28</v>
      </c>
      <c r="D4">
        <v>3.11</v>
      </c>
    </row>
    <row r="5" spans="1:4">
      <c r="A5" t="s">
        <v>14</v>
      </c>
      <c r="B5">
        <v>0.39</v>
      </c>
      <c r="D5">
        <v>0.37</v>
      </c>
    </row>
    <row r="6" spans="1:4">
      <c r="A6" t="s">
        <v>15</v>
      </c>
      <c r="B6">
        <v>0.93</v>
      </c>
      <c r="D6">
        <v>1</v>
      </c>
    </row>
    <row r="7" spans="1:4">
      <c r="A7" s="1" t="s">
        <v>62</v>
      </c>
      <c r="B7" s="2">
        <v>0</v>
      </c>
      <c r="D7" s="2">
        <v>0</v>
      </c>
    </row>
    <row r="8" spans="1:4">
      <c r="A8" t="s">
        <v>63</v>
      </c>
      <c r="B8" s="2">
        <v>0.0481</v>
      </c>
      <c r="D8" s="2">
        <v>0.1707</v>
      </c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6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  <c r="P12" t="s">
        <v>72</v>
      </c>
    </row>
    <row r="13" spans="1:17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  <c r="P13">
        <v>1</v>
      </c>
      <c r="Q13" t="s">
        <v>74</v>
      </c>
    </row>
    <row r="14" spans="1:17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  <c r="P14">
        <v>2</v>
      </c>
      <c r="Q14" t="s">
        <v>76</v>
      </c>
    </row>
    <row r="15" spans="1:17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  <c r="P15">
        <v>3</v>
      </c>
      <c r="Q15" t="s">
        <v>78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7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  <c r="Q17" s="1" t="s">
        <v>20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 t="s">
        <v>59</v>
      </c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 t="s">
        <v>59</v>
      </c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 t="s">
        <v>59</v>
      </c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 t="s">
        <v>59</v>
      </c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 t="s">
        <v>59</v>
      </c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 t="s">
        <v>59</v>
      </c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 t="s">
        <v>59</v>
      </c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 t="s">
        <v>59</v>
      </c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 t="s">
        <v>59</v>
      </c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 t="s">
        <v>59</v>
      </c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 t="s">
        <v>59</v>
      </c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 t="s">
        <v>59</v>
      </c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 t="s">
        <v>59</v>
      </c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 t="s">
        <v>59</v>
      </c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A1" sqref="A1"/>
    </sheetView>
  </sheetViews>
  <sheetFormatPr defaultColWidth="9" defaultRowHeight="13.5" outlineLevelRow="2" outlineLevelCol="6"/>
  <sheetData>
    <row r="3" spans="7:7">
      <c r="G3" t="s">
        <v>90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580390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P15"/>
  <sheetViews>
    <sheetView workbookViewId="0">
      <selection activeCell="A2" sqref="A2:E15"/>
    </sheetView>
  </sheetViews>
  <sheetFormatPr defaultColWidth="9" defaultRowHeight="13.5"/>
  <cols>
    <col min="6" max="6" width="22.875" customWidth="1"/>
    <col min="10" max="10" width="11.125" customWidth="1"/>
    <col min="16" max="16" width="22.875" customWidth="1"/>
  </cols>
  <sheetData>
    <row r="1" spans="1:16">
      <c r="A1" s="1" t="s">
        <v>25</v>
      </c>
      <c r="B1" s="1" t="s">
        <v>91</v>
      </c>
      <c r="C1" s="1" t="s">
        <v>92</v>
      </c>
      <c r="D1" s="1" t="s">
        <v>93</v>
      </c>
      <c r="E1" s="1" t="s">
        <v>94</v>
      </c>
      <c r="F1" s="1" t="s">
        <v>95</v>
      </c>
      <c r="J1" s="1" t="s">
        <v>96</v>
      </c>
      <c r="K1" s="1" t="s">
        <v>25</v>
      </c>
      <c r="L1" s="1" t="s">
        <v>91</v>
      </c>
      <c r="M1" s="1" t="s">
        <v>92</v>
      </c>
      <c r="N1" s="1" t="s">
        <v>93</v>
      </c>
      <c r="O1" s="1" t="s">
        <v>94</v>
      </c>
      <c r="P1" s="1" t="s">
        <v>95</v>
      </c>
    </row>
    <row r="2" spans="1:15">
      <c r="A2" s="70" t="s">
        <v>97</v>
      </c>
      <c r="B2" s="1" t="s">
        <v>98</v>
      </c>
      <c r="C2">
        <v>0</v>
      </c>
      <c r="D2">
        <v>1.71951</v>
      </c>
      <c r="E2">
        <v>0</v>
      </c>
      <c r="F2">
        <v>0</v>
      </c>
      <c r="J2" s="1"/>
      <c r="K2" s="70" t="s">
        <v>97</v>
      </c>
      <c r="L2" s="1" t="s">
        <v>98</v>
      </c>
      <c r="M2">
        <v>0</v>
      </c>
      <c r="N2">
        <v>1.71951</v>
      </c>
      <c r="O2">
        <v>0</v>
      </c>
    </row>
    <row r="3" spans="1:14">
      <c r="A3" s="39" t="s">
        <v>45</v>
      </c>
      <c r="B3" s="70" t="s">
        <v>97</v>
      </c>
      <c r="C3">
        <v>1.34327</v>
      </c>
      <c r="D3">
        <v>1.71951</v>
      </c>
      <c r="E3">
        <v>0.37624</v>
      </c>
      <c r="F3">
        <v>-376.24</v>
      </c>
      <c r="K3" s="39" t="s">
        <v>45</v>
      </c>
      <c r="L3" s="70" t="s">
        <v>97</v>
      </c>
      <c r="M3">
        <v>1.34327</v>
      </c>
      <c r="N3">
        <v>1.71951</v>
      </c>
    </row>
    <row r="4" spans="1:14">
      <c r="A4" s="39" t="s">
        <v>46</v>
      </c>
      <c r="B4" s="39" t="s">
        <v>97</v>
      </c>
      <c r="C4">
        <v>1.36554</v>
      </c>
      <c r="D4">
        <v>1.71951</v>
      </c>
      <c r="E4">
        <v>0.35397</v>
      </c>
      <c r="F4">
        <v>-353.97</v>
      </c>
      <c r="K4" s="39" t="s">
        <v>46</v>
      </c>
      <c r="L4" s="39" t="s">
        <v>97</v>
      </c>
      <c r="M4">
        <v>1.36554</v>
      </c>
      <c r="N4">
        <v>1.71951</v>
      </c>
    </row>
    <row r="5" spans="1:14">
      <c r="A5" s="39" t="s">
        <v>47</v>
      </c>
      <c r="B5" s="39" t="s">
        <v>97</v>
      </c>
      <c r="C5">
        <v>1.38873</v>
      </c>
      <c r="D5">
        <v>1.71951</v>
      </c>
      <c r="E5">
        <v>0.33078</v>
      </c>
      <c r="F5">
        <v>-330.78</v>
      </c>
      <c r="K5" s="39" t="s">
        <v>47</v>
      </c>
      <c r="L5" s="39" t="s">
        <v>97</v>
      </c>
      <c r="M5">
        <v>1.38873</v>
      </c>
      <c r="N5">
        <v>1.71951</v>
      </c>
    </row>
    <row r="6" spans="1:14">
      <c r="A6" s="39" t="s">
        <v>48</v>
      </c>
      <c r="B6" s="39" t="s">
        <v>97</v>
      </c>
      <c r="C6">
        <v>1.74934</v>
      </c>
      <c r="D6">
        <v>1.71951</v>
      </c>
      <c r="E6">
        <v>-0.0298299999999998</v>
      </c>
      <c r="F6">
        <v>29.8299999999998</v>
      </c>
      <c r="K6" s="39" t="s">
        <v>48</v>
      </c>
      <c r="L6" s="39" t="s">
        <v>97</v>
      </c>
      <c r="M6">
        <v>1.74934</v>
      </c>
      <c r="N6">
        <v>1.71951</v>
      </c>
    </row>
    <row r="7" spans="1:14">
      <c r="A7" s="39" t="s">
        <v>49</v>
      </c>
      <c r="B7" s="39" t="s">
        <v>97</v>
      </c>
      <c r="C7">
        <v>1.72875</v>
      </c>
      <c r="D7">
        <v>1.71951</v>
      </c>
      <c r="E7">
        <v>-0.00923999999999991</v>
      </c>
      <c r="F7">
        <v>9.23999999999991</v>
      </c>
      <c r="K7" s="39" t="s">
        <v>49</v>
      </c>
      <c r="L7" s="39" t="s">
        <v>97</v>
      </c>
      <c r="M7">
        <v>1.72875</v>
      </c>
      <c r="N7">
        <v>1.71951</v>
      </c>
    </row>
    <row r="8" spans="1:14">
      <c r="A8" s="39" t="s">
        <v>50</v>
      </c>
      <c r="B8" s="39" t="s">
        <v>97</v>
      </c>
      <c r="C8">
        <v>1.6987</v>
      </c>
      <c r="D8">
        <v>1.71951</v>
      </c>
      <c r="E8">
        <v>0.02081</v>
      </c>
      <c r="F8">
        <v>-20.81</v>
      </c>
      <c r="K8" s="39" t="s">
        <v>50</v>
      </c>
      <c r="L8" s="39" t="s">
        <v>97</v>
      </c>
      <c r="M8">
        <v>1.6987</v>
      </c>
      <c r="N8">
        <v>1.71951</v>
      </c>
    </row>
    <row r="9" spans="1:14">
      <c r="A9" s="39" t="s">
        <v>51</v>
      </c>
      <c r="B9" s="39" t="s">
        <v>97</v>
      </c>
      <c r="C9">
        <v>1.67526</v>
      </c>
      <c r="D9">
        <v>1.71951</v>
      </c>
      <c r="E9">
        <v>0.0442500000000001</v>
      </c>
      <c r="F9">
        <v>-44.2500000000001</v>
      </c>
      <c r="K9" s="39" t="s">
        <v>51</v>
      </c>
      <c r="L9" s="39" t="s">
        <v>97</v>
      </c>
      <c r="M9">
        <v>1.67526</v>
      </c>
      <c r="N9">
        <v>1.71951</v>
      </c>
    </row>
    <row r="10" spans="1:14">
      <c r="A10" s="39" t="s">
        <v>52</v>
      </c>
      <c r="B10" s="39" t="s">
        <v>97</v>
      </c>
      <c r="C10">
        <v>1.66155</v>
      </c>
      <c r="D10">
        <v>1.71951</v>
      </c>
      <c r="E10">
        <v>0.05796</v>
      </c>
      <c r="F10">
        <v>-57.96</v>
      </c>
      <c r="K10" s="39" t="s">
        <v>52</v>
      </c>
      <c r="L10" s="39" t="s">
        <v>97</v>
      </c>
      <c r="M10">
        <v>1.66155</v>
      </c>
      <c r="N10">
        <v>1.71951</v>
      </c>
    </row>
    <row r="11" spans="1:14">
      <c r="A11" s="39" t="s">
        <v>53</v>
      </c>
      <c r="B11" s="39" t="s">
        <v>97</v>
      </c>
      <c r="C11">
        <v>1.64923</v>
      </c>
      <c r="D11">
        <v>1.71951</v>
      </c>
      <c r="E11">
        <v>0.0702800000000001</v>
      </c>
      <c r="F11">
        <v>-70.2800000000001</v>
      </c>
      <c r="K11" s="39" t="s">
        <v>53</v>
      </c>
      <c r="L11" s="39" t="s">
        <v>97</v>
      </c>
      <c r="M11">
        <v>1.64923</v>
      </c>
      <c r="N11">
        <v>1.71951</v>
      </c>
    </row>
    <row r="12" spans="1:14">
      <c r="A12" s="70" t="s">
        <v>99</v>
      </c>
      <c r="B12" s="70" t="s">
        <v>52</v>
      </c>
      <c r="C12">
        <v>1.66053</v>
      </c>
      <c r="D12">
        <v>1.72431</v>
      </c>
      <c r="E12">
        <v>0.12174</v>
      </c>
      <c r="F12">
        <v>-121.74</v>
      </c>
      <c r="K12" s="70" t="s">
        <v>99</v>
      </c>
      <c r="L12" s="70" t="s">
        <v>52</v>
      </c>
      <c r="M12">
        <v>1.66053</v>
      </c>
      <c r="N12">
        <v>1.72431</v>
      </c>
    </row>
    <row r="13" spans="1:14">
      <c r="A13" s="70" t="s">
        <v>100</v>
      </c>
      <c r="B13" s="70" t="s">
        <v>52</v>
      </c>
      <c r="C13">
        <v>1.66256</v>
      </c>
      <c r="D13">
        <v>1.72352</v>
      </c>
      <c r="E13">
        <v>0.11892</v>
      </c>
      <c r="F13">
        <v>-118.92</v>
      </c>
      <c r="K13" s="70" t="s">
        <v>100</v>
      </c>
      <c r="L13" s="70" t="s">
        <v>52</v>
      </c>
      <c r="M13">
        <v>1.66256</v>
      </c>
      <c r="N13">
        <v>1.72352</v>
      </c>
    </row>
    <row r="14" spans="1:14">
      <c r="A14" s="70" t="s">
        <v>101</v>
      </c>
      <c r="B14" s="70" t="s">
        <v>102</v>
      </c>
      <c r="C14">
        <v>1.64823</v>
      </c>
      <c r="D14">
        <v>1.71828</v>
      </c>
      <c r="E14">
        <v>0.14033</v>
      </c>
      <c r="F14">
        <v>-140.33</v>
      </c>
      <c r="K14" s="70" t="s">
        <v>101</v>
      </c>
      <c r="L14" s="70" t="s">
        <v>102</v>
      </c>
      <c r="M14">
        <v>1.64823</v>
      </c>
      <c r="N14">
        <v>1.71828</v>
      </c>
    </row>
    <row r="15" spans="1:14">
      <c r="A15" s="70" t="s">
        <v>103</v>
      </c>
      <c r="B15" s="70" t="s">
        <v>101</v>
      </c>
      <c r="C15">
        <v>1.65823</v>
      </c>
      <c r="D15">
        <v>1.71639</v>
      </c>
      <c r="E15">
        <v>0.19849</v>
      </c>
      <c r="F15">
        <v>-198.49</v>
      </c>
      <c r="K15" s="70" t="s">
        <v>103</v>
      </c>
      <c r="L15" s="70" t="s">
        <v>101</v>
      </c>
      <c r="M15">
        <v>1.65823</v>
      </c>
      <c r="N15">
        <v>1.71639</v>
      </c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65</v>
      </c>
      <c r="C1" t="s">
        <v>66</v>
      </c>
      <c r="E1" t="s">
        <v>65</v>
      </c>
      <c r="F1" t="s">
        <v>66</v>
      </c>
    </row>
    <row r="2" spans="1:6">
      <c r="A2" t="s">
        <v>80</v>
      </c>
      <c r="B2">
        <v>0.97</v>
      </c>
      <c r="C2">
        <v>2.342</v>
      </c>
      <c r="D2" t="s">
        <v>80</v>
      </c>
      <c r="E2">
        <v>0.97</v>
      </c>
      <c r="F2">
        <v>2.342</v>
      </c>
    </row>
    <row r="3" spans="1:6">
      <c r="A3" t="s">
        <v>81</v>
      </c>
      <c r="B3">
        <v>1.28</v>
      </c>
      <c r="C3">
        <v>3.079</v>
      </c>
      <c r="D3" t="s">
        <v>81</v>
      </c>
      <c r="E3">
        <v>1.28</v>
      </c>
      <c r="F3">
        <v>3.079</v>
      </c>
    </row>
    <row r="4" spans="1:6">
      <c r="A4" t="s">
        <v>82</v>
      </c>
      <c r="B4">
        <v>1.64</v>
      </c>
      <c r="C4">
        <v>4.008</v>
      </c>
      <c r="D4" t="s">
        <v>82</v>
      </c>
      <c r="E4">
        <v>1.64</v>
      </c>
      <c r="F4">
        <v>4.008</v>
      </c>
    </row>
    <row r="5" spans="1:6">
      <c r="A5" t="s">
        <v>83</v>
      </c>
      <c r="B5">
        <v>2.03</v>
      </c>
      <c r="C5">
        <v>5.16</v>
      </c>
      <c r="D5" t="s">
        <v>83</v>
      </c>
      <c r="E5">
        <v>5</v>
      </c>
      <c r="F5">
        <v>5.16</v>
      </c>
    </row>
    <row r="6" spans="1:6">
      <c r="A6" t="s">
        <v>84</v>
      </c>
      <c r="B6">
        <v>2.5</v>
      </c>
      <c r="C6">
        <v>5.953</v>
      </c>
      <c r="D6" t="s">
        <v>84</v>
      </c>
      <c r="E6">
        <v>2.5</v>
      </c>
      <c r="F6">
        <v>5.953</v>
      </c>
    </row>
    <row r="7" spans="1:6">
      <c r="A7" t="s">
        <v>85</v>
      </c>
      <c r="B7">
        <v>2.8</v>
      </c>
      <c r="C7">
        <v>6.742</v>
      </c>
      <c r="D7" t="s">
        <v>85</v>
      </c>
      <c r="E7">
        <v>2.8</v>
      </c>
      <c r="F7">
        <v>6.742</v>
      </c>
    </row>
    <row r="8" spans="1:6">
      <c r="A8" t="s">
        <v>86</v>
      </c>
      <c r="B8">
        <v>3.28</v>
      </c>
      <c r="C8">
        <v>7.048</v>
      </c>
      <c r="D8" t="s">
        <v>86</v>
      </c>
      <c r="E8">
        <v>3.28</v>
      </c>
      <c r="F8">
        <v>7.048</v>
      </c>
    </row>
    <row r="9" spans="1:6">
      <c r="A9" t="s">
        <v>87</v>
      </c>
      <c r="B9">
        <v>3.1</v>
      </c>
      <c r="C9">
        <v>7.268</v>
      </c>
      <c r="D9" t="s">
        <v>87</v>
      </c>
      <c r="E9">
        <v>3.1</v>
      </c>
      <c r="F9">
        <v>7.268</v>
      </c>
    </row>
    <row r="10" spans="1:6">
      <c r="A10" t="s">
        <v>88</v>
      </c>
      <c r="B10">
        <v>2.77</v>
      </c>
      <c r="C10">
        <v>6.793</v>
      </c>
      <c r="D10" t="s">
        <v>88</v>
      </c>
      <c r="E10">
        <v>2.77</v>
      </c>
      <c r="F10">
        <v>6.793</v>
      </c>
    </row>
    <row r="11" spans="1:6">
      <c r="A11" t="s">
        <v>89</v>
      </c>
      <c r="B11">
        <v>2.8</v>
      </c>
      <c r="C11">
        <v>6.702</v>
      </c>
      <c r="D11" t="s">
        <v>89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4">
      <c r="A8" s="1" t="s">
        <v>19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60</v>
      </c>
      <c r="B1">
        <v>1</v>
      </c>
    </row>
    <row r="2" spans="1:19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2">
      <c r="A3" t="s">
        <v>12</v>
      </c>
      <c r="B3">
        <v>2</v>
      </c>
    </row>
    <row r="4" spans="1:2">
      <c r="A4" s="1" t="s">
        <v>61</v>
      </c>
      <c r="B4">
        <v>3.28</v>
      </c>
    </row>
    <row r="5" spans="1:2">
      <c r="A5" t="s">
        <v>14</v>
      </c>
      <c r="B5">
        <v>0.39</v>
      </c>
    </row>
    <row r="6" spans="1:2">
      <c r="A6" t="s">
        <v>15</v>
      </c>
      <c r="B6">
        <v>0.93</v>
      </c>
    </row>
    <row r="7" spans="1:2">
      <c r="A7" s="1" t="s">
        <v>62</v>
      </c>
      <c r="B7" s="2">
        <v>0.0244</v>
      </c>
    </row>
    <row r="8" spans="1:4">
      <c r="A8" t="s">
        <v>63</v>
      </c>
      <c r="B8" s="2">
        <v>0</v>
      </c>
      <c r="D8" s="2"/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2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</row>
    <row r="13" spans="1:12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2018-12-19T06:42:01Z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