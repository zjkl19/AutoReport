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4642F709-277D-4D34-A0CF-E6FAA488D431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S40" i="6"/>
  <c r="R40" i="6"/>
  <c r="Q40" i="6"/>
  <c r="O40" i="6"/>
  <c r="N40" i="6"/>
  <c r="P40" i="6" s="1"/>
  <c r="U39" i="6"/>
  <c r="R39" i="6"/>
  <c r="S39" i="6" s="1"/>
  <c r="Q39" i="6"/>
  <c r="O39" i="6"/>
  <c r="N39" i="6"/>
  <c r="P39" i="6" s="1"/>
  <c r="U38" i="6"/>
  <c r="R38" i="6"/>
  <c r="Q38" i="6"/>
  <c r="S38" i="6" s="1"/>
  <c r="O38" i="6"/>
  <c r="N38" i="6"/>
  <c r="P38" i="6" s="1"/>
  <c r="U37" i="6"/>
  <c r="R37" i="6"/>
  <c r="Q37" i="6"/>
  <c r="S37" i="6" s="1"/>
  <c r="P37" i="6"/>
  <c r="O37" i="6"/>
  <c r="N37" i="6"/>
  <c r="U36" i="6"/>
  <c r="R36" i="6"/>
  <c r="Q36" i="6"/>
  <c r="S36" i="6" s="1"/>
  <c r="O36" i="6"/>
  <c r="P36" i="6" s="1"/>
  <c r="N36" i="6"/>
  <c r="U35" i="6"/>
  <c r="R35" i="6"/>
  <c r="Q35" i="6"/>
  <c r="S35" i="6" s="1"/>
  <c r="O35" i="6"/>
  <c r="N35" i="6"/>
  <c r="P35" i="6" s="1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S32" i="6"/>
  <c r="R32" i="6"/>
  <c r="Q32" i="6"/>
  <c r="O32" i="6"/>
  <c r="N32" i="6"/>
  <c r="P32" i="6" s="1"/>
  <c r="U31" i="6"/>
  <c r="R31" i="6"/>
  <c r="S31" i="6" s="1"/>
  <c r="Q31" i="6"/>
  <c r="O31" i="6"/>
  <c r="N31" i="6"/>
  <c r="P31" i="6" s="1"/>
  <c r="U30" i="6"/>
  <c r="R30" i="6"/>
  <c r="Q30" i="6"/>
  <c r="S30" i="6" s="1"/>
  <c r="O30" i="6"/>
  <c r="N30" i="6"/>
  <c r="P30" i="6" s="1"/>
  <c r="U29" i="6"/>
  <c r="R29" i="6"/>
  <c r="Q29" i="6"/>
  <c r="S29" i="6" s="1"/>
  <c r="P29" i="6"/>
  <c r="O29" i="6"/>
  <c r="N29" i="6"/>
  <c r="U28" i="6"/>
  <c r="R28" i="6"/>
  <c r="Q28" i="6"/>
  <c r="S28" i="6" s="1"/>
  <c r="O28" i="6"/>
  <c r="P28" i="6" s="1"/>
  <c r="N28" i="6"/>
  <c r="U27" i="6"/>
  <c r="R27" i="6"/>
  <c r="Q27" i="6"/>
  <c r="S27" i="6" s="1"/>
  <c r="O27" i="6"/>
  <c r="N27" i="6"/>
  <c r="P27" i="6" s="1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S24" i="6"/>
  <c r="R24" i="6"/>
  <c r="Q24" i="6"/>
  <c r="O24" i="6"/>
  <c r="N24" i="6"/>
  <c r="P24" i="6" s="1"/>
  <c r="U23" i="6"/>
  <c r="R23" i="6"/>
  <c r="S23" i="6" s="1"/>
  <c r="Q23" i="6"/>
  <c r="O23" i="6"/>
  <c r="N23" i="6"/>
  <c r="P23" i="6" s="1"/>
  <c r="U22" i="6"/>
  <c r="R22" i="6"/>
  <c r="Q22" i="6"/>
  <c r="S22" i="6" s="1"/>
  <c r="O22" i="6"/>
  <c r="N22" i="6"/>
  <c r="P22" i="6" s="1"/>
  <c r="U21" i="6"/>
  <c r="R21" i="6"/>
  <c r="Q21" i="6"/>
  <c r="S21" i="6" s="1"/>
  <c r="P21" i="6"/>
  <c r="O21" i="6"/>
  <c r="N21" i="6"/>
  <c r="U20" i="6"/>
  <c r="R20" i="6"/>
  <c r="Q20" i="6"/>
  <c r="S20" i="6" s="1"/>
  <c r="O20" i="6"/>
  <c r="P20" i="6" s="1"/>
  <c r="N20" i="6"/>
  <c r="U19" i="6"/>
  <c r="R19" i="6"/>
  <c r="Q19" i="6"/>
  <c r="S19" i="6" s="1"/>
  <c r="O19" i="6"/>
  <c r="N19" i="6"/>
  <c r="P19" i="6" s="1"/>
  <c r="U18" i="6"/>
  <c r="R18" i="6"/>
  <c r="Q18" i="6"/>
  <c r="S18" i="6" s="1"/>
  <c r="O18" i="6"/>
  <c r="N18" i="6"/>
  <c r="P18" i="6" s="1"/>
  <c r="U17" i="6"/>
  <c r="R17" i="6"/>
  <c r="Q17" i="6"/>
  <c r="S17" i="6" s="1"/>
  <c r="O17" i="6"/>
  <c r="N17" i="6"/>
  <c r="P17" i="6" s="1"/>
  <c r="U16" i="6"/>
  <c r="S16" i="6"/>
  <c r="R16" i="6"/>
  <c r="Q16" i="6"/>
  <c r="O16" i="6"/>
  <c r="N16" i="6"/>
  <c r="P16" i="6" s="1"/>
  <c r="U15" i="6"/>
  <c r="R15" i="6"/>
  <c r="S15" i="6" s="1"/>
  <c r="Q15" i="6"/>
  <c r="O15" i="6"/>
  <c r="N15" i="6"/>
  <c r="P15" i="6" s="1"/>
  <c r="U42" i="2"/>
  <c r="R42" i="2"/>
  <c r="Q42" i="2"/>
  <c r="S42" i="2" s="1"/>
  <c r="O42" i="2"/>
  <c r="N42" i="2"/>
  <c r="P42" i="2" s="1"/>
  <c r="U41" i="2"/>
  <c r="R41" i="2"/>
  <c r="Q41" i="2"/>
  <c r="S41" i="2" s="1"/>
  <c r="P41" i="2"/>
  <c r="O41" i="2"/>
  <c r="N41" i="2"/>
  <c r="U40" i="2"/>
  <c r="R40" i="2"/>
  <c r="Q40" i="2"/>
  <c r="S40" i="2" s="1"/>
  <c r="O40" i="2"/>
  <c r="P40" i="2" s="1"/>
  <c r="N40" i="2"/>
  <c r="U39" i="2"/>
  <c r="R39" i="2"/>
  <c r="Q39" i="2"/>
  <c r="S39" i="2" s="1"/>
  <c r="O39" i="2"/>
  <c r="N39" i="2"/>
  <c r="P39" i="2" s="1"/>
  <c r="U38" i="2"/>
  <c r="S38" i="2"/>
  <c r="R38" i="2"/>
  <c r="Q38" i="2"/>
  <c r="O38" i="2"/>
  <c r="N38" i="2"/>
  <c r="P38" i="2" s="1"/>
  <c r="U37" i="2"/>
  <c r="R37" i="2"/>
  <c r="Q37" i="2"/>
  <c r="S37" i="2" s="1"/>
  <c r="O37" i="2"/>
  <c r="N37" i="2"/>
  <c r="P37" i="2" s="1"/>
  <c r="U36" i="2"/>
  <c r="S36" i="2"/>
  <c r="R36" i="2"/>
  <c r="Q36" i="2"/>
  <c r="O36" i="2"/>
  <c r="N36" i="2"/>
  <c r="P36" i="2" s="1"/>
  <c r="U35" i="2"/>
  <c r="R35" i="2"/>
  <c r="S35" i="2" s="1"/>
  <c r="Q35" i="2"/>
  <c r="P35" i="2"/>
  <c r="O35" i="2"/>
  <c r="N35" i="2"/>
  <c r="U34" i="2"/>
  <c r="R34" i="2"/>
  <c r="Q34" i="2"/>
  <c r="S34" i="2" s="1"/>
  <c r="O34" i="2"/>
  <c r="N34" i="2"/>
  <c r="P34" i="2" s="1"/>
  <c r="U33" i="2"/>
  <c r="R33" i="2"/>
  <c r="Q33" i="2"/>
  <c r="S33" i="2" s="1"/>
  <c r="P33" i="2"/>
  <c r="O33" i="2"/>
  <c r="N33" i="2"/>
  <c r="U32" i="2"/>
  <c r="R32" i="2"/>
  <c r="Q32" i="2"/>
  <c r="S32" i="2" s="1"/>
  <c r="O32" i="2"/>
  <c r="P32" i="2" s="1"/>
  <c r="N32" i="2"/>
  <c r="U31" i="2"/>
  <c r="R31" i="2"/>
  <c r="Q31" i="2"/>
  <c r="S31" i="2" s="1"/>
  <c r="O31" i="2"/>
  <c r="N31" i="2"/>
  <c r="P31" i="2" s="1"/>
  <c r="U30" i="2"/>
  <c r="S30" i="2"/>
  <c r="R30" i="2"/>
  <c r="Q30" i="2"/>
  <c r="O30" i="2"/>
  <c r="N30" i="2"/>
  <c r="P30" i="2" s="1"/>
  <c r="U29" i="2"/>
  <c r="R29" i="2"/>
  <c r="Q29" i="2"/>
  <c r="S29" i="2" s="1"/>
  <c r="O29" i="2"/>
  <c r="N29" i="2"/>
  <c r="P29" i="2" s="1"/>
  <c r="U28" i="2"/>
  <c r="S28" i="2"/>
  <c r="R28" i="2"/>
  <c r="Q28" i="2"/>
  <c r="O28" i="2"/>
  <c r="N28" i="2"/>
  <c r="P28" i="2" s="1"/>
  <c r="U27" i="2"/>
  <c r="R27" i="2"/>
  <c r="S27" i="2" s="1"/>
  <c r="Q27" i="2"/>
  <c r="P27" i="2"/>
  <c r="O27" i="2"/>
  <c r="N27" i="2"/>
  <c r="U26" i="2"/>
  <c r="R26" i="2"/>
  <c r="Q26" i="2"/>
  <c r="S26" i="2" s="1"/>
  <c r="O26" i="2"/>
  <c r="N26" i="2"/>
  <c r="P26" i="2" s="1"/>
  <c r="U25" i="2"/>
  <c r="R25" i="2"/>
  <c r="Q25" i="2"/>
  <c r="S25" i="2" s="1"/>
  <c r="P25" i="2"/>
  <c r="O25" i="2"/>
  <c r="N25" i="2"/>
  <c r="U24" i="2"/>
  <c r="R24" i="2"/>
  <c r="Q24" i="2"/>
  <c r="S24" i="2" s="1"/>
  <c r="O24" i="2"/>
  <c r="P24" i="2" s="1"/>
  <c r="N24" i="2"/>
  <c r="U23" i="2"/>
  <c r="R23" i="2"/>
  <c r="Q23" i="2"/>
  <c r="S23" i="2" s="1"/>
  <c r="O23" i="2"/>
  <c r="N23" i="2"/>
  <c r="P23" i="2" s="1"/>
  <c r="U22" i="2"/>
  <c r="S22" i="2"/>
  <c r="R22" i="2"/>
  <c r="Q22" i="2"/>
  <c r="O22" i="2"/>
  <c r="N22" i="2"/>
  <c r="P22" i="2" s="1"/>
  <c r="U21" i="2"/>
  <c r="R21" i="2"/>
  <c r="Q21" i="2"/>
  <c r="S21" i="2" s="1"/>
  <c r="O21" i="2"/>
  <c r="N21" i="2"/>
  <c r="P21" i="2" s="1"/>
  <c r="U20" i="2"/>
  <c r="S20" i="2"/>
  <c r="R20" i="2"/>
  <c r="Q20" i="2"/>
  <c r="O20" i="2"/>
  <c r="N20" i="2"/>
  <c r="P20" i="2" s="1"/>
  <c r="U19" i="2"/>
  <c r="R19" i="2"/>
  <c r="S19" i="2" s="1"/>
  <c r="Q19" i="2"/>
  <c r="P19" i="2"/>
  <c r="O19" i="2"/>
  <c r="N19" i="2"/>
  <c r="U18" i="2"/>
  <c r="R18" i="2"/>
  <c r="Q18" i="2"/>
  <c r="S18" i="2" s="1"/>
  <c r="O18" i="2"/>
  <c r="N18" i="2"/>
  <c r="P18" i="2" s="1"/>
  <c r="U17" i="2"/>
  <c r="R17" i="2"/>
  <c r="Q17" i="2"/>
  <c r="S17" i="2" s="1"/>
  <c r="P17" i="2"/>
  <c r="O17" i="2"/>
  <c r="N17" i="2"/>
  <c r="U16" i="2"/>
  <c r="R16" i="2"/>
  <c r="Q16" i="2"/>
  <c r="S16" i="2" s="1"/>
  <c r="O16" i="2"/>
  <c r="P16" i="2" s="1"/>
  <c r="N16" i="2"/>
  <c r="U15" i="2"/>
  <c r="R15" i="2"/>
  <c r="Q15" i="2"/>
  <c r="S15" i="2" s="1"/>
  <c r="O15" i="2"/>
  <c r="N15" i="2"/>
  <c r="P15" i="2" s="1"/>
</calcChain>
</file>

<file path=xl/sharedStrings.xml><?xml version="1.0" encoding="utf-8"?>
<sst xmlns="http://schemas.openxmlformats.org/spreadsheetml/2006/main" count="457" uniqueCount="108">
  <si>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</si>
  <si>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</si>
  <si>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</si>
  <si>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</si>
  <si>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</si>
  <si>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</si>
  <si>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</si>
  <si>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</si>
  <si>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</si>
  <si>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</si>
  <si>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</si>
  <si>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</si>
  <si>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</si>
  <si>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</si>
  <si>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</si>
  <si>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</si>
  <si>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</si>
  <si>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</si>
  <si>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</si>
  <si>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</si>
  <si>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</si>
  <si>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</si>
  <si>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</si>
  <si>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</si>
  <si>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</si>
  <si>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</si>
  <si>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</si>
  <si>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</si>
  <si>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</si>
  <si>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</si>
  <si>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</si>
  <si>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</si>
  <si>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</si>
  <si>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</si>
  <si>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</si>
  <si>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</si>
  <si>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</si>
  <si>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</si>
  <si>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</si>
  <si>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</si>
  <si>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</si>
  <si>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</si>
  <si>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</si>
  <si>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</si>
  <si>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</si>
  <si>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</si>
  <si>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</si>
  <si>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</si>
  <si>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</si>
  <si>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</si>
  <si>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</si>
  <si>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</si>
  <si>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</si>
  <si>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</si>
  <si>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</si>
  <si>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</si>
  <si>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</si>
  <si>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</si>
  <si>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</si>
  <si>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</si>
  <si>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</si>
  <si>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</si>
  <si>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</si>
  <si>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</si>
  <si>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</si>
  <si>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</si>
  <si>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</si>
  <si>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</si>
  <si>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</si>
  <si>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</si>
  <si>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</si>
  <si>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</si>
  <si>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</si>
  <si>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</si>
  <si>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</si>
  <si>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</si>
  <si>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</si>
  <si>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</si>
  <si>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</si>
  <si>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</si>
  <si>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</si>
  <si>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</si>
  <si>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</si>
  <si>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</si>
  <si>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最大弹性位移</t>
    <phoneticPr fontId="6" type="noConversion"/>
  </si>
  <si>
    <t>最小相对残余变形</t>
    <phoneticPr fontId="6" type="noConversion"/>
  </si>
  <si>
    <t>最小相对残余应变</t>
    <phoneticPr fontId="6" type="noConversion"/>
  </si>
  <si>
    <t>最大相对残余应变</t>
    <phoneticPr fontId="6" type="noConversion"/>
  </si>
  <si>
    <t>最大弹性应变</t>
    <phoneticPr fontId="6" type="noConversion"/>
  </si>
  <si>
    <t>JD</t>
  </si>
  <si>
    <t>测点</t>
    <phoneticPr fontId="6" type="noConversion"/>
  </si>
  <si>
    <t>后视点</t>
    <phoneticPr fontId="6" type="noConversion"/>
  </si>
  <si>
    <t>/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</si>
  <si>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</si>
  <si>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1#</t>
    </r>
    <phoneticPr fontId="6" type="noConversion"/>
  </si>
  <si>
    <t>8#</t>
    <phoneticPr fontId="6" type="noConversion"/>
  </si>
  <si>
    <r>
      <t>Z</t>
    </r>
    <r>
      <rPr>
        <sz val="11"/>
        <color theme="1"/>
        <rFont val="等线"/>
        <family val="3"/>
        <charset val="134"/>
        <scheme val="minor"/>
      </rPr>
      <t>D1</t>
    </r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</si>
  <si>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</si>
  <si>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2#</t>
    </r>
    <phoneticPr fontId="6" type="noConversion"/>
  </si>
  <si>
    <t>后示读数</t>
    <phoneticPr fontId="6" type="noConversion"/>
  </si>
  <si>
    <t>前示读数</t>
    <phoneticPr fontId="6" type="noConversion"/>
  </si>
  <si>
    <t>JD</t>
    <phoneticPr fontId="6" type="noConversion"/>
  </si>
  <si>
    <t>CopyRight 2018 - 福建省建筑科学研究院 - 福建省建筑工程质量检测中心有限公司</t>
    <phoneticPr fontId="6" type="noConversion"/>
  </si>
  <si>
    <t>换算百分表读数（mm）</t>
    <phoneticPr fontId="6" type="noConversion"/>
  </si>
  <si>
    <t>高程（m)</t>
    <phoneticPr fontId="6" type="noConversion"/>
  </si>
  <si>
    <t>输入示例：</t>
    <phoneticPr fontId="6" type="noConversion"/>
  </si>
  <si>
    <t>报告工况指报告中对应的工况号</t>
    <phoneticPr fontId="6" type="noConversion"/>
  </si>
  <si>
    <t>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</si>
</sst>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.00_ "/>
  </numFmts>
  <fonts count="7" x14ac:knownFonts="1">
    <font>
      <sz val="11"/>
      <color theme="1"/>
      <name val="等线"/>
      <charset val="134"/>
      <scheme val="minor"/>
    </font>
    <font>
      <sz val="12"/>
      <color indexed="16"/>
      <name val="宋体"/>
      <family val="3"/>
      <charset val="134"/>
    </font>
    <font>
      <sz val="12"/>
      <color indexed="60"/>
      <name val="宋体"/>
      <family val="3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10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5" fillId="0" borderId="0" xfId="0" applyFont="1"/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v>弹性变形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挠度!$B$13:$B$26</c:f>
              <c:strCache>
                <c:ptCount val="14"/>
                <c:pt idx="0">
                  <c:v>Z1</c:v>
                </c:pt>
                <c:pt idx="1">
                  <c:v>Z2</c:v>
                </c:pt>
                <c:pt idx="2">
                  <c:v>Z3</c:v>
                </c:pt>
                <c:pt idx="3">
                  <c:v>Z4</c:v>
                </c:pt>
                <c:pt idx="4">
                  <c:v>Z5</c:v>
                </c:pt>
                <c:pt idx="5">
                  <c:v>Z6</c:v>
                </c:pt>
                <c:pt idx="6">
                  <c:v>Z7</c:v>
                </c:pt>
                <c:pt idx="7">
                  <c:v>Z8</c:v>
                </c:pt>
                <c:pt idx="8">
                  <c:v>Z9</c:v>
                </c:pt>
                <c:pt idx="9">
                  <c:v>Z10</c:v>
                </c:pt>
                <c:pt idx="10">
                  <c:v>Z11</c:v>
                </c:pt>
                <c:pt idx="11">
                  <c:v>Z12</c:v>
                </c:pt>
                <c:pt idx="12">
                  <c:v>Z13</c:v>
                </c:pt>
                <c:pt idx="13">
                  <c:v>Z14</c:v>
                </c:pt>
              </c:strCache>
            </c:strRef>
          </c:cat>
          <c:val>
            <c:numRef>
              <c:f>挠度!$I$13:$I$26</c:f>
              <c:numCache>
                <c:formatCode>0.00_ </c:formatCode>
                <c:ptCount val="14"/>
                <c:pt idx="0">
                  <c:v>0.4399999999999995</c:v>
                </c:pt>
                <c:pt idx="1">
                  <c:v>0.51</c:v>
                </c:pt>
                <c:pt idx="2">
                  <c:v>0.70000000000000107</c:v>
                </c:pt>
                <c:pt idx="3">
                  <c:v>0.77</c:v>
                </c:pt>
                <c:pt idx="4">
                  <c:v>0.96999999999999975</c:v>
                </c:pt>
                <c:pt idx="5">
                  <c:v>1.2799999999999994</c:v>
                </c:pt>
                <c:pt idx="6">
                  <c:v>1.6399999999999988</c:v>
                </c:pt>
                <c:pt idx="7">
                  <c:v>2.0299999999999994</c:v>
                </c:pt>
                <c:pt idx="8">
                  <c:v>2.5</c:v>
                </c:pt>
                <c:pt idx="9">
                  <c:v>2.8000000000000007</c:v>
                </c:pt>
                <c:pt idx="10">
                  <c:v>3.2800000000000011</c:v>
                </c:pt>
                <c:pt idx="11">
                  <c:v>3.1000000000000014</c:v>
                </c:pt>
                <c:pt idx="12">
                  <c:v>2.7699999999999996</c:v>
                </c:pt>
                <c:pt idx="13">
                  <c:v>2.7999999999999989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0-46C6-965E-32B3796F7FF3}"/>
            </c:ext>
          </c:extLst>
        </c:ser>
        <c:ser>
          <c:idx val="1"/>
          <c:order val="1"/>
          <c:tx>
            <c:v>理论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挠度!$B$13:$B$26</c:f>
              <c:strCache>
                <c:ptCount val="14"/>
                <c:pt idx="0">
                  <c:v>Z1</c:v>
                </c:pt>
                <c:pt idx="1">
                  <c:v>Z2</c:v>
                </c:pt>
                <c:pt idx="2">
                  <c:v>Z3</c:v>
                </c:pt>
                <c:pt idx="3">
                  <c:v>Z4</c:v>
                </c:pt>
                <c:pt idx="4">
                  <c:v>Z5</c:v>
                </c:pt>
                <c:pt idx="5">
                  <c:v>Z6</c:v>
                </c:pt>
                <c:pt idx="6">
                  <c:v>Z7</c:v>
                </c:pt>
                <c:pt idx="7">
                  <c:v>Z8</c:v>
                </c:pt>
                <c:pt idx="8">
                  <c:v>Z9</c:v>
                </c:pt>
                <c:pt idx="9">
                  <c:v>Z10</c:v>
                </c:pt>
                <c:pt idx="10">
                  <c:v>Z11</c:v>
                </c:pt>
                <c:pt idx="11">
                  <c:v>Z12</c:v>
                </c:pt>
                <c:pt idx="12">
                  <c:v>Z13</c:v>
                </c:pt>
                <c:pt idx="13">
                  <c:v>Z14</c:v>
                </c:pt>
              </c:strCache>
            </c:strRef>
          </c:cat>
          <c:val>
            <c:numRef>
              <c:f>挠度!$J$13:$J$26</c:f>
              <c:numCache>
                <c:formatCode>General</c:formatCode>
                <c:ptCount val="14"/>
                <c:pt idx="0">
                  <c:v>0.47299999999999998</c:v>
                </c:pt>
                <c:pt idx="1">
                  <c:v>0.82499999999999996</c:v>
                </c:pt>
                <c:pt idx="2">
                  <c:v>1.2450000000000001</c:v>
                </c:pt>
                <c:pt idx="3">
                  <c:v>1.7430000000000001</c:v>
                </c:pt>
                <c:pt idx="4">
                  <c:v>2.3420000000000001</c:v>
                </c:pt>
                <c:pt idx="5">
                  <c:v>3.0790000000000002</c:v>
                </c:pt>
                <c:pt idx="6">
                  <c:v>4.008</c:v>
                </c:pt>
                <c:pt idx="7">
                  <c:v>5.16</c:v>
                </c:pt>
                <c:pt idx="8">
                  <c:v>5.9530000000000003</c:v>
                </c:pt>
                <c:pt idx="9">
                  <c:v>6.742</c:v>
                </c:pt>
                <c:pt idx="10">
                  <c:v>7.048</c:v>
                </c:pt>
                <c:pt idx="11">
                  <c:v>7.2679999999999998</c:v>
                </c:pt>
                <c:pt idx="12">
                  <c:v>6.7930000000000001</c:v>
                </c:pt>
                <c:pt idx="13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30-46C6-965E-32B3796F7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011672"/>
        <c:axId val="999013640"/>
      </c:lineChart>
      <c:catAx>
        <c:axId val="999011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9013640"/>
        <c:crosses val="autoZero"/>
        <c:auto val="1"/>
        <c:lblAlgn val="ctr"/>
        <c:lblOffset val="100"/>
        <c:noMultiLvlLbl val="0"/>
      </c:catAx>
      <c:valAx>
        <c:axId val="99901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9011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v>弹性变形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挠度!$B$27:$B$40</c:f>
              <c:strCache>
                <c:ptCount val="14"/>
                <c:pt idx="0">
                  <c:v>Z1</c:v>
                </c:pt>
                <c:pt idx="1">
                  <c:v>Z2</c:v>
                </c:pt>
                <c:pt idx="2">
                  <c:v>Z3</c:v>
                </c:pt>
                <c:pt idx="3">
                  <c:v>Z4</c:v>
                </c:pt>
                <c:pt idx="4">
                  <c:v>Z5</c:v>
                </c:pt>
                <c:pt idx="5">
                  <c:v>Z6</c:v>
                </c:pt>
                <c:pt idx="6">
                  <c:v>Z7</c:v>
                </c:pt>
                <c:pt idx="7">
                  <c:v>Z8</c:v>
                </c:pt>
                <c:pt idx="8">
                  <c:v>Z9</c:v>
                </c:pt>
                <c:pt idx="9">
                  <c:v>Z10</c:v>
                </c:pt>
                <c:pt idx="10">
                  <c:v>Z11</c:v>
                </c:pt>
                <c:pt idx="11">
                  <c:v>Z12</c:v>
                </c:pt>
                <c:pt idx="12">
                  <c:v>Z13</c:v>
                </c:pt>
                <c:pt idx="13">
                  <c:v>Z14</c:v>
                </c:pt>
              </c:strCache>
            </c:strRef>
          </c:cat>
          <c:val>
            <c:numRef>
              <c:f>挠度!$I$27:$I$40</c:f>
              <c:numCache>
                <c:formatCode>0.00_ </c:formatCode>
                <c:ptCount val="14"/>
                <c:pt idx="0">
                  <c:v>2.7300000000000004</c:v>
                </c:pt>
                <c:pt idx="1">
                  <c:v>2.9000000000000004</c:v>
                </c:pt>
                <c:pt idx="2">
                  <c:v>3.1100000000000012</c:v>
                </c:pt>
                <c:pt idx="3">
                  <c:v>3.0999999999999996</c:v>
                </c:pt>
                <c:pt idx="4">
                  <c:v>2.92</c:v>
                </c:pt>
                <c:pt idx="5">
                  <c:v>2.3900000000000006</c:v>
                </c:pt>
                <c:pt idx="6">
                  <c:v>2.1899999999999995</c:v>
                </c:pt>
                <c:pt idx="7">
                  <c:v>1.6900000000000013</c:v>
                </c:pt>
                <c:pt idx="8">
                  <c:v>1.33</c:v>
                </c:pt>
                <c:pt idx="9">
                  <c:v>0.87000000000000011</c:v>
                </c:pt>
                <c:pt idx="10">
                  <c:v>0.8100000000000005</c:v>
                </c:pt>
                <c:pt idx="11">
                  <c:v>0.51000000000000156</c:v>
                </c:pt>
                <c:pt idx="12">
                  <c:v>0.33999999999999986</c:v>
                </c:pt>
                <c:pt idx="13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C-4321-ACB3-4F375E85F051}"/>
            </c:ext>
          </c:extLst>
        </c:ser>
        <c:ser>
          <c:idx val="1"/>
          <c:order val="1"/>
          <c:tx>
            <c:v>理论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挠度!$B$27:$B$40</c:f>
              <c:strCache>
                <c:ptCount val="14"/>
                <c:pt idx="0">
                  <c:v>Z1</c:v>
                </c:pt>
                <c:pt idx="1">
                  <c:v>Z2</c:v>
                </c:pt>
                <c:pt idx="2">
                  <c:v>Z3</c:v>
                </c:pt>
                <c:pt idx="3">
                  <c:v>Z4</c:v>
                </c:pt>
                <c:pt idx="4">
                  <c:v>Z5</c:v>
                </c:pt>
                <c:pt idx="5">
                  <c:v>Z6</c:v>
                </c:pt>
                <c:pt idx="6">
                  <c:v>Z7</c:v>
                </c:pt>
                <c:pt idx="7">
                  <c:v>Z8</c:v>
                </c:pt>
                <c:pt idx="8">
                  <c:v>Z9</c:v>
                </c:pt>
                <c:pt idx="9">
                  <c:v>Z10</c:v>
                </c:pt>
                <c:pt idx="10">
                  <c:v>Z11</c:v>
                </c:pt>
                <c:pt idx="11">
                  <c:v>Z12</c:v>
                </c:pt>
                <c:pt idx="12">
                  <c:v>Z13</c:v>
                </c:pt>
                <c:pt idx="13">
                  <c:v>Z14</c:v>
                </c:pt>
              </c:strCache>
            </c:strRef>
          </c:cat>
          <c:val>
            <c:numRef>
              <c:f>挠度!$J$27:$J$40</c:f>
              <c:numCache>
                <c:formatCode>General</c:formatCode>
                <c:ptCount val="14"/>
                <c:pt idx="0">
                  <c:v>6.6319999999999997</c:v>
                </c:pt>
                <c:pt idx="1">
                  <c:v>6.7249999999999996</c:v>
                </c:pt>
                <c:pt idx="2">
                  <c:v>7.1950000000000003</c:v>
                </c:pt>
                <c:pt idx="3">
                  <c:v>7</c:v>
                </c:pt>
                <c:pt idx="4">
                  <c:v>6.7279999999999998</c:v>
                </c:pt>
                <c:pt idx="5">
                  <c:v>5.9749999999999996</c:v>
                </c:pt>
                <c:pt idx="6">
                  <c:v>5.2030000000000003</c:v>
                </c:pt>
                <c:pt idx="7">
                  <c:v>4.0430000000000001</c:v>
                </c:pt>
                <c:pt idx="8">
                  <c:v>3.11</c:v>
                </c:pt>
                <c:pt idx="9">
                  <c:v>2.3690000000000002</c:v>
                </c:pt>
                <c:pt idx="10">
                  <c:v>1.7689999999999999</c:v>
                </c:pt>
                <c:pt idx="11">
                  <c:v>1.2709999999999999</c:v>
                </c:pt>
                <c:pt idx="12">
                  <c:v>0.85199999999999998</c:v>
                </c:pt>
                <c:pt idx="13">
                  <c:v>0.499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C-4321-ACB3-4F375E85F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016264"/>
        <c:axId val="999020856"/>
      </c:lineChart>
      <c:catAx>
        <c:axId val="999016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9020856"/>
        <c:crosses val="autoZero"/>
        <c:auto val="1"/>
        <c:lblAlgn val="ctr"/>
        <c:lblOffset val="100"/>
        <c:noMultiLvlLbl val="0"/>
      </c:catAx>
      <c:valAx>
        <c:axId val="99902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9016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1-40BF-AD85-224C4F5F53B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1-40BF-AD85-224C4F5F5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F-4552-84B1-1E876C140CF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F-4552-84B1-1E876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D-4A7D-9FFD-E9E6C0F49187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D-4A7D-9FFD-E9E6C0F4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339725</xdr:colOff>
      <xdr:row>10</xdr:row>
      <xdr:rowOff>95250</xdr:rowOff>
    </xdr:from>
    <xdr:to>
      <xdr:col>21</xdr:col>
      <xdr:colOff>111125</xdr:colOff>
      <xdr:row>25</xdr:row>
      <xdr:rowOff>123825</xdr:rowOff>
    </xdr:to>
    <xdr:graphicFrame macro="">
      <xdr:nvGraphicFramePr>
        <xdr:cNvPr id="1098" name="图表 1097">
          <a:extLst>
            <a:ext uri="{FF2B5EF4-FFF2-40B4-BE49-F238E27FC236}">
              <a16:creationId xmlns:a16="http://schemas.microsoft.com/office/drawing/2014/main" id="{00000000-0008-0000-0200-00004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25</xdr:row>
      <xdr:rowOff>174625</xdr:rowOff>
    </xdr:from>
    <xdr:to>
      <xdr:col>21</xdr:col>
      <xdr:colOff>111125</xdr:colOff>
      <xdr:row>41</xdr:row>
      <xdr:rowOff>22225</xdr:rowOff>
    </xdr:to>
    <xdr:graphicFrame macro="">
      <xdr:nvGraphicFramePr>
        <xdr:cNvPr id="1099" name="图表 1098">
          <a:extLst>
            <a:ext uri="{FF2B5EF4-FFF2-40B4-BE49-F238E27FC236}">
              <a16:creationId xmlns:a16="http://schemas.microsoft.com/office/drawing/2014/main" id="{00000000-0008-0000-0200-00004B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B036-7581-4B66-AEAE-BEE811422862}">
  <sheetPr codeName="Sheet8"/>
  <dimension ref="D8"/>
  <sheetViews>
    <sheetView tabSelected="1" workbookViewId="0"/>
  </sheetViews>
  <sheetFormatPr defaultRowHeight="14.25" x14ac:dyDescent="0.2"/>
  <sheetData>
    <row r="8" spans="4:4" x14ac:dyDescent="0.2">
      <c r="D8" s="59" t="s">
        <v>102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2"/>
  <sheetViews>
    <sheetView topLeftCell="H10" workbookViewId="0">
      <selection activeCell="AB15" sqref="AB15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  <c r="U8" s="59" t="s">
        <v>106</v>
      </c>
    </row>
    <row r="9" spans="1:32" x14ac:dyDescent="0.2">
      <c r="B9" s="1"/>
      <c r="D9" s="1"/>
    </row>
    <row r="10" spans="1:32" x14ac:dyDescent="0.2">
      <c r="B10" s="1"/>
      <c r="D10" s="1"/>
    </row>
    <row r="11" spans="1:32" x14ac:dyDescent="0.2">
      <c r="A11" s="65" t="s">
        <v>16</v>
      </c>
      <c r="B11" s="65"/>
      <c r="C11" s="65"/>
      <c r="D11" s="65"/>
      <c r="E11" s="65"/>
      <c r="F11" s="65"/>
      <c r="G11" s="65"/>
      <c r="H11" s="65"/>
      <c r="L11" s="67" t="s">
        <v>17</v>
      </c>
      <c r="M11" s="67"/>
      <c r="N11" s="67"/>
      <c r="O11" s="67"/>
      <c r="P11" s="67"/>
      <c r="Q11" s="67"/>
      <c r="R11" s="67"/>
      <c r="S11" s="67"/>
      <c r="T11" s="67"/>
      <c r="U11" s="67"/>
      <c r="Y11" s="67" t="s">
        <v>18</v>
      </c>
      <c r="Z11" s="67"/>
      <c r="AA11" s="67"/>
      <c r="AB11" s="67"/>
      <c r="AC11" s="67"/>
      <c r="AD11" s="67"/>
      <c r="AE11" s="67"/>
      <c r="AF11" s="67"/>
    </row>
    <row r="12" spans="1:32" x14ac:dyDescent="0.2">
      <c r="A12" s="66"/>
      <c r="B12" s="66"/>
      <c r="C12" s="66"/>
      <c r="D12" s="66"/>
      <c r="E12" s="66"/>
      <c r="F12" s="66"/>
      <c r="G12" s="66"/>
      <c r="H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Y12" s="66"/>
      <c r="Z12" s="66"/>
      <c r="AA12" s="66"/>
      <c r="AB12" s="66"/>
      <c r="AC12" s="66"/>
      <c r="AD12" s="66"/>
      <c r="AE12" s="66"/>
      <c r="AF12" s="66"/>
    </row>
    <row r="13" spans="1:32" x14ac:dyDescent="0.2">
      <c r="A13" s="62" t="s">
        <v>19</v>
      </c>
      <c r="B13" s="62" t="s">
        <v>20</v>
      </c>
      <c r="C13" s="62" t="s">
        <v>21</v>
      </c>
      <c r="D13" s="62"/>
      <c r="E13" s="62" t="s">
        <v>22</v>
      </c>
      <c r="F13" s="62"/>
      <c r="G13" s="62" t="s">
        <v>23</v>
      </c>
      <c r="H13" s="62"/>
      <c r="L13" s="62" t="s">
        <v>19</v>
      </c>
      <c r="M13" s="62" t="s">
        <v>20</v>
      </c>
      <c r="N13" s="68" t="s">
        <v>22</v>
      </c>
      <c r="O13" s="68"/>
      <c r="P13" s="68"/>
      <c r="Q13" s="69" t="s">
        <v>23</v>
      </c>
      <c r="R13" s="70"/>
      <c r="S13" s="71"/>
      <c r="T13" s="68" t="s">
        <v>24</v>
      </c>
      <c r="U13" s="68"/>
      <c r="Y13" s="63" t="s">
        <v>19</v>
      </c>
      <c r="Z13" s="63" t="s">
        <v>20</v>
      </c>
      <c r="AA13" s="62" t="s">
        <v>25</v>
      </c>
      <c r="AB13" s="62"/>
      <c r="AC13" s="62"/>
      <c r="AD13" s="62" t="s">
        <v>26</v>
      </c>
      <c r="AE13" s="62" t="s">
        <v>27</v>
      </c>
      <c r="AF13" s="63" t="s">
        <v>28</v>
      </c>
    </row>
    <row r="14" spans="1:32" ht="30.75" x14ac:dyDescent="0.2">
      <c r="A14" s="62"/>
      <c r="B14" s="62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2"/>
      <c r="M14" s="62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4"/>
      <c r="Z14" s="64"/>
      <c r="AA14" s="2" t="s">
        <v>37</v>
      </c>
      <c r="AB14" s="2" t="s">
        <v>38</v>
      </c>
      <c r="AC14" s="2" t="s">
        <v>35</v>
      </c>
      <c r="AD14" s="62"/>
      <c r="AE14" s="62"/>
      <c r="AF14" s="64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30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x14ac:dyDescent="0.2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ref="S31:S42" si="5">IF(3.7*1.020019*(Q31)+1.8*(R31)&gt;=0,3.7*1.020019*(Q31)+1.8*(R31),0)</f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6">E32-C32</f>
        <v>7</v>
      </c>
      <c r="O32" s="9">
        <f t="shared" si="6"/>
        <v>-0.40000000000000213</v>
      </c>
      <c r="P32" s="10">
        <f t="shared" si="0"/>
        <v>25.698492099999999</v>
      </c>
      <c r="Q32" s="9">
        <f t="shared" ref="Q32:R42" si="7">G32-C32</f>
        <v>-3.8999999999999773</v>
      </c>
      <c r="R32" s="9">
        <f t="shared" si="7"/>
        <v>-0.30000000000000071</v>
      </c>
      <c r="S32" s="10">
        <f t="shared" si="5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6"/>
        <v>10.699999999999932</v>
      </c>
      <c r="O33" s="9">
        <f t="shared" si="6"/>
        <v>-0.40000000000000213</v>
      </c>
      <c r="P33" s="10">
        <f t="shared" si="0"/>
        <v>39.662552209999738</v>
      </c>
      <c r="Q33" s="9">
        <f t="shared" si="7"/>
        <v>-2.2000000000000455</v>
      </c>
      <c r="R33" s="9">
        <f t="shared" si="7"/>
        <v>-0.30000000000000071</v>
      </c>
      <c r="S33" s="10">
        <f t="shared" si="5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6"/>
        <v>9.6000000000000227</v>
      </c>
      <c r="O34" s="9">
        <f t="shared" si="6"/>
        <v>-0.40000000000000213</v>
      </c>
      <c r="P34" s="10">
        <f t="shared" si="0"/>
        <v>35.511074880000081</v>
      </c>
      <c r="Q34" s="9">
        <f t="shared" si="7"/>
        <v>0.5</v>
      </c>
      <c r="R34" s="9">
        <f t="shared" si="7"/>
        <v>-0.30000000000000071</v>
      </c>
      <c r="S34" s="10">
        <f t="shared" si="5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6"/>
        <v>2.8999999999999773</v>
      </c>
      <c r="O35" s="9">
        <f t="shared" si="6"/>
        <v>-0.40000000000000213</v>
      </c>
      <c r="P35" s="10">
        <f t="shared" si="0"/>
        <v>10.224803869999912</v>
      </c>
      <c r="Q35" s="9">
        <f t="shared" si="7"/>
        <v>-0.39999999999997726</v>
      </c>
      <c r="R35" s="9">
        <f t="shared" si="7"/>
        <v>-0.30000000000000071</v>
      </c>
      <c r="S35" s="10">
        <f t="shared" si="5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6"/>
        <v>5.1000000000000227</v>
      </c>
      <c r="O36" s="9">
        <f t="shared" si="6"/>
        <v>-0.30000000000000071</v>
      </c>
      <c r="P36" s="10">
        <f t="shared" si="0"/>
        <v>18.707758530000085</v>
      </c>
      <c r="Q36" s="9">
        <f t="shared" si="7"/>
        <v>0.10000000000002274</v>
      </c>
      <c r="R36" s="9">
        <f t="shared" si="7"/>
        <v>-0.19999999999999929</v>
      </c>
      <c r="S36" s="10">
        <f t="shared" si="5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6"/>
        <v>4.8999999999999773</v>
      </c>
      <c r="O37" s="9">
        <f t="shared" si="6"/>
        <v>-0.30000000000000071</v>
      </c>
      <c r="P37" s="10">
        <f t="shared" si="0"/>
        <v>17.952944469999913</v>
      </c>
      <c r="Q37" s="9">
        <f t="shared" si="7"/>
        <v>0.20000000000004547</v>
      </c>
      <c r="R37" s="9">
        <f t="shared" si="7"/>
        <v>-0.19999999999999929</v>
      </c>
      <c r="S37" s="10">
        <f t="shared" si="5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6"/>
        <v>0.79999999999995453</v>
      </c>
      <c r="O38" s="9">
        <f t="shared" si="6"/>
        <v>-0.40000000000000213</v>
      </c>
      <c r="P38" s="10">
        <f t="shared" si="0"/>
        <v>2.2992562399998251</v>
      </c>
      <c r="Q38" s="9">
        <f t="shared" si="7"/>
        <v>-0.30000000000006821</v>
      </c>
      <c r="R38" s="9">
        <f t="shared" si="7"/>
        <v>-0.30000000000000071</v>
      </c>
      <c r="S38" s="10">
        <f t="shared" si="5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6"/>
        <v>2.3000000000000682</v>
      </c>
      <c r="O39" s="9">
        <f t="shared" si="6"/>
        <v>-0.30000000000000071</v>
      </c>
      <c r="P39" s="10">
        <f t="shared" si="0"/>
        <v>8.1403616900002582</v>
      </c>
      <c r="Q39" s="9">
        <f t="shared" si="7"/>
        <v>-0.19999999999993179</v>
      </c>
      <c r="R39" s="9">
        <f t="shared" si="7"/>
        <v>-0.19999999999999929</v>
      </c>
      <c r="S39" s="10">
        <f t="shared" si="5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6"/>
        <v>2.8999999999999773</v>
      </c>
      <c r="O40" s="9">
        <f t="shared" si="6"/>
        <v>-0.30000000000000071</v>
      </c>
      <c r="P40" s="10">
        <f t="shared" si="0"/>
        <v>10.404803869999915</v>
      </c>
      <c r="Q40" s="9">
        <f t="shared" si="7"/>
        <v>0.39999999999997726</v>
      </c>
      <c r="R40" s="9">
        <f t="shared" si="7"/>
        <v>-0.19999999999999929</v>
      </c>
      <c r="S40" s="10">
        <f t="shared" si="5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6"/>
        <v>2</v>
      </c>
      <c r="O41" s="9">
        <f t="shared" si="6"/>
        <v>-0.30000000000000071</v>
      </c>
      <c r="P41" s="10">
        <f t="shared" si="0"/>
        <v>7.0081405999999999</v>
      </c>
      <c r="Q41" s="9">
        <f t="shared" si="7"/>
        <v>9.9999999999909051E-2</v>
      </c>
      <c r="R41" s="9">
        <f t="shared" si="7"/>
        <v>-0.30000000000000071</v>
      </c>
      <c r="S41" s="10">
        <f t="shared" si="5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6"/>
        <v>1.5999999999999091</v>
      </c>
      <c r="O42" s="9">
        <f t="shared" si="6"/>
        <v>-0.19999999999999929</v>
      </c>
      <c r="P42" s="10">
        <f t="shared" si="0"/>
        <v>5.6785124799996591</v>
      </c>
      <c r="Q42" s="9">
        <f t="shared" si="7"/>
        <v>-0.40000000000009095</v>
      </c>
      <c r="R42" s="9">
        <f t="shared" si="7"/>
        <v>-0.30000000000000071</v>
      </c>
      <c r="S42" s="10">
        <f t="shared" si="5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</mergeCells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J11" sqref="J11:J12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55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  <c r="D4">
        <v>3.11</v>
      </c>
    </row>
    <row r="5" spans="1:19" x14ac:dyDescent="0.2">
      <c r="A5" t="s">
        <v>12</v>
      </c>
      <c r="B5">
        <v>0.39</v>
      </c>
      <c r="D5">
        <v>0.37</v>
      </c>
    </row>
    <row r="6" spans="1:19" x14ac:dyDescent="0.2">
      <c r="A6" t="s">
        <v>14</v>
      </c>
      <c r="B6">
        <v>0.93</v>
      </c>
      <c r="D6">
        <v>1</v>
      </c>
    </row>
    <row r="7" spans="1:19" x14ac:dyDescent="0.2">
      <c r="A7" s="59" t="s">
        <v>85</v>
      </c>
      <c r="B7" s="1">
        <v>0</v>
      </c>
      <c r="D7" s="1">
        <v>0</v>
      </c>
    </row>
    <row r="8" spans="1:19" x14ac:dyDescent="0.2">
      <c r="A8" t="s">
        <v>56</v>
      </c>
      <c r="B8" s="1">
        <v>4.8099999999999997E-2</v>
      </c>
      <c r="D8" s="1">
        <v>0.17069999999999999</v>
      </c>
    </row>
    <row r="11" spans="1:19" x14ac:dyDescent="0.2">
      <c r="A11" s="72" t="s">
        <v>19</v>
      </c>
      <c r="B11" s="72" t="s">
        <v>20</v>
      </c>
      <c r="C11" s="62" t="s">
        <v>57</v>
      </c>
      <c r="D11" s="62" t="s">
        <v>22</v>
      </c>
      <c r="E11" s="62"/>
      <c r="F11" s="62" t="s">
        <v>23</v>
      </c>
      <c r="G11" s="62"/>
      <c r="H11" s="62"/>
      <c r="I11" s="62" t="s">
        <v>58</v>
      </c>
      <c r="J11" s="62" t="s">
        <v>59</v>
      </c>
      <c r="K11" s="62" t="s">
        <v>27</v>
      </c>
      <c r="L11" s="62" t="s">
        <v>60</v>
      </c>
    </row>
    <row r="12" spans="1:19" x14ac:dyDescent="0.2">
      <c r="A12" s="72"/>
      <c r="B12" s="73"/>
      <c r="C12" s="63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2"/>
      <c r="J12" s="62"/>
      <c r="K12" s="62"/>
      <c r="L12" s="62"/>
      <c r="P12" t="s">
        <v>65</v>
      </c>
    </row>
    <row r="13" spans="1:19" x14ac:dyDescent="0.2">
      <c r="A13" s="34" t="s">
        <v>107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  <c r="P13">
        <v>1</v>
      </c>
      <c r="Q13" t="s">
        <v>67</v>
      </c>
    </row>
    <row r="14" spans="1:19" x14ac:dyDescent="0.2">
      <c r="A14" s="34" t="s">
        <v>107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  <c r="P14">
        <v>2</v>
      </c>
      <c r="Q14" t="s">
        <v>69</v>
      </c>
    </row>
    <row r="15" spans="1:19" x14ac:dyDescent="0.2">
      <c r="A15" s="34" t="s">
        <v>107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  <c r="P15">
        <v>3</v>
      </c>
      <c r="Q15" t="s">
        <v>71</v>
      </c>
    </row>
    <row r="16" spans="1:19" x14ac:dyDescent="0.2">
      <c r="A16" s="34" t="s">
        <v>107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7" x14ac:dyDescent="0.2">
      <c r="A17" s="34" t="s">
        <v>107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  <c r="Q17" s="59" t="s">
        <v>106</v>
      </c>
    </row>
    <row r="18" spans="1:17" x14ac:dyDescent="0.2">
      <c r="A18" s="34" t="s">
        <v>107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7" x14ac:dyDescent="0.2">
      <c r="A19" s="34" t="s">
        <v>107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7" x14ac:dyDescent="0.2">
      <c r="A20" s="34" t="s">
        <v>107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7" x14ac:dyDescent="0.2">
      <c r="A21" s="34" t="s">
        <v>107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7" x14ac:dyDescent="0.2">
      <c r="A22" s="34" t="s">
        <v>107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7" x14ac:dyDescent="0.2">
      <c r="A23" s="34" t="s">
        <v>107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7" x14ac:dyDescent="0.2">
      <c r="A24" s="34" t="s">
        <v>107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7" x14ac:dyDescent="0.2">
      <c r="A25" s="34" t="s">
        <v>107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7" x14ac:dyDescent="0.2">
      <c r="A26" s="34" t="s">
        <v>107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7" x14ac:dyDescent="0.2">
      <c r="A27" s="34" t="s">
        <v>54</v>
      </c>
      <c r="B27" s="35" t="s">
        <v>66</v>
      </c>
      <c r="C27" s="36">
        <v>8.74</v>
      </c>
      <c r="D27" s="43">
        <v>11.47</v>
      </c>
      <c r="E27" s="44">
        <v>2.7300000000000004</v>
      </c>
      <c r="F27" s="43">
        <v>8.6999999999999993</v>
      </c>
      <c r="G27" s="44">
        <v>-2.7700000000000014</v>
      </c>
      <c r="H27" s="15">
        <v>0</v>
      </c>
      <c r="I27" s="50">
        <v>2.7300000000000004</v>
      </c>
      <c r="J27" s="51">
        <v>6.6319999999999997</v>
      </c>
      <c r="K27" s="50">
        <v>0.41164053075995183</v>
      </c>
      <c r="L27" s="52">
        <v>0</v>
      </c>
    </row>
    <row r="28" spans="1:17" x14ac:dyDescent="0.2">
      <c r="A28" s="34" t="s">
        <v>54</v>
      </c>
      <c r="B28" s="35" t="s">
        <v>68</v>
      </c>
      <c r="C28" s="36">
        <v>1.29</v>
      </c>
      <c r="D28" s="36">
        <v>4.1900000000000004</v>
      </c>
      <c r="E28" s="37">
        <v>2.9000000000000004</v>
      </c>
      <c r="F28" s="36">
        <v>1.23</v>
      </c>
      <c r="G28" s="37">
        <v>-2.9600000000000004</v>
      </c>
      <c r="H28" s="15">
        <v>0</v>
      </c>
      <c r="I28" s="47">
        <v>2.9000000000000004</v>
      </c>
      <c r="J28" s="48">
        <v>6.7249999999999996</v>
      </c>
      <c r="K28" s="47">
        <v>0.43122676579925656</v>
      </c>
      <c r="L28" s="49">
        <v>0</v>
      </c>
    </row>
    <row r="29" spans="1:17" x14ac:dyDescent="0.2">
      <c r="A29" s="34" t="s">
        <v>54</v>
      </c>
      <c r="B29" s="35" t="s">
        <v>70</v>
      </c>
      <c r="C29" s="36">
        <v>8.0399999999999991</v>
      </c>
      <c r="D29" s="36">
        <v>11.15</v>
      </c>
      <c r="E29" s="45">
        <v>3.1100000000000012</v>
      </c>
      <c r="F29" s="36">
        <v>8</v>
      </c>
      <c r="G29" s="37">
        <v>-3.1500000000000004</v>
      </c>
      <c r="H29" s="15">
        <v>0</v>
      </c>
      <c r="I29" s="53">
        <v>3.1100000000000012</v>
      </c>
      <c r="J29" s="54">
        <v>7.1950000000000003</v>
      </c>
      <c r="K29" s="53">
        <v>0.43224461431549704</v>
      </c>
      <c r="L29" s="55">
        <v>0</v>
      </c>
    </row>
    <row r="30" spans="1:17" x14ac:dyDescent="0.2">
      <c r="A30" s="34" t="s">
        <v>54</v>
      </c>
      <c r="B30" s="35" t="s">
        <v>72</v>
      </c>
      <c r="C30" s="38">
        <v>2.23</v>
      </c>
      <c r="D30" s="38">
        <v>5.35</v>
      </c>
      <c r="E30" s="37">
        <v>3.1199999999999997</v>
      </c>
      <c r="F30" s="38">
        <v>2.25</v>
      </c>
      <c r="G30" s="46">
        <v>-3.0999999999999996</v>
      </c>
      <c r="H30" s="15">
        <v>2.0000000000000018E-2</v>
      </c>
      <c r="I30" s="47">
        <v>3.0999999999999996</v>
      </c>
      <c r="J30" s="48">
        <v>7</v>
      </c>
      <c r="K30" s="47">
        <v>0.44285714285714278</v>
      </c>
      <c r="L30" s="49">
        <v>6.410256410256417E-3</v>
      </c>
    </row>
    <row r="31" spans="1:17" x14ac:dyDescent="0.2">
      <c r="A31" s="34" t="s">
        <v>54</v>
      </c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0.43400713436385258</v>
      </c>
      <c r="L31" s="49">
        <v>0</v>
      </c>
    </row>
    <row r="32" spans="1:17" x14ac:dyDescent="0.2">
      <c r="A32" s="34" t="s">
        <v>54</v>
      </c>
      <c r="B32" s="35" t="s">
        <v>74</v>
      </c>
      <c r="C32" s="36">
        <v>6.32</v>
      </c>
      <c r="D32" s="36">
        <v>8.7100000000000009</v>
      </c>
      <c r="E32" s="37">
        <v>2.3900000000000006</v>
      </c>
      <c r="F32" s="39">
        <v>6.25</v>
      </c>
      <c r="G32" s="37">
        <v>-2.4600000000000009</v>
      </c>
      <c r="H32" s="15">
        <v>0</v>
      </c>
      <c r="I32" s="47">
        <v>2.3900000000000006</v>
      </c>
      <c r="J32" s="48">
        <v>5.9749999999999996</v>
      </c>
      <c r="K32" s="47">
        <v>0.40000000000000013</v>
      </c>
      <c r="L32" s="49">
        <v>0</v>
      </c>
    </row>
    <row r="33" spans="1:12" x14ac:dyDescent="0.2">
      <c r="A33" s="34" t="s">
        <v>54</v>
      </c>
      <c r="B33" s="35" t="s">
        <v>75</v>
      </c>
      <c r="C33" s="36">
        <v>7.98</v>
      </c>
      <c r="D33" s="36">
        <v>10.17</v>
      </c>
      <c r="E33" s="46">
        <v>2.1899999999999995</v>
      </c>
      <c r="F33" s="39">
        <v>7.92</v>
      </c>
      <c r="G33" s="37">
        <v>-2.25</v>
      </c>
      <c r="H33" s="15">
        <v>0</v>
      </c>
      <c r="I33" s="56">
        <v>2.1899999999999995</v>
      </c>
      <c r="J33" s="57">
        <v>5.2030000000000003</v>
      </c>
      <c r="K33" s="56">
        <v>0.42091101287718613</v>
      </c>
      <c r="L33" s="58">
        <v>0</v>
      </c>
    </row>
    <row r="34" spans="1:12" x14ac:dyDescent="0.2">
      <c r="A34" s="34" t="s">
        <v>54</v>
      </c>
      <c r="B34" s="35" t="s">
        <v>76</v>
      </c>
      <c r="C34" s="36">
        <v>14.28</v>
      </c>
      <c r="D34" s="36">
        <v>15.97</v>
      </c>
      <c r="E34" s="37">
        <v>1.6900000000000013</v>
      </c>
      <c r="F34" s="39">
        <v>14.17</v>
      </c>
      <c r="G34" s="37">
        <v>-1.8000000000000007</v>
      </c>
      <c r="H34" s="15">
        <v>0</v>
      </c>
      <c r="I34" s="47">
        <v>1.6900000000000013</v>
      </c>
      <c r="J34" s="48">
        <v>4.0430000000000001</v>
      </c>
      <c r="K34" s="47">
        <v>0.41800643086816752</v>
      </c>
      <c r="L34" s="49">
        <v>0</v>
      </c>
    </row>
    <row r="35" spans="1:12" x14ac:dyDescent="0.2">
      <c r="A35" s="34" t="s">
        <v>54</v>
      </c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-1.3800000000000008</v>
      </c>
      <c r="H35" s="15">
        <v>0</v>
      </c>
      <c r="I35" s="53">
        <v>1.33</v>
      </c>
      <c r="J35" s="54">
        <v>3.11</v>
      </c>
      <c r="K35" s="53">
        <v>0.42765273311897112</v>
      </c>
      <c r="L35" s="55">
        <v>0</v>
      </c>
    </row>
    <row r="36" spans="1:12" x14ac:dyDescent="0.2">
      <c r="A36" s="34" t="s">
        <v>54</v>
      </c>
      <c r="B36" s="35" t="s">
        <v>78</v>
      </c>
      <c r="C36" s="36">
        <v>6.85</v>
      </c>
      <c r="D36" s="36">
        <v>7.72</v>
      </c>
      <c r="E36" s="37">
        <v>0.87000000000000011</v>
      </c>
      <c r="F36" s="39">
        <v>6.78</v>
      </c>
      <c r="G36" s="37">
        <v>-0.9399999999999995</v>
      </c>
      <c r="H36" s="15">
        <v>0</v>
      </c>
      <c r="I36" s="47">
        <v>0.87000000000000011</v>
      </c>
      <c r="J36" s="48">
        <v>2.3690000000000002</v>
      </c>
      <c r="K36" s="47">
        <v>0.36724356268467712</v>
      </c>
      <c r="L36" s="49">
        <v>0</v>
      </c>
    </row>
    <row r="37" spans="1:12" x14ac:dyDescent="0.2">
      <c r="A37" s="34" t="s">
        <v>54</v>
      </c>
      <c r="B37" s="35" t="s">
        <v>79</v>
      </c>
      <c r="C37" s="36">
        <v>11.92</v>
      </c>
      <c r="D37" s="36">
        <v>12.73</v>
      </c>
      <c r="E37" s="37">
        <v>0.8100000000000005</v>
      </c>
      <c r="F37" s="39">
        <v>11.9</v>
      </c>
      <c r="G37" s="37">
        <v>-0.83000000000000007</v>
      </c>
      <c r="H37" s="15">
        <v>0</v>
      </c>
      <c r="I37" s="47">
        <v>0.8100000000000005</v>
      </c>
      <c r="J37" s="48">
        <v>1.7689999999999999</v>
      </c>
      <c r="K37" s="47">
        <v>0.45788581119276456</v>
      </c>
      <c r="L37" s="49">
        <v>0</v>
      </c>
    </row>
    <row r="38" spans="1:12" x14ac:dyDescent="0.2">
      <c r="A38" s="34" t="s">
        <v>54</v>
      </c>
      <c r="B38" s="35" t="s">
        <v>80</v>
      </c>
      <c r="C38" s="36">
        <v>16.899999999999999</v>
      </c>
      <c r="D38" s="36">
        <v>17.41</v>
      </c>
      <c r="E38" s="37">
        <v>0.51000000000000156</v>
      </c>
      <c r="F38" s="39">
        <v>16.739999999999998</v>
      </c>
      <c r="G38" s="37">
        <v>-0.67000000000000171</v>
      </c>
      <c r="H38" s="15">
        <v>0</v>
      </c>
      <c r="I38" s="47">
        <v>0.51000000000000156</v>
      </c>
      <c r="J38" s="48">
        <v>1.2709999999999999</v>
      </c>
      <c r="K38" s="47">
        <v>0.40125885129819167</v>
      </c>
      <c r="L38" s="49">
        <v>0</v>
      </c>
    </row>
    <row r="39" spans="1:12" x14ac:dyDescent="0.2">
      <c r="A39" s="34" t="s">
        <v>54</v>
      </c>
      <c r="B39" s="35" t="s">
        <v>81</v>
      </c>
      <c r="C39" s="36">
        <v>12.43</v>
      </c>
      <c r="D39" s="36">
        <v>12.84</v>
      </c>
      <c r="E39" s="46">
        <v>0.41000000000000014</v>
      </c>
      <c r="F39" s="39">
        <v>12.5</v>
      </c>
      <c r="G39" s="37">
        <v>-0.33999999999999986</v>
      </c>
      <c r="H39" s="15">
        <v>7.0000000000000284E-2</v>
      </c>
      <c r="I39" s="56">
        <v>0.33999999999999986</v>
      </c>
      <c r="J39" s="57">
        <v>0.85199999999999998</v>
      </c>
      <c r="K39" s="56">
        <v>0.39906103286384959</v>
      </c>
      <c r="L39" s="58">
        <v>0.17073170731707379</v>
      </c>
    </row>
    <row r="40" spans="1:12" x14ac:dyDescent="0.2">
      <c r="A40" s="34" t="s">
        <v>54</v>
      </c>
      <c r="B40" s="40" t="s">
        <v>82</v>
      </c>
      <c r="C40" s="41">
        <v>13.65</v>
      </c>
      <c r="D40" s="36">
        <v>14.18</v>
      </c>
      <c r="E40" s="37">
        <v>0.52999999999999936</v>
      </c>
      <c r="F40" s="39">
        <v>13.68</v>
      </c>
      <c r="G40" s="37">
        <v>-0.5</v>
      </c>
      <c r="H40" s="15">
        <v>2.9999999999999361E-2</v>
      </c>
      <c r="I40" s="47">
        <v>0.5</v>
      </c>
      <c r="J40" s="48">
        <v>0.499</v>
      </c>
      <c r="K40" s="47">
        <v>1.002004008016032</v>
      </c>
      <c r="L40" s="49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G3"/>
  <sheetViews>
    <sheetView workbookViewId="0"/>
  </sheetViews>
  <sheetFormatPr defaultColWidth="9" defaultRowHeight="14.25" x14ac:dyDescent="0.2"/>
  <sheetData>
    <row r="3" spans="7:7" x14ac:dyDescent="0.2">
      <c r="G3" t="s">
        <v>83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3B8A-8888-432C-B91C-69CEA05260FD}">
  <sheetPr codeName="Sheet7"/>
  <dimension ref="A1:P15"/>
  <sheetViews>
    <sheetView workbookViewId="0">
      <selection activeCell="A2" sqref="A2"/>
    </sheetView>
  </sheetViews>
  <sheetFormatPr defaultRowHeight="14.25" x14ac:dyDescent="0.2"/>
  <cols>
    <col min="6" max="6" width="22.875" bestFit="1" customWidth="1"/>
    <col min="10" max="10" width="11.125" customWidth="1"/>
    <col min="16" max="16" width="22.875" bestFit="1" customWidth="1"/>
  </cols>
  <sheetData>
    <row r="1" spans="1:16" x14ac:dyDescent="0.2">
      <c r="A1" s="59" t="s">
        <v>90</v>
      </c>
      <c r="B1" s="59" t="s">
        <v>91</v>
      </c>
      <c r="C1" s="59" t="s">
        <v>100</v>
      </c>
      <c r="D1" s="59" t="s">
        <v>99</v>
      </c>
      <c r="E1" s="59" t="s">
        <v>104</v>
      </c>
      <c r="F1" s="59" t="s">
        <v>103</v>
      </c>
      <c r="J1" s="59" t="s">
        <v>105</v>
      </c>
      <c r="K1" s="59" t="s">
        <v>90</v>
      </c>
      <c r="L1" s="59" t="s">
        <v>91</v>
      </c>
      <c r="M1" s="59" t="s">
        <v>100</v>
      </c>
      <c r="N1" s="59" t="s">
        <v>99</v>
      </c>
      <c r="O1" s="59" t="s">
        <v>104</v>
      </c>
      <c r="P1" s="59" t="s">
        <v>103</v>
      </c>
    </row>
    <row r="2" spans="1:16" x14ac:dyDescent="0.2">
      <c r="A2" s="61"/>
      <c r="B2" s="59"/>
      <c r="J2" s="59"/>
      <c r="K2" s="61" t="s">
        <v>101</v>
      </c>
      <c r="L2" s="59" t="s">
        <v>92</v>
      </c>
      <c r="M2">
        <v>0</v>
      </c>
      <c r="N2">
        <v>1.7195100000000001</v>
      </c>
      <c r="O2">
        <v>0</v>
      </c>
    </row>
    <row r="3" spans="1:16" x14ac:dyDescent="0.2">
      <c r="A3" s="7"/>
      <c r="B3" s="61"/>
      <c r="K3" s="7" t="s">
        <v>40</v>
      </c>
      <c r="L3" s="61" t="s">
        <v>101</v>
      </c>
      <c r="M3">
        <v>1.34327</v>
      </c>
      <c r="N3">
        <v>1.7195100000000001</v>
      </c>
    </row>
    <row r="4" spans="1:16" x14ac:dyDescent="0.2">
      <c r="A4" s="7"/>
      <c r="B4" s="7"/>
      <c r="K4" s="7" t="s">
        <v>41</v>
      </c>
      <c r="L4" s="7" t="s">
        <v>89</v>
      </c>
      <c r="M4">
        <v>1.36554</v>
      </c>
      <c r="N4">
        <v>1.7195100000000001</v>
      </c>
    </row>
    <row r="5" spans="1:16" x14ac:dyDescent="0.2">
      <c r="A5" s="7"/>
      <c r="B5" s="7"/>
      <c r="K5" s="7" t="s">
        <v>42</v>
      </c>
      <c r="L5" s="7" t="s">
        <v>89</v>
      </c>
      <c r="M5">
        <v>1.38873</v>
      </c>
      <c r="N5">
        <v>1.7195100000000001</v>
      </c>
    </row>
    <row r="6" spans="1:16" x14ac:dyDescent="0.2">
      <c r="A6" s="7"/>
      <c r="B6" s="7"/>
      <c r="K6" s="7" t="s">
        <v>43</v>
      </c>
      <c r="L6" s="7" t="s">
        <v>89</v>
      </c>
      <c r="M6">
        <v>1.7493399999999999</v>
      </c>
      <c r="N6">
        <v>1.7195100000000001</v>
      </c>
    </row>
    <row r="7" spans="1:16" x14ac:dyDescent="0.2">
      <c r="A7" s="7"/>
      <c r="B7" s="7"/>
      <c r="K7" s="7" t="s">
        <v>44</v>
      </c>
      <c r="L7" s="7" t="s">
        <v>89</v>
      </c>
      <c r="M7">
        <v>1.72875</v>
      </c>
      <c r="N7">
        <v>1.7195100000000001</v>
      </c>
    </row>
    <row r="8" spans="1:16" x14ac:dyDescent="0.2">
      <c r="A8" s="7"/>
      <c r="B8" s="7"/>
      <c r="K8" s="7" t="s">
        <v>45</v>
      </c>
      <c r="L8" s="7" t="s">
        <v>89</v>
      </c>
      <c r="M8">
        <v>1.6987000000000001</v>
      </c>
      <c r="N8">
        <v>1.7195100000000001</v>
      </c>
    </row>
    <row r="9" spans="1:16" x14ac:dyDescent="0.2">
      <c r="A9" s="7"/>
      <c r="B9" s="7"/>
      <c r="K9" s="7" t="s">
        <v>46</v>
      </c>
      <c r="L9" s="7" t="s">
        <v>89</v>
      </c>
      <c r="M9">
        <v>1.67526</v>
      </c>
      <c r="N9">
        <v>1.7195100000000001</v>
      </c>
    </row>
    <row r="10" spans="1:16" x14ac:dyDescent="0.2">
      <c r="A10" s="7"/>
      <c r="B10" s="7"/>
      <c r="K10" s="7" t="s">
        <v>47</v>
      </c>
      <c r="L10" s="7" t="s">
        <v>89</v>
      </c>
      <c r="M10">
        <v>1.6615500000000001</v>
      </c>
      <c r="N10">
        <v>1.7195100000000001</v>
      </c>
    </row>
    <row r="11" spans="1:16" x14ac:dyDescent="0.2">
      <c r="A11" s="7"/>
      <c r="B11" s="7"/>
      <c r="K11" s="7" t="s">
        <v>48</v>
      </c>
      <c r="L11" s="7" t="s">
        <v>89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93</v>
      </c>
      <c r="L12" s="60" t="s">
        <v>95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94</v>
      </c>
      <c r="L13" s="60" t="s">
        <v>95</v>
      </c>
      <c r="M13">
        <v>1.66256</v>
      </c>
      <c r="N13">
        <v>1.7235199999999999</v>
      </c>
    </row>
    <row r="14" spans="1:16" x14ac:dyDescent="0.2">
      <c r="A14" s="60"/>
      <c r="B14" s="61"/>
      <c r="K14" s="60" t="s">
        <v>96</v>
      </c>
      <c r="L14" s="61" t="s">
        <v>97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98</v>
      </c>
      <c r="L15" s="60" t="s">
        <v>96</v>
      </c>
      <c r="M15">
        <v>1.6582300000000001</v>
      </c>
      <c r="N15">
        <v>1.7163900000000001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58</v>
      </c>
      <c r="C1" t="s">
        <v>59</v>
      </c>
      <c r="E1" t="s">
        <v>58</v>
      </c>
      <c r="F1" t="s">
        <v>59</v>
      </c>
    </row>
    <row r="2" spans="1:6" x14ac:dyDescent="0.2">
      <c r="A2" t="s">
        <v>73</v>
      </c>
      <c r="B2">
        <v>0.97</v>
      </c>
      <c r="C2">
        <v>2.3420000000000001</v>
      </c>
      <c r="D2" t="s">
        <v>73</v>
      </c>
      <c r="E2">
        <v>0.97</v>
      </c>
      <c r="F2">
        <v>2.3420000000000001</v>
      </c>
    </row>
    <row r="3" spans="1:6" x14ac:dyDescent="0.2">
      <c r="A3" t="s">
        <v>74</v>
      </c>
      <c r="B3">
        <v>1.28</v>
      </c>
      <c r="C3">
        <v>3.0790000000000002</v>
      </c>
      <c r="D3" t="s">
        <v>74</v>
      </c>
      <c r="E3">
        <v>1.28</v>
      </c>
      <c r="F3">
        <v>3.0790000000000002</v>
      </c>
    </row>
    <row r="4" spans="1:6" x14ac:dyDescent="0.2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 x14ac:dyDescent="0.2">
      <c r="A5" t="s">
        <v>76</v>
      </c>
      <c r="B5">
        <v>2.0299999999999998</v>
      </c>
      <c r="C5">
        <v>5.16</v>
      </c>
      <c r="D5" t="s">
        <v>76</v>
      </c>
      <c r="E5">
        <v>5</v>
      </c>
      <c r="F5">
        <v>5.16</v>
      </c>
    </row>
    <row r="6" spans="1:6" x14ac:dyDescent="0.2">
      <c r="A6" t="s">
        <v>77</v>
      </c>
      <c r="B6">
        <v>2.5</v>
      </c>
      <c r="C6">
        <v>5.9530000000000003</v>
      </c>
      <c r="D6" t="s">
        <v>77</v>
      </c>
      <c r="E6">
        <v>2.5</v>
      </c>
      <c r="F6">
        <v>5.9530000000000003</v>
      </c>
    </row>
    <row r="7" spans="1:6" x14ac:dyDescent="0.2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 x14ac:dyDescent="0.2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 x14ac:dyDescent="0.2">
      <c r="A9" t="s">
        <v>80</v>
      </c>
      <c r="B9">
        <v>3.1</v>
      </c>
      <c r="C9">
        <v>7.2679999999999998</v>
      </c>
      <c r="D9" t="s">
        <v>80</v>
      </c>
      <c r="E9">
        <v>3.1</v>
      </c>
      <c r="F9">
        <v>7.2679999999999998</v>
      </c>
    </row>
    <row r="10" spans="1:6" x14ac:dyDescent="0.2">
      <c r="A10" t="s">
        <v>81</v>
      </c>
      <c r="B10">
        <v>2.77</v>
      </c>
      <c r="C10">
        <v>6.7930000000000001</v>
      </c>
      <c r="D10" t="s">
        <v>81</v>
      </c>
      <c r="E10">
        <v>2.77</v>
      </c>
      <c r="F10">
        <v>6.7930000000000001</v>
      </c>
    </row>
    <row r="11" spans="1:6" x14ac:dyDescent="0.2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ht="14.25" customHeight="1" x14ac:dyDescent="0.2">
      <c r="A11" s="65" t="s">
        <v>16</v>
      </c>
      <c r="B11" s="65"/>
      <c r="C11" s="65"/>
      <c r="D11" s="65"/>
      <c r="E11" s="65"/>
      <c r="F11" s="65"/>
      <c r="G11" s="65"/>
      <c r="H11" s="65"/>
      <c r="L11" s="67" t="s">
        <v>17</v>
      </c>
      <c r="M11" s="67"/>
      <c r="N11" s="67"/>
      <c r="O11" s="67"/>
      <c r="P11" s="67"/>
      <c r="Q11" s="67"/>
      <c r="R11" s="67"/>
      <c r="S11" s="67"/>
      <c r="T11" s="67"/>
      <c r="U11" s="67"/>
      <c r="Y11" s="67" t="s">
        <v>18</v>
      </c>
      <c r="Z11" s="67"/>
      <c r="AA11" s="67"/>
      <c r="AB11" s="67"/>
      <c r="AC11" s="67"/>
      <c r="AD11" s="67"/>
      <c r="AE11" s="67"/>
      <c r="AF11" s="67"/>
    </row>
    <row r="12" spans="1:32" x14ac:dyDescent="0.2">
      <c r="A12" s="66"/>
      <c r="B12" s="66"/>
      <c r="C12" s="66"/>
      <c r="D12" s="66"/>
      <c r="E12" s="66"/>
      <c r="F12" s="66"/>
      <c r="G12" s="66"/>
      <c r="H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Y12" s="66"/>
      <c r="Z12" s="66"/>
      <c r="AA12" s="66"/>
      <c r="AB12" s="66"/>
      <c r="AC12" s="66"/>
      <c r="AD12" s="66"/>
      <c r="AE12" s="66"/>
      <c r="AF12" s="66"/>
    </row>
    <row r="13" spans="1:32" ht="14.25" customHeight="1" x14ac:dyDescent="0.2">
      <c r="A13" s="62" t="s">
        <v>19</v>
      </c>
      <c r="B13" s="62" t="s">
        <v>20</v>
      </c>
      <c r="C13" s="62" t="s">
        <v>21</v>
      </c>
      <c r="D13" s="62"/>
      <c r="E13" s="62" t="s">
        <v>22</v>
      </c>
      <c r="F13" s="62"/>
      <c r="G13" s="62" t="s">
        <v>23</v>
      </c>
      <c r="H13" s="62"/>
      <c r="L13" s="62" t="s">
        <v>19</v>
      </c>
      <c r="M13" s="62" t="s">
        <v>20</v>
      </c>
      <c r="N13" s="68" t="s">
        <v>22</v>
      </c>
      <c r="O13" s="68"/>
      <c r="P13" s="68"/>
      <c r="Q13" s="69" t="s">
        <v>23</v>
      </c>
      <c r="R13" s="70"/>
      <c r="S13" s="71"/>
      <c r="T13" s="68" t="s">
        <v>24</v>
      </c>
      <c r="U13" s="68"/>
      <c r="Y13" s="63" t="s">
        <v>19</v>
      </c>
      <c r="Z13" s="63" t="s">
        <v>20</v>
      </c>
      <c r="AA13" s="62" t="s">
        <v>25</v>
      </c>
      <c r="AB13" s="62"/>
      <c r="AC13" s="62"/>
      <c r="AD13" s="62" t="s">
        <v>26</v>
      </c>
      <c r="AE13" s="62" t="s">
        <v>27</v>
      </c>
      <c r="AF13" s="63" t="s">
        <v>28</v>
      </c>
    </row>
    <row r="14" spans="1:32" ht="30.75" x14ac:dyDescent="0.2">
      <c r="A14" s="62"/>
      <c r="B14" s="62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2"/>
      <c r="M14" s="62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4"/>
      <c r="Z14" s="64"/>
      <c r="AA14" s="2" t="s">
        <v>37</v>
      </c>
      <c r="AB14" s="2" t="s">
        <v>38</v>
      </c>
      <c r="AC14" s="2" t="s">
        <v>35</v>
      </c>
      <c r="AD14" s="62"/>
      <c r="AE14" s="62"/>
      <c r="AF14" s="64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42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ht="15" thickBot="1" x14ac:dyDescent="0.25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si="3"/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5">E32-C32</f>
        <v>7</v>
      </c>
      <c r="O32" s="9">
        <f t="shared" si="5"/>
        <v>-0.40000000000000213</v>
      </c>
      <c r="P32" s="10">
        <f t="shared" si="0"/>
        <v>25.698492099999999</v>
      </c>
      <c r="Q32" s="9">
        <f t="shared" ref="Q32:R42" si="6">G32-C32</f>
        <v>-3.8999999999999773</v>
      </c>
      <c r="R32" s="9">
        <f t="shared" si="6"/>
        <v>-0.30000000000000071</v>
      </c>
      <c r="S32" s="10">
        <f t="shared" si="3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5"/>
        <v>10.699999999999932</v>
      </c>
      <c r="O33" s="9">
        <f t="shared" si="5"/>
        <v>-0.40000000000000213</v>
      </c>
      <c r="P33" s="10">
        <f t="shared" si="0"/>
        <v>39.662552209999738</v>
      </c>
      <c r="Q33" s="9">
        <f t="shared" si="6"/>
        <v>-2.2000000000000455</v>
      </c>
      <c r="R33" s="9">
        <f t="shared" si="6"/>
        <v>-0.30000000000000071</v>
      </c>
      <c r="S33" s="10">
        <f t="shared" si="3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5"/>
        <v>9.6000000000000227</v>
      </c>
      <c r="O34" s="9">
        <f t="shared" si="5"/>
        <v>-0.40000000000000213</v>
      </c>
      <c r="P34" s="10">
        <f t="shared" si="0"/>
        <v>35.511074880000081</v>
      </c>
      <c r="Q34" s="9">
        <f t="shared" si="6"/>
        <v>0.5</v>
      </c>
      <c r="R34" s="9">
        <f t="shared" si="6"/>
        <v>-0.30000000000000071</v>
      </c>
      <c r="S34" s="10">
        <f t="shared" si="3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5"/>
        <v>2.8999999999999773</v>
      </c>
      <c r="O35" s="9">
        <f t="shared" si="5"/>
        <v>-0.40000000000000213</v>
      </c>
      <c r="P35" s="10">
        <f t="shared" si="0"/>
        <v>10.224803869999912</v>
      </c>
      <c r="Q35" s="9">
        <f t="shared" si="6"/>
        <v>-0.39999999999997726</v>
      </c>
      <c r="R35" s="9">
        <f t="shared" si="6"/>
        <v>-0.30000000000000071</v>
      </c>
      <c r="S35" s="10">
        <f t="shared" si="3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5"/>
        <v>5.1000000000000227</v>
      </c>
      <c r="O36" s="9">
        <f t="shared" si="5"/>
        <v>-0.30000000000000071</v>
      </c>
      <c r="P36" s="10">
        <f t="shared" si="0"/>
        <v>18.707758530000085</v>
      </c>
      <c r="Q36" s="9">
        <f t="shared" si="6"/>
        <v>0.10000000000002274</v>
      </c>
      <c r="R36" s="9">
        <f t="shared" si="6"/>
        <v>-0.19999999999999929</v>
      </c>
      <c r="S36" s="10">
        <f t="shared" si="3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5"/>
        <v>4.8999999999999773</v>
      </c>
      <c r="O37" s="9">
        <f t="shared" si="5"/>
        <v>-0.30000000000000071</v>
      </c>
      <c r="P37" s="10">
        <f t="shared" si="0"/>
        <v>17.952944469999913</v>
      </c>
      <c r="Q37" s="9">
        <f t="shared" si="6"/>
        <v>0.20000000000004547</v>
      </c>
      <c r="R37" s="9">
        <f t="shared" si="6"/>
        <v>-0.19999999999999929</v>
      </c>
      <c r="S37" s="10">
        <f t="shared" si="3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5"/>
        <v>0.79999999999995453</v>
      </c>
      <c r="O38" s="9">
        <f t="shared" si="5"/>
        <v>-0.40000000000000213</v>
      </c>
      <c r="P38" s="10">
        <f t="shared" si="0"/>
        <v>2.2992562399998251</v>
      </c>
      <c r="Q38" s="9">
        <f t="shared" si="6"/>
        <v>-0.30000000000006821</v>
      </c>
      <c r="R38" s="9">
        <f t="shared" si="6"/>
        <v>-0.30000000000000071</v>
      </c>
      <c r="S38" s="10">
        <f t="shared" si="3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5"/>
        <v>2.3000000000000682</v>
      </c>
      <c r="O39" s="9">
        <f t="shared" si="5"/>
        <v>-0.30000000000000071</v>
      </c>
      <c r="P39" s="10">
        <f t="shared" si="0"/>
        <v>8.1403616900002582</v>
      </c>
      <c r="Q39" s="9">
        <f t="shared" si="6"/>
        <v>-0.19999999999993179</v>
      </c>
      <c r="R39" s="9">
        <f t="shared" si="6"/>
        <v>-0.19999999999999929</v>
      </c>
      <c r="S39" s="10">
        <f t="shared" si="3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5"/>
        <v>2.8999999999999773</v>
      </c>
      <c r="O40" s="9">
        <f t="shared" si="5"/>
        <v>-0.30000000000000071</v>
      </c>
      <c r="P40" s="10">
        <f t="shared" si="0"/>
        <v>10.404803869999915</v>
      </c>
      <c r="Q40" s="9">
        <f t="shared" si="6"/>
        <v>0.39999999999997726</v>
      </c>
      <c r="R40" s="9">
        <f t="shared" si="6"/>
        <v>-0.19999999999999929</v>
      </c>
      <c r="S40" s="10">
        <f t="shared" si="3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5"/>
        <v>2</v>
      </c>
      <c r="O41" s="9">
        <f t="shared" si="5"/>
        <v>-0.30000000000000071</v>
      </c>
      <c r="P41" s="10">
        <f t="shared" si="0"/>
        <v>7.0081405999999999</v>
      </c>
      <c r="Q41" s="9">
        <f t="shared" si="6"/>
        <v>9.9999999999909051E-2</v>
      </c>
      <c r="R41" s="9">
        <f t="shared" si="6"/>
        <v>-0.30000000000000071</v>
      </c>
      <c r="S41" s="10">
        <f t="shared" si="3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5"/>
        <v>1.5999999999999091</v>
      </c>
      <c r="O42" s="9">
        <f t="shared" si="5"/>
        <v>-0.19999999999999929</v>
      </c>
      <c r="P42" s="10">
        <f t="shared" si="0"/>
        <v>5.6785124799996591</v>
      </c>
      <c r="Q42" s="9">
        <f t="shared" si="6"/>
        <v>-0.40000000000009095</v>
      </c>
      <c r="R42" s="9">
        <f t="shared" si="6"/>
        <v>-0.30000000000000071</v>
      </c>
      <c r="S42" s="10">
        <f t="shared" si="3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A13:AC13"/>
    <mergeCell ref="AD13:AD14"/>
    <mergeCell ref="AE13:AE14"/>
    <mergeCell ref="A11:H12"/>
    <mergeCell ref="L11:U12"/>
    <mergeCell ref="Y11:AF12"/>
    <mergeCell ref="A13:A14"/>
    <mergeCell ref="B13:B14"/>
    <mergeCell ref="C13:D13"/>
    <mergeCell ref="E13:F13"/>
    <mergeCell ref="G13:H13"/>
    <mergeCell ref="L13:L14"/>
    <mergeCell ref="M13:M14"/>
    <mergeCell ref="N13:P13"/>
    <mergeCell ref="Q13:S13"/>
    <mergeCell ref="T13:U13"/>
    <mergeCell ref="AF13:AF14"/>
    <mergeCell ref="Y13:Y14"/>
    <mergeCell ref="Z13:Z14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2" t="s">
        <v>19</v>
      </c>
      <c r="B11" s="72" t="s">
        <v>20</v>
      </c>
      <c r="C11" s="62" t="s">
        <v>57</v>
      </c>
      <c r="D11" s="62" t="s">
        <v>22</v>
      </c>
      <c r="E11" s="62"/>
      <c r="F11" s="62" t="s">
        <v>23</v>
      </c>
      <c r="G11" s="62"/>
      <c r="H11" s="62"/>
      <c r="I11" s="62" t="s">
        <v>58</v>
      </c>
      <c r="J11" s="62" t="s">
        <v>59</v>
      </c>
      <c r="K11" s="62" t="s">
        <v>27</v>
      </c>
      <c r="L11" s="62" t="s">
        <v>60</v>
      </c>
    </row>
    <row r="12" spans="1:19" x14ac:dyDescent="0.2">
      <c r="A12" s="72"/>
      <c r="B12" s="73"/>
      <c r="C12" s="63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2"/>
      <c r="J12" s="62"/>
      <c r="K12" s="62"/>
      <c r="L12" s="62"/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ht="15" thickBot="1" x14ac:dyDescent="0.25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ht="15" thickBot="1" x14ac:dyDescent="0.25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I11:I12"/>
    <mergeCell ref="J11:J12"/>
    <mergeCell ref="K11:K12"/>
    <mergeCell ref="L11:L12"/>
    <mergeCell ref="A11:A12"/>
    <mergeCell ref="B11:B12"/>
    <mergeCell ref="C11:C12"/>
    <mergeCell ref="D11:E11"/>
    <mergeCell ref="F11:H11"/>
  </mergeCells>
  <phoneticPr fontId="6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2018-12-16T15:04:36Z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