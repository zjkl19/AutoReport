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<sst xmlns="http://schemas.openxmlformats.org/spreadsheetml/2006/main" count="104">
  <si>
    <t>CopyRight 2018 - 福建省建筑科学研究院 - 福建省建筑工程质量检测中心有限公司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</si>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</sst>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177" formatCode="0_ "/>
    <numFmt numFmtId="41" formatCode="_ * #,##0_ ;_ * \-#,##0_ ;_ * &quot;-&quot;_ ;_ @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8" fillId="23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6" borderId="14" applyNumberFormat="0" applyFon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3" fillId="0" borderId="12" applyNumberFormat="0" applyFill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5" fillId="0" borderId="16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2" fillId="15" borderId="13" applyNumberFormat="0" applyAlignment="0" applyProtection="0">
      <alignment vertical="center"/>
    </xf>
    <xf numFmtId="0" fontId="19" fillId="15" borderId="17" applyNumberFormat="0" applyAlignment="0" applyProtection="0">
      <alignment vertical="center"/>
    </xf>
    <xf numFmtId="0" fontId="8" fillId="10" borderId="11" applyNumberFormat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</cellStyleXfs>
  <cellXfs count="7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313690</xdr:colOff>
          <xdr:row>13</xdr:row>
          <xdr:rowOff>19050</xdr:rowOff>
        </xdr:to>
        <xdr:sp macro="[0]!DeleteAllCharts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6419850" y="1933575"/>
              <a:ext cx="1313815" cy="32385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删除本页所有图表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[0]!AutoStrainGraph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6372225" y="1409700"/>
              <a:ext cx="1228725" cy="28575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自动作图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[0]!DeleteAllChart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8963025" y="3086100"/>
              <a:ext cx="142875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删除本页所有图表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WordDisp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580390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2840" cy="2952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导出Word计算书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79120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4.xml"/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8"/>
  <sheetViews>
    <sheetView workbookViewId="0">
      <selection activeCell="D8" sqref="D8"/>
    </sheetView>
  </sheetViews>
  <sheetFormatPr defaultColWidth="9" defaultRowHeight="13.5" outlineLevelRow="7" outlineLevelCol="3"/>
  <sheetData>
    <row r="8" spans="4:4">
      <c r="D8" s="1" t="s">
        <v>0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abSelected="1" topLeftCell="B1" workbookViewId="0">
      <selection activeCell="F6" sqref="F6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0.186</v>
      </c>
      <c r="D8" s="2">
        <v>0.1105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f t="shared" ref="P15:P42" si="0">3.7*1.020019*(N15)+1.8*(O15)</f>
        <v>9.27258278000009</v>
      </c>
      <c r="Q15" s="42">
        <v>0.600000000000023</v>
      </c>
      <c r="R15" s="42"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v>1.80000000000007</v>
      </c>
      <c r="O16" s="42">
        <v>-0.199999999999999</v>
      </c>
      <c r="P16" s="43">
        <f t="shared" si="0"/>
        <v>6.43332654000026</v>
      </c>
      <c r="Q16" s="42">
        <v>0.399999999999977</v>
      </c>
      <c r="R16" s="42">
        <v>-0.299999999999997</v>
      </c>
      <c r="S16" s="43">
        <f t="shared" ref="S16:S30" si="1">IF(3.7*1.020019*(Q16)+1.8*(R16)&gt;=0,3.7*1.020019*(Q16)+1.8*(R16),0)</f>
        <v>0.969628119999919</v>
      </c>
      <c r="T16" s="51">
        <v>0.4</v>
      </c>
      <c r="U16" s="35">
        <f t="shared" ref="U16:U42" si="2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v>2.89999999999998</v>
      </c>
      <c r="O17" s="42">
        <v>-0.199999999999999</v>
      </c>
      <c r="P17" s="43">
        <f t="shared" si="0"/>
        <v>10.5848038699999</v>
      </c>
      <c r="Q17" s="42">
        <v>0.600000000000023</v>
      </c>
      <c r="R17" s="42">
        <v>-0.300000000000001</v>
      </c>
      <c r="S17" s="43">
        <f t="shared" si="1"/>
        <v>1.72444218000008</v>
      </c>
      <c r="T17" s="52">
        <v>0.6</v>
      </c>
      <c r="U17" s="36">
        <f t="shared" si="2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v>0.800000000000011</v>
      </c>
      <c r="O18" s="42">
        <v>-0.199999999999999</v>
      </c>
      <c r="P18" s="43">
        <f t="shared" si="0"/>
        <v>2.65925624000004</v>
      </c>
      <c r="Q18" s="42">
        <v>-1.89999999999998</v>
      </c>
      <c r="R18" s="42">
        <v>-0.300000000000001</v>
      </c>
      <c r="S18" s="43">
        <f t="shared" si="1"/>
        <v>0</v>
      </c>
      <c r="T18" s="53">
        <v>0.8</v>
      </c>
      <c r="U18" s="35">
        <f t="shared" si="2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v>4.10000000000002</v>
      </c>
      <c r="O19" s="42">
        <v>-0.199999999999999</v>
      </c>
      <c r="P19" s="43">
        <f t="shared" si="0"/>
        <v>15.1136882300001</v>
      </c>
      <c r="Q19" s="42">
        <v>-1.20000000000005</v>
      </c>
      <c r="R19" s="42">
        <v>-0.400000000000002</v>
      </c>
      <c r="S19" s="43">
        <f t="shared" si="1"/>
        <v>0</v>
      </c>
      <c r="T19" s="53">
        <v>1</v>
      </c>
      <c r="U19" s="35">
        <f t="shared" si="2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v>4.5</v>
      </c>
      <c r="O20" s="42">
        <v>-0.199999999999999</v>
      </c>
      <c r="P20" s="43">
        <f t="shared" si="0"/>
        <v>16.62331635</v>
      </c>
      <c r="Q20" s="42">
        <v>0.399999999999977</v>
      </c>
      <c r="R20" s="42">
        <v>-0.300000000000001</v>
      </c>
      <c r="S20" s="43">
        <f t="shared" si="1"/>
        <v>0.969628119999913</v>
      </c>
      <c r="T20" s="53">
        <v>1.4</v>
      </c>
      <c r="U20" s="35">
        <f t="shared" si="2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v>1.19999999999999</v>
      </c>
      <c r="O21" s="42">
        <v>-0.199999999999999</v>
      </c>
      <c r="P21" s="43">
        <f t="shared" si="0"/>
        <v>4.16888435999996</v>
      </c>
      <c r="Q21" s="42">
        <v>-0.199999999999989</v>
      </c>
      <c r="R21" s="42">
        <v>-0.300000000000001</v>
      </c>
      <c r="S21" s="43">
        <f t="shared" si="1"/>
        <v>0</v>
      </c>
      <c r="T21" s="54">
        <v>1.9</v>
      </c>
      <c r="U21" s="37">
        <f t="shared" si="2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v>6.39999999999998</v>
      </c>
      <c r="O22" s="42">
        <v>-0.0999999999999979</v>
      </c>
      <c r="P22" s="43">
        <f t="shared" si="0"/>
        <v>23.9740499199999</v>
      </c>
      <c r="Q22" s="42">
        <v>0.100000000000023</v>
      </c>
      <c r="R22" s="42">
        <v>-0.199999999999999</v>
      </c>
      <c r="S22" s="43">
        <f t="shared" si="1"/>
        <v>0.0174070300000871</v>
      </c>
      <c r="T22" s="53">
        <v>2.9</v>
      </c>
      <c r="U22" s="35">
        <f t="shared" si="2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v>7.79999999999995</v>
      </c>
      <c r="O23" s="42">
        <v>-0.0999999999999979</v>
      </c>
      <c r="P23" s="43">
        <f t="shared" si="0"/>
        <v>29.2577483399998</v>
      </c>
      <c r="Q23" s="42">
        <v>0.200000000000045</v>
      </c>
      <c r="R23" s="42">
        <v>-0.199999999999999</v>
      </c>
      <c r="S23" s="43">
        <f t="shared" si="1"/>
        <v>0.394814060000173</v>
      </c>
      <c r="T23" s="53">
        <v>3.2</v>
      </c>
      <c r="U23" s="35">
        <f t="shared" si="2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v>2.69999999999993</v>
      </c>
      <c r="O24" s="42">
        <v>-0.199999999999999</v>
      </c>
      <c r="P24" s="43">
        <f t="shared" si="0"/>
        <v>9.82998980999974</v>
      </c>
      <c r="Q24" s="42">
        <v>-0.200000000000045</v>
      </c>
      <c r="R24" s="42">
        <v>-0.199999999999999</v>
      </c>
      <c r="S24" s="43">
        <f t="shared" si="1"/>
        <v>0</v>
      </c>
      <c r="T24" s="54">
        <v>3.6</v>
      </c>
      <c r="U24" s="37">
        <f t="shared" si="2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v>10.6</v>
      </c>
      <c r="O25" s="42">
        <v>-0.0999999999999979</v>
      </c>
      <c r="P25" s="43">
        <f t="shared" si="0"/>
        <v>39.8251451800001</v>
      </c>
      <c r="Q25" s="42">
        <v>-0.100000000000023</v>
      </c>
      <c r="R25" s="42">
        <v>-0.199999999999999</v>
      </c>
      <c r="S25" s="43">
        <f t="shared" si="1"/>
        <v>0</v>
      </c>
      <c r="T25" s="53">
        <v>3.5</v>
      </c>
      <c r="U25" s="35">
        <f t="shared" si="2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v>11.5</v>
      </c>
      <c r="O26" s="42">
        <v>-0.100000000000001</v>
      </c>
      <c r="P26" s="43">
        <f t="shared" si="0"/>
        <v>43.22180845</v>
      </c>
      <c r="Q26" s="42">
        <v>0.399999999999977</v>
      </c>
      <c r="R26" s="42">
        <v>-0.199999999999999</v>
      </c>
      <c r="S26" s="43">
        <f t="shared" si="1"/>
        <v>1.14962811999992</v>
      </c>
      <c r="T26" s="53">
        <v>3.6</v>
      </c>
      <c r="U26" s="35">
        <f t="shared" si="2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v>9.09999999999991</v>
      </c>
      <c r="O27" s="42">
        <v>-0.199999999999999</v>
      </c>
      <c r="P27" s="43">
        <f t="shared" si="0"/>
        <v>33.9840397299997</v>
      </c>
      <c r="Q27" s="42">
        <v>0.199999999999932</v>
      </c>
      <c r="R27" s="42">
        <v>-0.300000000000001</v>
      </c>
      <c r="S27" s="43">
        <f t="shared" si="1"/>
        <v>0.214814059999741</v>
      </c>
      <c r="T27" s="54">
        <v>3.1</v>
      </c>
      <c r="U27" s="37">
        <f t="shared" si="2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v>10.8</v>
      </c>
      <c r="O28" s="44">
        <v>-0.100000000000001</v>
      </c>
      <c r="P28" s="45">
        <f t="shared" si="0"/>
        <v>40.5799592399998</v>
      </c>
      <c r="Q28" s="44">
        <v>-0.400000000000091</v>
      </c>
      <c r="R28" s="44">
        <v>-0.199999999999999</v>
      </c>
      <c r="S28" s="43">
        <f t="shared" si="1"/>
        <v>0</v>
      </c>
      <c r="T28" s="55">
        <v>2.9</v>
      </c>
      <c r="U28" s="36">
        <f t="shared" si="2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v>12.1</v>
      </c>
      <c r="O29" s="46">
        <v>-0.5</v>
      </c>
      <c r="P29" s="47">
        <f t="shared" si="0"/>
        <v>44.7662506300001</v>
      </c>
      <c r="Q29" s="46">
        <v>1</v>
      </c>
      <c r="R29" s="46">
        <v>-0.400000000000002</v>
      </c>
      <c r="S29" s="56">
        <f t="shared" si="1"/>
        <v>3.0540703</v>
      </c>
      <c r="T29" s="57">
        <v>2.9</v>
      </c>
      <c r="U29" s="38">
        <f t="shared" si="2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v>9.80000000000007</v>
      </c>
      <c r="O30" s="42">
        <v>-0.399999999999999</v>
      </c>
      <c r="P30" s="43">
        <f t="shared" si="0"/>
        <v>36.2658889400003</v>
      </c>
      <c r="Q30" s="42">
        <v>0.399999999999977</v>
      </c>
      <c r="R30" s="42">
        <v>-0.299999999999997</v>
      </c>
      <c r="S30" s="43">
        <f t="shared" si="1"/>
        <v>0.969628119999919</v>
      </c>
      <c r="T30" s="54">
        <v>3</v>
      </c>
      <c r="U30" s="37">
        <f t="shared" si="2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v>12.6</v>
      </c>
      <c r="O31" s="42">
        <v>-0.400000000000002</v>
      </c>
      <c r="P31" s="43">
        <f t="shared" si="0"/>
        <v>46.8332857800001</v>
      </c>
      <c r="Q31" s="42">
        <v>0.700000000000045</v>
      </c>
      <c r="R31" s="42">
        <v>-0.100000000000001</v>
      </c>
      <c r="S31" s="43">
        <f t="shared" ref="S31:S42" si="3">IF(3.7*1.020019*(Q31)+1.8*(R31)&gt;=0,3.7*1.020019*(Q31)+1.8*(R31),0)</f>
        <v>2.46184921000017</v>
      </c>
      <c r="T31" s="53">
        <v>3.6</v>
      </c>
      <c r="U31" s="35">
        <f t="shared" si="2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v>7</v>
      </c>
      <c r="O32" s="42">
        <v>-0.400000000000002</v>
      </c>
      <c r="P32" s="43">
        <f t="shared" si="0"/>
        <v>25.6984921</v>
      </c>
      <c r="Q32" s="42">
        <v>-3.89999999999998</v>
      </c>
      <c r="R32" s="42">
        <v>-0.300000000000001</v>
      </c>
      <c r="S32" s="43">
        <f t="shared" si="3"/>
        <v>0</v>
      </c>
      <c r="T32" s="53">
        <v>3.4</v>
      </c>
      <c r="U32" s="35">
        <f t="shared" si="2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v>10.6999999999999</v>
      </c>
      <c r="O33" s="42">
        <v>-0.400000000000002</v>
      </c>
      <c r="P33" s="43">
        <f t="shared" si="0"/>
        <v>39.6625522099997</v>
      </c>
      <c r="Q33" s="42">
        <v>-2.20000000000005</v>
      </c>
      <c r="R33" s="42">
        <v>-0.300000000000001</v>
      </c>
      <c r="S33" s="43">
        <f t="shared" si="3"/>
        <v>0</v>
      </c>
      <c r="T33" s="54">
        <v>3.6</v>
      </c>
      <c r="U33" s="37">
        <f t="shared" si="2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v>9.60000000000002</v>
      </c>
      <c r="O34" s="42">
        <v>-0.400000000000002</v>
      </c>
      <c r="P34" s="43">
        <f t="shared" si="0"/>
        <v>35.5110748800001</v>
      </c>
      <c r="Q34" s="42">
        <v>0.5</v>
      </c>
      <c r="R34" s="42">
        <v>-0.300000000000001</v>
      </c>
      <c r="S34" s="43">
        <f t="shared" si="3"/>
        <v>1.34703515</v>
      </c>
      <c r="T34" s="53">
        <v>3.2</v>
      </c>
      <c r="U34" s="35">
        <f t="shared" si="2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v>2.89999999999998</v>
      </c>
      <c r="O35" s="42">
        <v>-0.400000000000002</v>
      </c>
      <c r="P35" s="43">
        <f t="shared" si="0"/>
        <v>10.2248038699999</v>
      </c>
      <c r="Q35" s="42">
        <v>-0.399999999999977</v>
      </c>
      <c r="R35" s="42">
        <v>-0.300000000000001</v>
      </c>
      <c r="S35" s="43">
        <f t="shared" si="3"/>
        <v>0</v>
      </c>
      <c r="T35" s="53">
        <v>3</v>
      </c>
      <c r="U35" s="35">
        <f t="shared" si="2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v>5.10000000000002</v>
      </c>
      <c r="O36" s="42">
        <v>-0.300000000000001</v>
      </c>
      <c r="P36" s="43">
        <f t="shared" si="0"/>
        <v>18.7077585300001</v>
      </c>
      <c r="Q36" s="42">
        <v>0.100000000000023</v>
      </c>
      <c r="R36" s="42">
        <v>-0.199999999999999</v>
      </c>
      <c r="S36" s="43">
        <f t="shared" si="3"/>
        <v>0.0174070300000871</v>
      </c>
      <c r="T36" s="54">
        <v>2</v>
      </c>
      <c r="U36" s="37">
        <f t="shared" si="2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v>4.89999999999998</v>
      </c>
      <c r="O37" s="42">
        <v>-0.300000000000001</v>
      </c>
      <c r="P37" s="43">
        <f t="shared" si="0"/>
        <v>17.9529444699999</v>
      </c>
      <c r="Q37" s="42">
        <v>0.200000000000045</v>
      </c>
      <c r="R37" s="42">
        <v>-0.199999999999999</v>
      </c>
      <c r="S37" s="43">
        <f t="shared" si="3"/>
        <v>0.394814060000173</v>
      </c>
      <c r="T37" s="53">
        <v>1.4</v>
      </c>
      <c r="U37" s="35">
        <f t="shared" si="2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v>0.799999999999955</v>
      </c>
      <c r="O38" s="42">
        <v>-0.400000000000002</v>
      </c>
      <c r="P38" s="43">
        <f t="shared" si="0"/>
        <v>2.29925623999982</v>
      </c>
      <c r="Q38" s="42">
        <v>-0.300000000000068</v>
      </c>
      <c r="R38" s="42">
        <v>-0.300000000000001</v>
      </c>
      <c r="S38" s="43">
        <f t="shared" si="3"/>
        <v>0</v>
      </c>
      <c r="T38" s="53">
        <v>1.1</v>
      </c>
      <c r="U38" s="35">
        <f t="shared" si="2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v>2.30000000000007</v>
      </c>
      <c r="O39" s="42">
        <v>-0.300000000000001</v>
      </c>
      <c r="P39" s="43">
        <f t="shared" si="0"/>
        <v>8.14036169000026</v>
      </c>
      <c r="Q39" s="42">
        <v>-0.199999999999932</v>
      </c>
      <c r="R39" s="42">
        <v>-0.199999999999999</v>
      </c>
      <c r="S39" s="43">
        <f t="shared" si="3"/>
        <v>0</v>
      </c>
      <c r="T39" s="54">
        <v>0.8</v>
      </c>
      <c r="U39" s="37">
        <f t="shared" si="2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v>2.89999999999998</v>
      </c>
      <c r="O40" s="42">
        <v>-0.300000000000001</v>
      </c>
      <c r="P40" s="43">
        <f t="shared" si="0"/>
        <v>10.4048038699999</v>
      </c>
      <c r="Q40" s="42">
        <v>0.399999999999977</v>
      </c>
      <c r="R40" s="42">
        <v>-0.199999999999999</v>
      </c>
      <c r="S40" s="43">
        <f t="shared" si="3"/>
        <v>1.14962811999992</v>
      </c>
      <c r="T40" s="53">
        <v>0.6</v>
      </c>
      <c r="U40" s="35">
        <f t="shared" si="2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v>2</v>
      </c>
      <c r="O41" s="42">
        <v>-0.300000000000001</v>
      </c>
      <c r="P41" s="43">
        <f t="shared" si="0"/>
        <v>7.0081406</v>
      </c>
      <c r="Q41" s="42">
        <v>0.0999999999999091</v>
      </c>
      <c r="R41" s="42">
        <v>-0.300000000000001</v>
      </c>
      <c r="S41" s="43">
        <f t="shared" si="3"/>
        <v>0</v>
      </c>
      <c r="T41" s="53">
        <v>0.4</v>
      </c>
      <c r="U41" s="35">
        <f t="shared" si="2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v>1.59999999999991</v>
      </c>
      <c r="O42" s="42">
        <v>-0.199999999999999</v>
      </c>
      <c r="P42" s="43">
        <f t="shared" si="0"/>
        <v>5.67851247999966</v>
      </c>
      <c r="Q42" s="42">
        <v>-0.400000000000091</v>
      </c>
      <c r="R42" s="42">
        <v>-0.300000000000001</v>
      </c>
      <c r="S42" s="43">
        <f t="shared" si="3"/>
        <v>0</v>
      </c>
      <c r="T42" s="54">
        <v>0.3</v>
      </c>
      <c r="U42" s="37">
        <f t="shared" si="2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313690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print="0" defaultSize="0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A1" sqref="A1"/>
    </sheetView>
  </sheetViews>
  <sheetFormatPr defaultColWidth="9" defaultRowHeight="13.5"/>
  <cols>
    <col min="1" max="1" width="11.875" customWidth="1"/>
  </cols>
  <sheetData>
    <row r="1" spans="1:2">
      <c r="A1" t="s">
        <v>60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61</v>
      </c>
      <c r="B4">
        <v>3.28</v>
      </c>
      <c r="D4">
        <v>3.11</v>
      </c>
    </row>
    <row r="5" spans="1:4">
      <c r="A5" t="s">
        <v>14</v>
      </c>
      <c r="B5">
        <v>0.39</v>
      </c>
      <c r="D5">
        <v>0.37</v>
      </c>
    </row>
    <row r="6" spans="1:4">
      <c r="A6" t="s">
        <v>15</v>
      </c>
      <c r="B6">
        <v>0.93</v>
      </c>
      <c r="D6">
        <v>1</v>
      </c>
    </row>
    <row r="7" spans="1:4">
      <c r="A7" s="1" t="s">
        <v>62</v>
      </c>
      <c r="B7" s="2">
        <v>0</v>
      </c>
      <c r="D7" s="2">
        <v>0</v>
      </c>
    </row>
    <row r="8" spans="1:4">
      <c r="A8" t="s">
        <v>63</v>
      </c>
      <c r="B8" s="2">
        <v>0.0481</v>
      </c>
      <c r="D8" s="2">
        <v>0.1707</v>
      </c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6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  <c r="P12" t="s">
        <v>72</v>
      </c>
    </row>
    <row r="13" spans="1:17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1</v>
      </c>
      <c r="Q13" t="s">
        <v>74</v>
      </c>
    </row>
    <row r="14" spans="1:17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2</v>
      </c>
      <c r="Q14" t="s">
        <v>76</v>
      </c>
    </row>
    <row r="15" spans="1:17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3</v>
      </c>
      <c r="Q15" t="s">
        <v>78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7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Q17" s="1" t="s">
        <v>20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 t="s">
        <v>59</v>
      </c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 t="s">
        <v>59</v>
      </c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 t="s">
        <v>59</v>
      </c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 t="s">
        <v>59</v>
      </c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 t="s">
        <v>59</v>
      </c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 t="s">
        <v>59</v>
      </c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 t="s">
        <v>59</v>
      </c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 t="s">
        <v>59</v>
      </c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 t="s">
        <v>59</v>
      </c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 t="s">
        <v>59</v>
      </c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 t="s">
        <v>59</v>
      </c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 t="s">
        <v>59</v>
      </c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 t="s">
        <v>59</v>
      </c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 t="s">
        <v>59</v>
      </c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A1" sqref="A1"/>
    </sheetView>
  </sheetViews>
  <sheetFormatPr defaultColWidth="9" defaultRowHeight="13.5" outlineLevelRow="2" outlineLevelCol="6"/>
  <sheetData>
    <row r="3" spans="7:7">
      <c r="G3" t="s">
        <v>90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580390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P15"/>
  <sheetViews>
    <sheetView workbookViewId="0">
      <selection activeCell="A2" sqref="A2"/>
    </sheetView>
  </sheetViews>
  <sheetFormatPr defaultColWidth="9" defaultRowHeight="13.5"/>
  <cols>
    <col min="6" max="6" width="22.875" customWidth="1"/>
    <col min="10" max="10" width="11.125" customWidth="1"/>
    <col min="16" max="16" width="22.875" customWidth="1"/>
  </cols>
  <sheetData>
    <row r="1" spans="1:16">
      <c r="A1" s="1" t="s">
        <v>25</v>
      </c>
      <c r="B1" s="1" t="s">
        <v>91</v>
      </c>
      <c r="C1" s="1" t="s">
        <v>92</v>
      </c>
      <c r="D1" s="1" t="s">
        <v>93</v>
      </c>
      <c r="E1" s="1" t="s">
        <v>94</v>
      </c>
      <c r="F1" s="1" t="s">
        <v>95</v>
      </c>
      <c r="J1" s="1" t="s">
        <v>96</v>
      </c>
      <c r="K1" s="1" t="s">
        <v>25</v>
      </c>
      <c r="L1" s="1" t="s">
        <v>91</v>
      </c>
      <c r="M1" s="1" t="s">
        <v>92</v>
      </c>
      <c r="N1" s="1" t="s">
        <v>93</v>
      </c>
      <c r="O1" s="1" t="s">
        <v>94</v>
      </c>
      <c r="P1" s="1" t="s">
        <v>95</v>
      </c>
    </row>
    <row r="2" spans="1:15">
      <c r="A2" s="70"/>
      <c r="B2" s="1"/>
      <c r="J2" s="1"/>
      <c r="K2" s="70" t="s">
        <v>97</v>
      </c>
      <c r="L2" s="1" t="s">
        <v>98</v>
      </c>
      <c r="M2">
        <v>0</v>
      </c>
      <c r="N2">
        <v>1.71951</v>
      </c>
      <c r="O2">
        <v>0</v>
      </c>
    </row>
    <row r="3" spans="1:14">
      <c r="A3" s="39"/>
      <c r="B3" s="70"/>
      <c r="K3" s="39" t="s">
        <v>45</v>
      </c>
      <c r="L3" s="70" t="s">
        <v>97</v>
      </c>
      <c r="M3">
        <v>1.34327</v>
      </c>
      <c r="N3">
        <v>1.71951</v>
      </c>
    </row>
    <row r="4" spans="1:14">
      <c r="A4" s="39"/>
      <c r="B4" s="39"/>
      <c r="K4" s="39" t="s">
        <v>46</v>
      </c>
      <c r="L4" s="39" t="s">
        <v>97</v>
      </c>
      <c r="M4">
        <v>1.36554</v>
      </c>
      <c r="N4">
        <v>1.71951</v>
      </c>
    </row>
    <row r="5" spans="1:14">
      <c r="A5" s="39"/>
      <c r="B5" s="39"/>
      <c r="K5" s="39" t="s">
        <v>47</v>
      </c>
      <c r="L5" s="39" t="s">
        <v>97</v>
      </c>
      <c r="M5">
        <v>1.38873</v>
      </c>
      <c r="N5">
        <v>1.71951</v>
      </c>
    </row>
    <row r="6" spans="1:14">
      <c r="A6" s="39"/>
      <c r="B6" s="39"/>
      <c r="K6" s="39" t="s">
        <v>48</v>
      </c>
      <c r="L6" s="39" t="s">
        <v>97</v>
      </c>
      <c r="M6">
        <v>1.74934</v>
      </c>
      <c r="N6">
        <v>1.71951</v>
      </c>
    </row>
    <row r="7" spans="1:14">
      <c r="A7" s="39"/>
      <c r="B7" s="39"/>
      <c r="K7" s="39" t="s">
        <v>49</v>
      </c>
      <c r="L7" s="39" t="s">
        <v>97</v>
      </c>
      <c r="M7">
        <v>1.72875</v>
      </c>
      <c r="N7">
        <v>1.71951</v>
      </c>
    </row>
    <row r="8" spans="1:14">
      <c r="A8" s="39"/>
      <c r="B8" s="39"/>
      <c r="K8" s="39" t="s">
        <v>50</v>
      </c>
      <c r="L8" s="39" t="s">
        <v>97</v>
      </c>
      <c r="M8">
        <v>1.6987</v>
      </c>
      <c r="N8">
        <v>1.71951</v>
      </c>
    </row>
    <row r="9" spans="1:14">
      <c r="A9" s="39"/>
      <c r="B9" s="39"/>
      <c r="K9" s="39" t="s">
        <v>51</v>
      </c>
      <c r="L9" s="39" t="s">
        <v>97</v>
      </c>
      <c r="M9">
        <v>1.67526</v>
      </c>
      <c r="N9">
        <v>1.71951</v>
      </c>
    </row>
    <row r="10" spans="1:14">
      <c r="A10" s="39"/>
      <c r="B10" s="39"/>
      <c r="K10" s="39" t="s">
        <v>52</v>
      </c>
      <c r="L10" s="39" t="s">
        <v>97</v>
      </c>
      <c r="M10">
        <v>1.66155</v>
      </c>
      <c r="N10">
        <v>1.71951</v>
      </c>
    </row>
    <row r="11" spans="1:14">
      <c r="A11" s="39"/>
      <c r="B11" s="39"/>
      <c r="K11" s="39" t="s">
        <v>53</v>
      </c>
      <c r="L11" s="39" t="s">
        <v>97</v>
      </c>
      <c r="M11">
        <v>1.64923</v>
      </c>
      <c r="N11">
        <v>1.71951</v>
      </c>
    </row>
    <row r="12" spans="1:14">
      <c r="A12" s="70"/>
      <c r="B12" s="70"/>
      <c r="K12" s="70" t="s">
        <v>99</v>
      </c>
      <c r="L12" s="70" t="s">
        <v>52</v>
      </c>
      <c r="M12">
        <v>1.66053</v>
      </c>
      <c r="N12">
        <v>1.72431</v>
      </c>
    </row>
    <row r="13" spans="1:14">
      <c r="A13" s="70"/>
      <c r="B13" s="70"/>
      <c r="K13" s="70" t="s">
        <v>100</v>
      </c>
      <c r="L13" s="70" t="s">
        <v>52</v>
      </c>
      <c r="M13">
        <v>1.66256</v>
      </c>
      <c r="N13">
        <v>1.72352</v>
      </c>
    </row>
    <row r="14" spans="1:14">
      <c r="A14" s="70"/>
      <c r="B14" s="70"/>
      <c r="K14" s="70" t="s">
        <v>101</v>
      </c>
      <c r="L14" s="70" t="s">
        <v>102</v>
      </c>
      <c r="M14">
        <v>1.64823</v>
      </c>
      <c r="N14">
        <v>1.71828</v>
      </c>
    </row>
    <row r="15" spans="1:14">
      <c r="A15" s="70"/>
      <c r="B15" s="70"/>
      <c r="K15" s="70" t="s">
        <v>103</v>
      </c>
      <c r="L15" s="70" t="s">
        <v>101</v>
      </c>
      <c r="M15">
        <v>1.65823</v>
      </c>
      <c r="N15">
        <v>1.71639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65</v>
      </c>
      <c r="C1" t="s">
        <v>66</v>
      </c>
      <c r="E1" t="s">
        <v>65</v>
      </c>
      <c r="F1" t="s">
        <v>66</v>
      </c>
    </row>
    <row r="2" spans="1:6">
      <c r="A2" t="s">
        <v>80</v>
      </c>
      <c r="B2">
        <v>0.97</v>
      </c>
      <c r="C2">
        <v>2.342</v>
      </c>
      <c r="D2" t="s">
        <v>80</v>
      </c>
      <c r="E2">
        <v>0.97</v>
      </c>
      <c r="F2">
        <v>2.342</v>
      </c>
    </row>
    <row r="3" spans="1:6">
      <c r="A3" t="s">
        <v>81</v>
      </c>
      <c r="B3">
        <v>1.28</v>
      </c>
      <c r="C3">
        <v>3.079</v>
      </c>
      <c r="D3" t="s">
        <v>81</v>
      </c>
      <c r="E3">
        <v>1.28</v>
      </c>
      <c r="F3">
        <v>3.079</v>
      </c>
    </row>
    <row r="4" spans="1:6">
      <c r="A4" t="s">
        <v>82</v>
      </c>
      <c r="B4">
        <v>1.64</v>
      </c>
      <c r="C4">
        <v>4.008</v>
      </c>
      <c r="D4" t="s">
        <v>82</v>
      </c>
      <c r="E4">
        <v>1.64</v>
      </c>
      <c r="F4">
        <v>4.008</v>
      </c>
    </row>
    <row r="5" spans="1:6">
      <c r="A5" t="s">
        <v>83</v>
      </c>
      <c r="B5">
        <v>2.03</v>
      </c>
      <c r="C5">
        <v>5.16</v>
      </c>
      <c r="D5" t="s">
        <v>83</v>
      </c>
      <c r="E5">
        <v>5</v>
      </c>
      <c r="F5">
        <v>5.16</v>
      </c>
    </row>
    <row r="6" spans="1:6">
      <c r="A6" t="s">
        <v>84</v>
      </c>
      <c r="B6">
        <v>2.5</v>
      </c>
      <c r="C6">
        <v>5.953</v>
      </c>
      <c r="D6" t="s">
        <v>84</v>
      </c>
      <c r="E6">
        <v>2.5</v>
      </c>
      <c r="F6">
        <v>5.953</v>
      </c>
    </row>
    <row r="7" spans="1:6">
      <c r="A7" t="s">
        <v>85</v>
      </c>
      <c r="B7">
        <v>2.8</v>
      </c>
      <c r="C7">
        <v>6.742</v>
      </c>
      <c r="D7" t="s">
        <v>85</v>
      </c>
      <c r="E7">
        <v>2.8</v>
      </c>
      <c r="F7">
        <v>6.742</v>
      </c>
    </row>
    <row r="8" spans="1:6">
      <c r="A8" t="s">
        <v>86</v>
      </c>
      <c r="B8">
        <v>3.28</v>
      </c>
      <c r="C8">
        <v>7.048</v>
      </c>
      <c r="D8" t="s">
        <v>86</v>
      </c>
      <c r="E8">
        <v>3.28</v>
      </c>
      <c r="F8">
        <v>7.048</v>
      </c>
    </row>
    <row r="9" spans="1:6">
      <c r="A9" t="s">
        <v>87</v>
      </c>
      <c r="B9">
        <v>3.1</v>
      </c>
      <c r="C9">
        <v>7.268</v>
      </c>
      <c r="D9" t="s">
        <v>87</v>
      </c>
      <c r="E9">
        <v>3.1</v>
      </c>
      <c r="F9">
        <v>7.268</v>
      </c>
    </row>
    <row r="10" spans="1:6">
      <c r="A10" t="s">
        <v>88</v>
      </c>
      <c r="B10">
        <v>2.77</v>
      </c>
      <c r="C10">
        <v>6.793</v>
      </c>
      <c r="D10" t="s">
        <v>88</v>
      </c>
      <c r="E10">
        <v>2.77</v>
      </c>
      <c r="F10">
        <v>6.793</v>
      </c>
    </row>
    <row r="11" spans="1:6">
      <c r="A11" t="s">
        <v>89</v>
      </c>
      <c r="B11">
        <v>2.8</v>
      </c>
      <c r="C11">
        <v>6.702</v>
      </c>
      <c r="D11" t="s">
        <v>89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45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46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47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48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49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50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51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52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53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54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55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56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57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58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59</v>
      </c>
      <c r="B29" s="38" t="s">
        <v>45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59</v>
      </c>
      <c r="B30" s="35" t="s">
        <v>46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59</v>
      </c>
      <c r="B31" s="36" t="s">
        <v>47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59</v>
      </c>
      <c r="B32" s="35" t="s">
        <v>48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59</v>
      </c>
      <c r="B33" s="35" t="s">
        <v>49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59</v>
      </c>
      <c r="B34" s="36" t="s">
        <v>50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59</v>
      </c>
      <c r="B35" s="35" t="s">
        <v>51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59</v>
      </c>
      <c r="B36" s="35" t="s">
        <v>52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59</v>
      </c>
      <c r="B37" s="35" t="s">
        <v>53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59</v>
      </c>
      <c r="B38" s="37" t="s">
        <v>54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59</v>
      </c>
      <c r="B39" s="35" t="s">
        <v>55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59</v>
      </c>
      <c r="B40" s="35" t="s">
        <v>56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59</v>
      </c>
      <c r="B41" s="37" t="s">
        <v>57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59</v>
      </c>
      <c r="B42" s="35" t="s">
        <v>58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60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61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62</v>
      </c>
      <c r="B7" s="2">
        <v>0.0244</v>
      </c>
    </row>
    <row r="8" spans="1:4">
      <c r="A8" t="s">
        <v>63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64</v>
      </c>
      <c r="D11" s="4" t="s">
        <v>27</v>
      </c>
      <c r="E11" s="4"/>
      <c r="F11" s="4" t="s">
        <v>28</v>
      </c>
      <c r="G11" s="4"/>
      <c r="H11" s="4"/>
      <c r="I11" s="4" t="s">
        <v>65</v>
      </c>
      <c r="J11" s="4" t="s">
        <v>66</v>
      </c>
      <c r="K11" s="4" t="s">
        <v>32</v>
      </c>
      <c r="L11" s="4" t="s">
        <v>67</v>
      </c>
    </row>
    <row r="12" ht="14.25" spans="1:12">
      <c r="A12" s="3"/>
      <c r="B12" s="5"/>
      <c r="C12" s="6"/>
      <c r="D12" s="4" t="s">
        <v>68</v>
      </c>
      <c r="E12" s="4" t="s">
        <v>69</v>
      </c>
      <c r="F12" s="4" t="s">
        <v>68</v>
      </c>
      <c r="G12" s="4" t="s">
        <v>70</v>
      </c>
      <c r="H12" s="4" t="s">
        <v>71</v>
      </c>
      <c r="I12" s="4"/>
      <c r="J12" s="4"/>
      <c r="K12" s="4"/>
      <c r="L12" s="4"/>
    </row>
    <row r="13" spans="1:12">
      <c r="A13" s="7" t="s">
        <v>44</v>
      </c>
      <c r="B13" s="8" t="s">
        <v>73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75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77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79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80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81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82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83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84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85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86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87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88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89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73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75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77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79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80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81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82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83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84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85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86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87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88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89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2018-12-19T12:42:22Z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