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65" activeTab="2"/>
  </bookViews>
  <sheets>
    <sheet name="首页" sheetId="8" r:id="rId1"/>
    <sheet name="应变" sheetId="2" r:id="rId2"/>
    <sheet name="挠度" sheetId="1" r:id="rId3"/>
    <sheet name="生成Word报告" sheetId="4" r:id="rId4"/>
    <sheet name="水准测量转换" sheetId="7" r:id="rId5"/>
    <sheet name="草稿" sheetId="3" r:id="rId6"/>
    <sheet name="应变测试" sheetId="6" r:id="rId7"/>
    <sheet name="挠度测试" sheetId="5" r:id="rId8"/>
  </sheets>
  <calcPr calcId="144525" refMode="R1C1"/>
</workbook>
</file>

<file path=xl/sharedStrings.xml><?xml version="1.0" encoding="utf-8"?>
<sst xmlns="http://schemas.openxmlformats.org/spreadsheetml/2006/main" count="104">
  <si>
    <t>CopyRight 2018 - 福建省建筑科学研究院 - 福建省建筑工程质量检测中心有限公司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</si>
  <si>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</si>
  <si>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</si>
  <si>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</si>
  <si>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</si>
  <si>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</si>
  <si>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</si>
  <si>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</si>
  <si>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</si>
  <si>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</si>
  <si>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</si>
  <si>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</si>
  <si>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</si>
  <si>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最大弹性应变</t>
  </si>
  <si>
    <t>最小校验系数</t>
  </si>
  <si>
    <t>最大校验系数</t>
  </si>
  <si>
    <t>应变计算公式</t>
  </si>
  <si>
    <t>最小相对残余应变</t>
  </si>
  <si>
    <t>其中G=3.7，C=1.020019</t>
  </si>
  <si>
    <t>最大相对残余应变</t>
  </si>
  <si>
    <t>报告工况指报告中对应的工况号</t>
  </si>
  <si>
    <t>试验数据</t>
  </si>
  <si>
    <t>应变计算</t>
  </si>
  <si>
    <t>报告数据</t>
  </si>
  <si>
    <t>工况</t>
  </si>
  <si>
    <t>测点</t>
  </si>
  <si>
    <t>初始读数</t>
  </si>
  <si>
    <t>满载</t>
  </si>
  <si>
    <t>卸载</t>
  </si>
  <si>
    <t>理论计算值</t>
  </si>
  <si>
    <t>实测值(με)</t>
  </si>
  <si>
    <t>满载理论值(με)</t>
  </si>
  <si>
    <t>校验系数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</si>
  <si>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</si>
  <si>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</si>
  <si>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</si>
  <si>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</si>
  <si>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</si>
  <si>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</si>
  <si>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</si>
  <si>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</si>
  <si>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</si>
  <si>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</si>
  <si>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</si>
  <si>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</si>
  <si>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</si>
  <si>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</si>
  <si>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</si>
  <si>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</si>
  <si>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</si>
  <si>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</si>
  <si>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</si>
  <si>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</si>
  <si>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</si>
  <si>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</si>
  <si>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</si>
  <si>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</si>
  <si>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</si>
  <si>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</si>
  <si>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</si>
  <si>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挠度工况数</t>
  </si>
  <si>
    <t>最大弹性位移</t>
  </si>
  <si>
    <t>最小相对残余变形</t>
  </si>
  <si>
    <t>最大相对残余变形</t>
  </si>
  <si>
    <t>初读</t>
  </si>
  <si>
    <t>弹性变形</t>
  </si>
  <si>
    <t>理论</t>
  </si>
  <si>
    <t>相对残余</t>
  </si>
  <si>
    <t>读数</t>
  </si>
  <si>
    <t>总变形</t>
  </si>
  <si>
    <t>增量</t>
  </si>
  <si>
    <t>残余变形</t>
  </si>
  <si>
    <t>使用说明</t>
  </si>
  <si>
    <t>Z1</t>
  </si>
  <si>
    <t>输入工况数、各个工况测点数（不超过10个工况）；</t>
  </si>
  <si>
    <t>Z2</t>
  </si>
  <si>
    <t>点击“生成输入行”；</t>
  </si>
  <si>
    <t>Z3</t>
  </si>
  <si>
    <t>点击“自动计算”；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</si>
  <si>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</si>
  <si>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</si>
  <si>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</si>
  <si>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</si>
  <si>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</si>
  <si>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</si>
  <si>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</si>
  <si>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</si>
  <si>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</si>
  <si>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</si>
  <si>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</si>
  <si>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请先计算位移和应变，再导出Word报告</t>
  </si>
  <si>
    <t>后视点</t>
  </si>
  <si>
    <t>前示读数</t>
  </si>
  <si>
    <t>后示读数</t>
  </si>
  <si>
    <t>高程（m)</t>
  </si>
  <si>
    <t>换算百分表读数（mm）</t>
  </si>
  <si>
    <t>输入示例：</t>
  </si>
  <si>
    <t>JD</t>
  </si>
  <si>
    <t>/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</si>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</sst>
</file>

<file path=xl/styles.xml><?xml version="1.0" encoding="utf-8"?>
<styleSheet xmlns="http://schemas.openxmlformats.org/spreadsheetml/2006/main">
  <numFmts count="7">
    <numFmt numFmtId="176" formatCode="0.00_ "/>
    <numFmt numFmtId="177" formatCode="0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8" formatCode="0.0_ "/>
  </numFmts>
  <fonts count="25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9C65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1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13" fillId="22" borderId="1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6" borderId="14" applyNumberFormat="0" applyFont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13" applyNumberFormat="0" applyFill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4" fillId="0" borderId="16" applyNumberFormat="0" applyFill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20" fillId="15" borderId="17" applyNumberFormat="0" applyAlignment="0" applyProtection="0">
      <alignment vertical="center"/>
    </xf>
    <xf numFmtId="0" fontId="7" fillId="15" borderId="12" applyNumberFormat="0" applyAlignment="0" applyProtection="0">
      <alignment vertical="center"/>
    </xf>
    <xf numFmtId="0" fontId="6" fillId="11" borderId="11" applyNumberFormat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14" fillId="0" borderId="15" applyNumberFormat="0" applyFill="0" applyAlignment="0" applyProtection="0">
      <alignment vertical="center"/>
    </xf>
    <xf numFmtId="0" fontId="21" fillId="0" borderId="18" applyNumberFormat="0" applyFill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</cellStyleXfs>
  <cellXfs count="71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tx>
            <c:strRef>
              <c:f>"弹性变形"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 c:formatCode="0_ ">
                  <c:v>Z1</c:v>
                </c:pt>
                <c:pt idx="1" c:formatCode="0_ ">
                  <c:v>Z2</c:v>
                </c:pt>
                <c:pt idx="2" c:formatCode="0_ ">
                  <c:v>Z3</c:v>
                </c:pt>
                <c:pt idx="3" c:formatCode="0_ ">
                  <c:v>Z4</c:v>
                </c:pt>
                <c:pt idx="4" c:formatCode="0_ ">
                  <c:v>Z5</c:v>
                </c:pt>
                <c:pt idx="5" c:formatCode="0_ ">
                  <c:v>Z6</c:v>
                </c:pt>
                <c:pt idx="6" c:formatCode="0_ ">
                  <c:v>Z7</c:v>
                </c:pt>
                <c:pt idx="7" c:formatCode="0_ ">
                  <c:v>Z8</c:v>
                </c:pt>
                <c:pt idx="8" c:formatCode="0_ ">
                  <c:v>Z9</c:v>
                </c:pt>
                <c:pt idx="9" c:formatCode="0_ ">
                  <c:v>Z10</c:v>
                </c:pt>
                <c:pt idx="10" c:formatCode="0_ ">
                  <c:v>Z11</c:v>
                </c:pt>
                <c:pt idx="11" c:formatCode="0_ ">
                  <c:v>Z12</c:v>
                </c:pt>
                <c:pt idx="12" c:formatCode="0_ ">
                  <c:v>Z13</c:v>
                </c:pt>
                <c:pt idx="13" c:formatCode="0_ ">
                  <c:v>Z14</c:v>
                </c:pt>
              </c:strCache>
            </c:strRef>
          </c:cat>
          <c:val>
            <c:numRef>
              <c:f>挠度!$I$13:$I$26</c:f>
              <c:numCache>
                <c:formatCode>0.00_ </c:formatCode>
                <c:ptCount val="14"/>
                <c:pt idx="0">
                  <c:v>0.44</c:v>
                </c:pt>
                <c:pt idx="1">
                  <c:v>0.51</c:v>
                </c:pt>
                <c:pt idx="2">
                  <c:v>0.700000000000001</c:v>
                </c:pt>
                <c:pt idx="3">
                  <c:v>0.77</c:v>
                </c:pt>
                <c:pt idx="4">
                  <c:v>0.97</c:v>
                </c:pt>
                <c:pt idx="5">
                  <c:v>1.28</c:v>
                </c:pt>
                <c:pt idx="6">
                  <c:v>1.64</c:v>
                </c:pt>
                <c:pt idx="7">
                  <c:v>2.03</c:v>
                </c:pt>
                <c:pt idx="8">
                  <c:v>2.5</c:v>
                </c:pt>
                <c:pt idx="9">
                  <c:v>2.8</c:v>
                </c:pt>
                <c:pt idx="10">
                  <c:v>3.28</c:v>
                </c:pt>
                <c:pt idx="11">
                  <c:v>3.1</c:v>
                </c:pt>
                <c:pt idx="12">
                  <c:v>2.77</c:v>
                </c:pt>
                <c:pt idx="13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"理论"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 c:formatCode="0_ ">
                  <c:v>Z1</c:v>
                </c:pt>
                <c:pt idx="1" c:formatCode="0_ ">
                  <c:v>Z2</c:v>
                </c:pt>
                <c:pt idx="2" c:formatCode="0_ ">
                  <c:v>Z3</c:v>
                </c:pt>
                <c:pt idx="3" c:formatCode="0_ ">
                  <c:v>Z4</c:v>
                </c:pt>
                <c:pt idx="4" c:formatCode="0_ ">
                  <c:v>Z5</c:v>
                </c:pt>
                <c:pt idx="5" c:formatCode="0_ ">
                  <c:v>Z6</c:v>
                </c:pt>
                <c:pt idx="6" c:formatCode="0_ ">
                  <c:v>Z7</c:v>
                </c:pt>
                <c:pt idx="7" c:formatCode="0_ ">
                  <c:v>Z8</c:v>
                </c:pt>
                <c:pt idx="8" c:formatCode="0_ ">
                  <c:v>Z9</c:v>
                </c:pt>
                <c:pt idx="9" c:formatCode="0_ ">
                  <c:v>Z10</c:v>
                </c:pt>
                <c:pt idx="10" c:formatCode="0_ ">
                  <c:v>Z11</c:v>
                </c:pt>
                <c:pt idx="11" c:formatCode="0_ ">
                  <c:v>Z12</c:v>
                </c:pt>
                <c:pt idx="12" c:formatCode="0_ ">
                  <c:v>Z13</c:v>
                </c:pt>
                <c:pt idx="13" c:formatCode="0_ ">
                  <c:v>Z14</c:v>
                </c:pt>
              </c:strCache>
            </c:strRef>
          </c:cat>
          <c:val>
            <c:numRef>
              <c:f>挠度!$J$13:$J$26</c:f>
              <c:numCache>
                <c:formatCode>General</c:formatCode>
                <c:ptCount val="14"/>
                <c:pt idx="0">
                  <c:v>0.473</c:v>
                </c:pt>
                <c:pt idx="1">
                  <c:v>0.825</c:v>
                </c:pt>
                <c:pt idx="2">
                  <c:v>1.245</c:v>
                </c:pt>
                <c:pt idx="3">
                  <c:v>1.743</c:v>
                </c:pt>
                <c:pt idx="4">
                  <c:v>2.342</c:v>
                </c:pt>
                <c:pt idx="5">
                  <c:v>3.079</c:v>
                </c:pt>
                <c:pt idx="6">
                  <c:v>4.008</c:v>
                </c:pt>
                <c:pt idx="7">
                  <c:v>5.16</c:v>
                </c:pt>
                <c:pt idx="8">
                  <c:v>5.953</c:v>
                </c:pt>
                <c:pt idx="9">
                  <c:v>6.742</c:v>
                </c:pt>
                <c:pt idx="10">
                  <c:v>7.048</c:v>
                </c:pt>
                <c:pt idx="11">
                  <c:v>7.268</c:v>
                </c:pt>
                <c:pt idx="12">
                  <c:v>6.793</c:v>
                </c:pt>
                <c:pt idx="13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177002"/>
        <c:axId val="282804592"/>
      </c:lineChart>
      <c:catAx>
        <c:axId val="408177002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82804592"/>
        <c:crosses val="autoZero"/>
        <c:auto val="1"/>
        <c:lblAlgn val="ctr"/>
        <c:lblOffset val="100"/>
        <c:noMultiLvlLbl val="0"/>
      </c:catAx>
      <c:valAx>
        <c:axId val="28280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817700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tx>
            <c:strRef>
              <c:f>"弹性变形"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挠度!$B$27:$B$40</c:f>
              <c:strCache>
                <c:ptCount val="14"/>
                <c:pt idx="0" c:formatCode="0_ ">
                  <c:v>Z1</c:v>
                </c:pt>
                <c:pt idx="1" c:formatCode="0_ ">
                  <c:v>Z2</c:v>
                </c:pt>
                <c:pt idx="2" c:formatCode="0_ ">
                  <c:v>Z3</c:v>
                </c:pt>
                <c:pt idx="3" c:formatCode="0_ ">
                  <c:v>Z4</c:v>
                </c:pt>
                <c:pt idx="4" c:formatCode="0_ ">
                  <c:v>Z5</c:v>
                </c:pt>
                <c:pt idx="5" c:formatCode="0_ ">
                  <c:v>Z6</c:v>
                </c:pt>
                <c:pt idx="6" c:formatCode="0_ ">
                  <c:v>Z7</c:v>
                </c:pt>
                <c:pt idx="7" c:formatCode="0_ ">
                  <c:v>Z8</c:v>
                </c:pt>
                <c:pt idx="8" c:formatCode="0_ ">
                  <c:v>Z9</c:v>
                </c:pt>
                <c:pt idx="9" c:formatCode="0_ ">
                  <c:v>Z10</c:v>
                </c:pt>
                <c:pt idx="10" c:formatCode="0_ ">
                  <c:v>Z11</c:v>
                </c:pt>
                <c:pt idx="11" c:formatCode="0_ ">
                  <c:v>Z12</c:v>
                </c:pt>
                <c:pt idx="12" c:formatCode="0_ ">
                  <c:v>Z13</c:v>
                </c:pt>
                <c:pt idx="13" c:formatCode="0_ ">
                  <c:v>Z14</c:v>
                </c:pt>
              </c:strCache>
            </c:strRef>
          </c:cat>
          <c:val>
            <c:numRef>
              <c:f>挠度!$I$27:$I$40</c:f>
              <c:numCache>
                <c:formatCode>0.00_ </c:formatCode>
                <c:ptCount val="14"/>
                <c:pt idx="0">
                  <c:v>2.73</c:v>
                </c:pt>
                <c:pt idx="1">
                  <c:v>2.9</c:v>
                </c:pt>
                <c:pt idx="2">
                  <c:v>3.11</c:v>
                </c:pt>
                <c:pt idx="3">
                  <c:v>3.1</c:v>
                </c:pt>
                <c:pt idx="4">
                  <c:v>2.92</c:v>
                </c:pt>
                <c:pt idx="5">
                  <c:v>2.39</c:v>
                </c:pt>
                <c:pt idx="6">
                  <c:v>2.19</c:v>
                </c:pt>
                <c:pt idx="7">
                  <c:v>1.69</c:v>
                </c:pt>
                <c:pt idx="8">
                  <c:v>1.33</c:v>
                </c:pt>
                <c:pt idx="9">
                  <c:v>0.87</c:v>
                </c:pt>
                <c:pt idx="10">
                  <c:v>0.81</c:v>
                </c:pt>
                <c:pt idx="11">
                  <c:v>0.510000000000002</c:v>
                </c:pt>
                <c:pt idx="12">
                  <c:v>0.34</c:v>
                </c:pt>
                <c:pt idx="13">
                  <c:v>0.5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"理论"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挠度!$B$27:$B$40</c:f>
              <c:strCache>
                <c:ptCount val="14"/>
                <c:pt idx="0" c:formatCode="0_ ">
                  <c:v>Z1</c:v>
                </c:pt>
                <c:pt idx="1" c:formatCode="0_ ">
                  <c:v>Z2</c:v>
                </c:pt>
                <c:pt idx="2" c:formatCode="0_ ">
                  <c:v>Z3</c:v>
                </c:pt>
                <c:pt idx="3" c:formatCode="0_ ">
                  <c:v>Z4</c:v>
                </c:pt>
                <c:pt idx="4" c:formatCode="0_ ">
                  <c:v>Z5</c:v>
                </c:pt>
                <c:pt idx="5" c:formatCode="0_ ">
                  <c:v>Z6</c:v>
                </c:pt>
                <c:pt idx="6" c:formatCode="0_ ">
                  <c:v>Z7</c:v>
                </c:pt>
                <c:pt idx="7" c:formatCode="0_ ">
                  <c:v>Z8</c:v>
                </c:pt>
                <c:pt idx="8" c:formatCode="0_ ">
                  <c:v>Z9</c:v>
                </c:pt>
                <c:pt idx="9" c:formatCode="0_ ">
                  <c:v>Z10</c:v>
                </c:pt>
                <c:pt idx="10" c:formatCode="0_ ">
                  <c:v>Z11</c:v>
                </c:pt>
                <c:pt idx="11" c:formatCode="0_ ">
                  <c:v>Z12</c:v>
                </c:pt>
                <c:pt idx="12" c:formatCode="0_ ">
                  <c:v>Z13</c:v>
                </c:pt>
                <c:pt idx="13" c:formatCode="0_ ">
                  <c:v>Z14</c:v>
                </c:pt>
              </c:strCache>
            </c:strRef>
          </c:cat>
          <c:val>
            <c:numRef>
              <c:f>挠度!$J$27:$J$40</c:f>
              <c:numCache>
                <c:formatCode>General</c:formatCode>
                <c:ptCount val="14"/>
                <c:pt idx="0">
                  <c:v>6.632</c:v>
                </c:pt>
                <c:pt idx="1">
                  <c:v>6.725</c:v>
                </c:pt>
                <c:pt idx="2">
                  <c:v>7.195</c:v>
                </c:pt>
                <c:pt idx="3">
                  <c:v>7</c:v>
                </c:pt>
                <c:pt idx="4">
                  <c:v>6.728</c:v>
                </c:pt>
                <c:pt idx="5">
                  <c:v>5.975</c:v>
                </c:pt>
                <c:pt idx="6">
                  <c:v>5.203</c:v>
                </c:pt>
                <c:pt idx="7">
                  <c:v>4.043</c:v>
                </c:pt>
                <c:pt idx="8">
                  <c:v>3.11</c:v>
                </c:pt>
                <c:pt idx="9">
                  <c:v>2.369</c:v>
                </c:pt>
                <c:pt idx="10">
                  <c:v>1.769</c:v>
                </c:pt>
                <c:pt idx="11">
                  <c:v>1.271</c:v>
                </c:pt>
                <c:pt idx="12">
                  <c:v>0.852</c:v>
                </c:pt>
                <c:pt idx="13">
                  <c:v>0.499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7382165"/>
        <c:axId val="907825579"/>
      </c:lineChart>
      <c:catAx>
        <c:axId val="947382165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07825579"/>
        <c:crosses val="autoZero"/>
        <c:auto val="1"/>
        <c:lblAlgn val="ctr"/>
        <c:lblOffset val="100"/>
        <c:noMultiLvlLbl val="0"/>
      </c:catAx>
      <c:valAx>
        <c:axId val="9078255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4738216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4</xdr:row>
          <xdr:rowOff>133350</xdr:rowOff>
        </xdr:from>
        <xdr:to>
          <xdr:col>4</xdr:col>
          <xdr:colOff>276225</xdr:colOff>
          <xdr:row>6</xdr:row>
          <xdr:rowOff>9525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2085975" y="819150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5</xdr:row>
          <xdr:rowOff>47625</xdr:rowOff>
        </xdr:from>
        <xdr:to>
          <xdr:col>10</xdr:col>
          <xdr:colOff>114300</xdr:colOff>
          <xdr:row>7</xdr:row>
          <xdr:rowOff>19050</xdr:rowOff>
        </xdr:to>
        <xdr:sp macro="[0]!AutoStrain_Click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6486525" y="9048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2</xdr:row>
          <xdr:rowOff>114300</xdr:rowOff>
        </xdr:from>
        <xdr:to>
          <xdr:col>10</xdr:col>
          <xdr:colOff>9525</xdr:colOff>
          <xdr:row>4</xdr:row>
          <xdr:rowOff>47625</xdr:rowOff>
        </xdr:to>
        <xdr:sp macro="[0]!GenerateStrainRows_Click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6467475" y="4572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10</xdr:row>
          <xdr:rowOff>152400</xdr:rowOff>
        </xdr:from>
        <xdr:to>
          <xdr:col>14</xdr:col>
          <xdr:colOff>304800</xdr:colOff>
          <xdr:row>12</xdr:row>
          <xdr:rowOff>85725</xdr:rowOff>
        </xdr:to>
        <xdr:sp macro="[0]!AutoDisp_Click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9144000" y="1866900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7</xdr:row>
          <xdr:rowOff>57150</xdr:rowOff>
        </xdr:from>
        <xdr:to>
          <xdr:col>14</xdr:col>
          <xdr:colOff>285750</xdr:colOff>
          <xdr:row>8</xdr:row>
          <xdr:rowOff>161925</xdr:rowOff>
        </xdr:to>
        <xdr:sp macro="[0]!GenerateRows_Click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9144000" y="12573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14</xdr:row>
          <xdr:rowOff>85725</xdr:rowOff>
        </xdr:from>
        <xdr:to>
          <xdr:col>14</xdr:col>
          <xdr:colOff>371475</xdr:colOff>
          <xdr:row>16</xdr:row>
          <xdr:rowOff>0</xdr:rowOff>
        </xdr:to>
        <xdr:sp macro="[0]!AutoGraph_Click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9220200" y="2505075"/>
              <a:ext cx="971550" cy="2571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自动作图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339725</xdr:colOff>
      <xdr:row>11</xdr:row>
      <xdr:rowOff>9525</xdr:rowOff>
    </xdr:from>
    <xdr:to>
      <xdr:col>20</xdr:col>
      <xdr:colOff>34925</xdr:colOff>
      <xdr:row>25</xdr:row>
      <xdr:rowOff>139700</xdr:rowOff>
    </xdr:to>
    <xdr:graphicFrame>
      <xdr:nvGraphicFramePr>
        <xdr:cNvPr id="34" name="图表 33"/>
        <xdr:cNvGraphicFramePr/>
      </xdr:nvGraphicFramePr>
      <xdr:xfrm>
        <a:off x="10160000" y="1905000"/>
        <a:ext cx="3810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339725</xdr:colOff>
      <xdr:row>27</xdr:row>
      <xdr:rowOff>41275</xdr:rowOff>
    </xdr:from>
    <xdr:to>
      <xdr:col>20</xdr:col>
      <xdr:colOff>34925</xdr:colOff>
      <xdr:row>42</xdr:row>
      <xdr:rowOff>0</xdr:rowOff>
    </xdr:to>
    <xdr:graphicFrame>
      <xdr:nvGraphicFramePr>
        <xdr:cNvPr id="35" name="图表 34"/>
        <xdr:cNvGraphicFramePr/>
      </xdr:nvGraphicFramePr>
      <xdr:xfrm>
        <a:off x="10160000" y="4699000"/>
        <a:ext cx="3810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7</xdr:col>
          <xdr:colOff>419100</xdr:colOff>
          <xdr:row>6</xdr:row>
          <xdr:rowOff>0</xdr:rowOff>
        </xdr:to>
        <xdr:sp macro="[0]!AutoWordDisp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导出Word报告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579120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.xml"/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8"/>
  <sheetViews>
    <sheetView workbookViewId="0">
      <selection activeCell="A21" sqref="A21"/>
    </sheetView>
  </sheetViews>
  <sheetFormatPr defaultColWidth="9" defaultRowHeight="13.5" outlineLevelRow="7" outlineLevelCol="3"/>
  <sheetData>
    <row r="8" spans="4:4">
      <c r="D8" s="1" t="s">
        <v>0</v>
      </c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3</xdr:col>
                    <xdr:colOff>28575</xdr:colOff>
                    <xdr:row>4</xdr:row>
                    <xdr:rowOff>133350</xdr:rowOff>
                  </from>
                  <to>
                    <xdr:col>4</xdr:col>
                    <xdr:colOff>276225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2"/>
  <sheetViews>
    <sheetView workbookViewId="0">
      <selection activeCell="B13" sqref="B13:B14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t="s">
        <v>1</v>
      </c>
      <c r="B1">
        <v>2</v>
      </c>
    </row>
    <row r="2" spans="1:19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13</v>
      </c>
      <c r="B4">
        <v>42.07</v>
      </c>
      <c r="D4">
        <v>44.37</v>
      </c>
    </row>
    <row r="5" spans="1:4">
      <c r="A5" t="s">
        <v>14</v>
      </c>
      <c r="B5">
        <v>0.08</v>
      </c>
      <c r="D5">
        <v>0.07</v>
      </c>
    </row>
    <row r="6" spans="1:21">
      <c r="A6" t="s">
        <v>15</v>
      </c>
      <c r="B6">
        <v>0.87</v>
      </c>
      <c r="D6">
        <v>0.65</v>
      </c>
      <c r="J6" s="39"/>
      <c r="S6" s="39"/>
      <c r="U6" s="39" t="s">
        <v>16</v>
      </c>
    </row>
    <row r="7" spans="1:21">
      <c r="A7" s="1" t="s">
        <v>17</v>
      </c>
      <c r="B7" s="2">
        <v>0</v>
      </c>
      <c r="D7" s="2">
        <v>0</v>
      </c>
      <c r="J7" s="39"/>
      <c r="S7" s="39"/>
      <c r="U7" s="39" t="s">
        <v>18</v>
      </c>
    </row>
    <row r="8" spans="1:21">
      <c r="A8" s="1" t="s">
        <v>19</v>
      </c>
      <c r="B8" s="2">
        <v>0.186</v>
      </c>
      <c r="D8" s="2">
        <v>0.1105</v>
      </c>
      <c r="U8" s="1" t="s">
        <v>20</v>
      </c>
    </row>
    <row r="9" spans="2:4">
      <c r="B9" s="2"/>
      <c r="D9" s="2"/>
    </row>
    <row r="10" spans="2:4">
      <c r="B10" s="2"/>
      <c r="D10" s="2"/>
    </row>
    <row r="11" spans="1:32">
      <c r="A11" s="33" t="s">
        <v>21</v>
      </c>
      <c r="B11" s="33"/>
      <c r="C11" s="33"/>
      <c r="D11" s="33"/>
      <c r="E11" s="33"/>
      <c r="F11" s="33"/>
      <c r="G11" s="33"/>
      <c r="H11" s="33"/>
      <c r="L11" s="40" t="s">
        <v>22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24</v>
      </c>
      <c r="B13" s="4" t="s">
        <v>25</v>
      </c>
      <c r="C13" s="4" t="s">
        <v>26</v>
      </c>
      <c r="D13" s="4"/>
      <c r="E13" s="4" t="s">
        <v>27</v>
      </c>
      <c r="F13" s="4"/>
      <c r="G13" s="4" t="s">
        <v>28</v>
      </c>
      <c r="H13" s="4"/>
      <c r="L13" s="4" t="s">
        <v>24</v>
      </c>
      <c r="M13" s="4" t="s">
        <v>25</v>
      </c>
      <c r="N13" s="41" t="s">
        <v>27</v>
      </c>
      <c r="O13" s="41"/>
      <c r="P13" s="41"/>
      <c r="Q13" s="48" t="s">
        <v>28</v>
      </c>
      <c r="R13" s="49"/>
      <c r="S13" s="50"/>
      <c r="T13" s="41" t="s">
        <v>29</v>
      </c>
      <c r="U13" s="41"/>
      <c r="Y13" s="6" t="s">
        <v>24</v>
      </c>
      <c r="Z13" s="6" t="s">
        <v>25</v>
      </c>
      <c r="AA13" s="4" t="s">
        <v>30</v>
      </c>
      <c r="AB13" s="4"/>
      <c r="AC13" s="4"/>
      <c r="AD13" s="4" t="s">
        <v>31</v>
      </c>
      <c r="AE13" s="4" t="s">
        <v>32</v>
      </c>
      <c r="AF13" s="6" t="s">
        <v>33</v>
      </c>
    </row>
    <row r="14" ht="30.75" spans="1:32">
      <c r="A14" s="4"/>
      <c r="B14" s="4"/>
      <c r="C14" s="4" t="s">
        <v>34</v>
      </c>
      <c r="D14" s="4" t="s">
        <v>35</v>
      </c>
      <c r="E14" s="4" t="s">
        <v>34</v>
      </c>
      <c r="F14" s="4" t="s">
        <v>36</v>
      </c>
      <c r="G14" s="4" t="s">
        <v>34</v>
      </c>
      <c r="H14" s="4" t="s">
        <v>36</v>
      </c>
      <c r="L14" s="4"/>
      <c r="M14" s="4"/>
      <c r="N14" s="41" t="s">
        <v>37</v>
      </c>
      <c r="O14" s="41" t="s">
        <v>38</v>
      </c>
      <c r="P14" s="41" t="s">
        <v>39</v>
      </c>
      <c r="Q14" s="41" t="s">
        <v>37</v>
      </c>
      <c r="R14" s="41" t="s">
        <v>38</v>
      </c>
      <c r="S14" s="41" t="s">
        <v>40</v>
      </c>
      <c r="T14" s="4" t="s">
        <v>41</v>
      </c>
      <c r="U14" s="4" t="s">
        <v>39</v>
      </c>
      <c r="Y14" s="58"/>
      <c r="Z14" s="58"/>
      <c r="AA14" s="4" t="s">
        <v>42</v>
      </c>
      <c r="AB14" s="4" t="s">
        <v>43</v>
      </c>
      <c r="AC14" s="4" t="s">
        <v>40</v>
      </c>
      <c r="AD14" s="4"/>
      <c r="AE14" s="4"/>
      <c r="AF14" s="58"/>
    </row>
    <row r="15" spans="1:32">
      <c r="A15" t="s">
        <v>44</v>
      </c>
      <c r="B15" s="35" t="s">
        <v>45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44</v>
      </c>
      <c r="B16" s="35" t="s">
        <v>46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30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44</v>
      </c>
      <c r="B17" s="36" t="s">
        <v>47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44</v>
      </c>
      <c r="B18" s="35" t="s">
        <v>48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44</v>
      </c>
      <c r="B19" s="35" t="s">
        <v>49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44</v>
      </c>
      <c r="B20" s="36" t="s">
        <v>50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44</v>
      </c>
      <c r="B21" s="35" t="s">
        <v>51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44</v>
      </c>
      <c r="B22" s="35" t="s">
        <v>52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44</v>
      </c>
      <c r="B23" s="35" t="s">
        <v>53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44</v>
      </c>
      <c r="B24" s="37" t="s">
        <v>54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44</v>
      </c>
      <c r="B25" s="35" t="s">
        <v>55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44</v>
      </c>
      <c r="B26" s="35" t="s">
        <v>56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44</v>
      </c>
      <c r="B27" s="37" t="s">
        <v>57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44</v>
      </c>
      <c r="B28" s="36" t="s">
        <v>58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59</v>
      </c>
      <c r="B29" s="38" t="s">
        <v>45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59</v>
      </c>
      <c r="B30" s="35" t="s">
        <v>46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59</v>
      </c>
      <c r="B31" s="36" t="s">
        <v>47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ref="S31:S42" si="5">IF(3.7*1.020019*(Q31)+1.8*(R31)&gt;=0,3.7*1.020019*(Q31)+1.8*(R31),0)</f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59</v>
      </c>
      <c r="B32" s="35" t="s">
        <v>48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6">E32-C32</f>
        <v>7</v>
      </c>
      <c r="O32" s="42">
        <f t="shared" si="6"/>
        <v>-0.400000000000002</v>
      </c>
      <c r="P32" s="43">
        <f t="shared" si="0"/>
        <v>25.6984921</v>
      </c>
      <c r="Q32" s="42">
        <f t="shared" ref="Q32:R42" si="7">G32-C32</f>
        <v>-3.89999999999998</v>
      </c>
      <c r="R32" s="42">
        <f t="shared" si="7"/>
        <v>-0.300000000000001</v>
      </c>
      <c r="S32" s="43">
        <f t="shared" si="5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59</v>
      </c>
      <c r="B33" s="35" t="s">
        <v>49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6"/>
        <v>10.6999999999999</v>
      </c>
      <c r="O33" s="42">
        <f t="shared" si="6"/>
        <v>-0.400000000000002</v>
      </c>
      <c r="P33" s="43">
        <f t="shared" si="0"/>
        <v>39.6625522099997</v>
      </c>
      <c r="Q33" s="42">
        <f t="shared" si="7"/>
        <v>-2.20000000000005</v>
      </c>
      <c r="R33" s="42">
        <f t="shared" si="7"/>
        <v>-0.300000000000001</v>
      </c>
      <c r="S33" s="43">
        <f t="shared" si="5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59</v>
      </c>
      <c r="B34" s="36" t="s">
        <v>50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6"/>
        <v>9.60000000000002</v>
      </c>
      <c r="O34" s="42">
        <f t="shared" si="6"/>
        <v>-0.400000000000002</v>
      </c>
      <c r="P34" s="43">
        <f t="shared" si="0"/>
        <v>35.5110748800001</v>
      </c>
      <c r="Q34" s="42">
        <f t="shared" si="7"/>
        <v>0.5</v>
      </c>
      <c r="R34" s="42">
        <f t="shared" si="7"/>
        <v>-0.300000000000001</v>
      </c>
      <c r="S34" s="43">
        <f t="shared" si="5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59</v>
      </c>
      <c r="B35" s="35" t="s">
        <v>51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6"/>
        <v>2.89999999999998</v>
      </c>
      <c r="O35" s="42">
        <f t="shared" si="6"/>
        <v>-0.400000000000002</v>
      </c>
      <c r="P35" s="43">
        <f t="shared" si="0"/>
        <v>10.2248038699999</v>
      </c>
      <c r="Q35" s="42">
        <f t="shared" si="7"/>
        <v>-0.399999999999977</v>
      </c>
      <c r="R35" s="42">
        <f t="shared" si="7"/>
        <v>-0.300000000000001</v>
      </c>
      <c r="S35" s="43">
        <f t="shared" si="5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59</v>
      </c>
      <c r="B36" s="35" t="s">
        <v>52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6"/>
        <v>5.10000000000002</v>
      </c>
      <c r="O36" s="42">
        <f t="shared" si="6"/>
        <v>-0.300000000000001</v>
      </c>
      <c r="P36" s="43">
        <f t="shared" si="0"/>
        <v>18.7077585300001</v>
      </c>
      <c r="Q36" s="42">
        <f t="shared" si="7"/>
        <v>0.100000000000023</v>
      </c>
      <c r="R36" s="42">
        <f t="shared" si="7"/>
        <v>-0.199999999999999</v>
      </c>
      <c r="S36" s="43">
        <f t="shared" si="5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59</v>
      </c>
      <c r="B37" s="35" t="s">
        <v>53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6"/>
        <v>4.89999999999998</v>
      </c>
      <c r="O37" s="42">
        <f t="shared" si="6"/>
        <v>-0.300000000000001</v>
      </c>
      <c r="P37" s="43">
        <f t="shared" si="0"/>
        <v>17.9529444699999</v>
      </c>
      <c r="Q37" s="42">
        <f t="shared" si="7"/>
        <v>0.200000000000045</v>
      </c>
      <c r="R37" s="42">
        <f t="shared" si="7"/>
        <v>-0.199999999999999</v>
      </c>
      <c r="S37" s="43">
        <f t="shared" si="5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59</v>
      </c>
      <c r="B38" s="37" t="s">
        <v>54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6"/>
        <v>0.799999999999955</v>
      </c>
      <c r="O38" s="42">
        <f t="shared" si="6"/>
        <v>-0.400000000000002</v>
      </c>
      <c r="P38" s="43">
        <f t="shared" si="0"/>
        <v>2.29925623999982</v>
      </c>
      <c r="Q38" s="42">
        <f t="shared" si="7"/>
        <v>-0.300000000000068</v>
      </c>
      <c r="R38" s="42">
        <f t="shared" si="7"/>
        <v>-0.300000000000001</v>
      </c>
      <c r="S38" s="43">
        <f t="shared" si="5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59</v>
      </c>
      <c r="B39" s="35" t="s">
        <v>55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6"/>
        <v>2.30000000000007</v>
      </c>
      <c r="O39" s="42">
        <f t="shared" si="6"/>
        <v>-0.300000000000001</v>
      </c>
      <c r="P39" s="43">
        <f t="shared" si="0"/>
        <v>8.14036169000026</v>
      </c>
      <c r="Q39" s="42">
        <f t="shared" si="7"/>
        <v>-0.199999999999932</v>
      </c>
      <c r="R39" s="42">
        <f t="shared" si="7"/>
        <v>-0.199999999999999</v>
      </c>
      <c r="S39" s="43">
        <f t="shared" si="5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59</v>
      </c>
      <c r="B40" s="35" t="s">
        <v>56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6"/>
        <v>2.89999999999998</v>
      </c>
      <c r="O40" s="42">
        <f t="shared" si="6"/>
        <v>-0.300000000000001</v>
      </c>
      <c r="P40" s="43">
        <f t="shared" si="0"/>
        <v>10.4048038699999</v>
      </c>
      <c r="Q40" s="42">
        <f t="shared" si="7"/>
        <v>0.399999999999977</v>
      </c>
      <c r="R40" s="42">
        <f t="shared" si="7"/>
        <v>-0.199999999999999</v>
      </c>
      <c r="S40" s="43">
        <f t="shared" si="5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59</v>
      </c>
      <c r="B41" s="37" t="s">
        <v>57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6"/>
        <v>2</v>
      </c>
      <c r="O41" s="42">
        <f t="shared" si="6"/>
        <v>-0.300000000000001</v>
      </c>
      <c r="P41" s="43">
        <f t="shared" si="0"/>
        <v>7.0081406</v>
      </c>
      <c r="Q41" s="42">
        <f t="shared" si="7"/>
        <v>0.0999999999999091</v>
      </c>
      <c r="R41" s="42">
        <f t="shared" si="7"/>
        <v>-0.300000000000001</v>
      </c>
      <c r="S41" s="43">
        <f t="shared" si="5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59</v>
      </c>
      <c r="B42" s="35" t="s">
        <v>58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6"/>
        <v>1.59999999999991</v>
      </c>
      <c r="O42" s="42">
        <f t="shared" si="6"/>
        <v>-0.199999999999999</v>
      </c>
      <c r="P42" s="43">
        <f t="shared" si="0"/>
        <v>5.67851247999966</v>
      </c>
      <c r="Q42" s="42">
        <f t="shared" si="7"/>
        <v>-0.400000000000091</v>
      </c>
      <c r="R42" s="42">
        <f t="shared" si="7"/>
        <v>-0.300000000000001</v>
      </c>
      <c r="S42" s="43">
        <f t="shared" si="5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>
                  <from>
                    <xdr:col>8</xdr:col>
                    <xdr:colOff>438150</xdr:colOff>
                    <xdr:row>5</xdr:row>
                    <xdr:rowOff>47625</xdr:rowOff>
                  </from>
                  <to>
                    <xdr:col>10</xdr:col>
                    <xdr:colOff>114300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4">
              <controlPr print="0" defaultSize="0">
                <anchor moveWithCells="1">
                  <from>
                    <xdr:col>8</xdr:col>
                    <xdr:colOff>419100</xdr:colOff>
                    <xdr:row>2</xdr:row>
                    <xdr:rowOff>114300</xdr:rowOff>
                  </from>
                  <to>
                    <xdr:col>10</xdr:col>
                    <xdr:colOff>9525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40"/>
  <sheetViews>
    <sheetView tabSelected="1" workbookViewId="0">
      <selection activeCell="A27" sqref="A27"/>
    </sheetView>
  </sheetViews>
  <sheetFormatPr defaultColWidth="9" defaultRowHeight="13.5"/>
  <cols>
    <col min="1" max="1" width="11.875" customWidth="1"/>
  </cols>
  <sheetData>
    <row r="1" spans="1:2">
      <c r="A1" t="s">
        <v>60</v>
      </c>
      <c r="B1">
        <v>2</v>
      </c>
    </row>
    <row r="2" spans="1:19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2">
      <c r="A3" t="s">
        <v>12</v>
      </c>
      <c r="B3">
        <v>2</v>
      </c>
    </row>
    <row r="4" spans="1:4">
      <c r="A4" s="1" t="s">
        <v>61</v>
      </c>
      <c r="B4">
        <v>3.28</v>
      </c>
      <c r="D4">
        <v>3.11</v>
      </c>
    </row>
    <row r="5" spans="1:4">
      <c r="A5" t="s">
        <v>14</v>
      </c>
      <c r="B5">
        <v>0.39</v>
      </c>
      <c r="D5">
        <v>0.37</v>
      </c>
    </row>
    <row r="6" spans="1:4">
      <c r="A6" t="s">
        <v>15</v>
      </c>
      <c r="B6">
        <v>0.93</v>
      </c>
      <c r="D6">
        <v>1</v>
      </c>
    </row>
    <row r="7" spans="1:4">
      <c r="A7" s="1" t="s">
        <v>62</v>
      </c>
      <c r="B7" s="2">
        <v>0</v>
      </c>
      <c r="D7" s="2">
        <v>0</v>
      </c>
    </row>
    <row r="8" spans="1:4">
      <c r="A8" t="s">
        <v>63</v>
      </c>
      <c r="B8" s="2">
        <v>0.0481</v>
      </c>
      <c r="D8" s="2">
        <v>0.1707</v>
      </c>
    </row>
    <row r="11" ht="14.25" spans="1:12">
      <c r="A11" s="3" t="s">
        <v>24</v>
      </c>
      <c r="B11" s="3" t="s">
        <v>25</v>
      </c>
      <c r="C11" s="4" t="s">
        <v>64</v>
      </c>
      <c r="D11" s="4" t="s">
        <v>27</v>
      </c>
      <c r="E11" s="4"/>
      <c r="F11" s="4" t="s">
        <v>28</v>
      </c>
      <c r="G11" s="4"/>
      <c r="H11" s="4"/>
      <c r="I11" s="4" t="s">
        <v>65</v>
      </c>
      <c r="J11" s="4" t="s">
        <v>66</v>
      </c>
      <c r="K11" s="4" t="s">
        <v>32</v>
      </c>
      <c r="L11" s="4" t="s">
        <v>67</v>
      </c>
    </row>
    <row r="12" ht="14.25" spans="1:16">
      <c r="A12" s="3"/>
      <c r="B12" s="5"/>
      <c r="C12" s="6"/>
      <c r="D12" s="4" t="s">
        <v>68</v>
      </c>
      <c r="E12" s="4" t="s">
        <v>69</v>
      </c>
      <c r="F12" s="4" t="s">
        <v>68</v>
      </c>
      <c r="G12" s="4" t="s">
        <v>70</v>
      </c>
      <c r="H12" s="4" t="s">
        <v>71</v>
      </c>
      <c r="I12" s="4"/>
      <c r="J12" s="4"/>
      <c r="K12" s="4"/>
      <c r="L12" s="4"/>
      <c r="P12" t="s">
        <v>72</v>
      </c>
    </row>
    <row r="13" spans="1:17">
      <c r="A13" s="7" t="s">
        <v>44</v>
      </c>
      <c r="B13" s="8" t="s">
        <v>73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  <c r="P13">
        <v>1</v>
      </c>
      <c r="Q13" t="s">
        <v>74</v>
      </c>
    </row>
    <row r="14" spans="1:17">
      <c r="A14" s="7" t="s">
        <v>44</v>
      </c>
      <c r="B14" s="8" t="s">
        <v>75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  <c r="P14">
        <v>2</v>
      </c>
      <c r="Q14" t="s">
        <v>76</v>
      </c>
    </row>
    <row r="15" spans="1:17">
      <c r="A15" s="7" t="s">
        <v>44</v>
      </c>
      <c r="B15" s="8" t="s">
        <v>77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  <c r="P15">
        <v>3</v>
      </c>
      <c r="Q15" t="s">
        <v>78</v>
      </c>
    </row>
    <row r="16" spans="1:12">
      <c r="A16" s="7" t="s">
        <v>44</v>
      </c>
      <c r="B16" s="8" t="s">
        <v>79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7">
      <c r="A17" s="7" t="s">
        <v>44</v>
      </c>
      <c r="B17" s="8" t="s">
        <v>80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  <c r="Q17" s="1" t="s">
        <v>20</v>
      </c>
    </row>
    <row r="18" spans="1:12">
      <c r="A18" s="7" t="s">
        <v>44</v>
      </c>
      <c r="B18" s="8" t="s">
        <v>81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44</v>
      </c>
      <c r="B19" s="8" t="s">
        <v>82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44</v>
      </c>
      <c r="B20" s="8" t="s">
        <v>83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44</v>
      </c>
      <c r="B21" s="8" t="s">
        <v>84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44</v>
      </c>
      <c r="B22" s="8" t="s">
        <v>85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44</v>
      </c>
      <c r="B23" s="8" t="s">
        <v>86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44</v>
      </c>
      <c r="B24" s="8" t="s">
        <v>87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44</v>
      </c>
      <c r="B25" s="8" t="s">
        <v>88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44</v>
      </c>
      <c r="B26" s="14" t="s">
        <v>89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 t="s">
        <v>59</v>
      </c>
      <c r="B27" s="8" t="s">
        <v>73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 t="s">
        <v>59</v>
      </c>
      <c r="B28" s="8" t="s">
        <v>75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 t="s">
        <v>59</v>
      </c>
      <c r="B29" s="8" t="s">
        <v>77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 t="s">
        <v>59</v>
      </c>
      <c r="B30" s="8" t="s">
        <v>79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 t="s">
        <v>59</v>
      </c>
      <c r="B31" s="8" t="s">
        <v>80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 t="s">
        <v>59</v>
      </c>
      <c r="B32" s="8" t="s">
        <v>81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 t="s">
        <v>59</v>
      </c>
      <c r="B33" s="8" t="s">
        <v>82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 t="s">
        <v>59</v>
      </c>
      <c r="B34" s="8" t="s">
        <v>83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 t="s">
        <v>59</v>
      </c>
      <c r="B35" s="8" t="s">
        <v>84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 t="s">
        <v>59</v>
      </c>
      <c r="B36" s="8" t="s">
        <v>85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 t="s">
        <v>59</v>
      </c>
      <c r="B37" s="8" t="s">
        <v>86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 t="s">
        <v>59</v>
      </c>
      <c r="B38" s="8" t="s">
        <v>87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 t="s">
        <v>59</v>
      </c>
      <c r="B39" s="8" t="s">
        <v>88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 t="s">
        <v>59</v>
      </c>
      <c r="B40" s="14" t="s">
        <v>89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>
                  <from>
                    <xdr:col>13</xdr:col>
                    <xdr:colOff>9525</xdr:colOff>
                    <xdr:row>10</xdr:row>
                    <xdr:rowOff>152400</xdr:rowOff>
                  </from>
                  <to>
                    <xdr:col>14</xdr:col>
                    <xdr:colOff>304800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>
                  <from>
                    <xdr:col>13</xdr:col>
                    <xdr:colOff>9525</xdr:colOff>
                    <xdr:row>7</xdr:row>
                    <xdr:rowOff>57150</xdr:rowOff>
                  </from>
                  <to>
                    <xdr:col>14</xdr:col>
                    <xdr:colOff>285750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print="0" defaultSize="0">
                <anchor moveWithCells="1" sizeWithCells="1">
                  <from>
                    <xdr:col>13</xdr:col>
                    <xdr:colOff>85725</xdr:colOff>
                    <xdr:row>14</xdr:row>
                    <xdr:rowOff>85725</xdr:rowOff>
                  </from>
                  <to>
                    <xdr:col>14</xdr:col>
                    <xdr:colOff>371475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"/>
  <sheetViews>
    <sheetView workbookViewId="0">
      <selection activeCell="A1" sqref="A1"/>
    </sheetView>
  </sheetViews>
  <sheetFormatPr defaultColWidth="9" defaultRowHeight="13.5" outlineLevelRow="2" outlineLevelCol="6"/>
  <sheetData>
    <row r="3" spans="7:7">
      <c r="G3" t="s">
        <v>90</v>
      </c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P15"/>
  <sheetViews>
    <sheetView workbookViewId="0">
      <selection activeCell="A2" sqref="A2:E15"/>
    </sheetView>
  </sheetViews>
  <sheetFormatPr defaultColWidth="9" defaultRowHeight="13.5"/>
  <cols>
    <col min="6" max="6" width="22.875" customWidth="1"/>
    <col min="10" max="10" width="11.125" customWidth="1"/>
    <col min="16" max="16" width="22.875" customWidth="1"/>
  </cols>
  <sheetData>
    <row r="1" spans="1:16">
      <c r="A1" s="1" t="s">
        <v>25</v>
      </c>
      <c r="B1" s="1" t="s">
        <v>91</v>
      </c>
      <c r="C1" s="1" t="s">
        <v>92</v>
      </c>
      <c r="D1" s="1" t="s">
        <v>93</v>
      </c>
      <c r="E1" s="1" t="s">
        <v>94</v>
      </c>
      <c r="F1" s="1" t="s">
        <v>95</v>
      </c>
      <c r="J1" s="1" t="s">
        <v>96</v>
      </c>
      <c r="K1" s="1" t="s">
        <v>25</v>
      </c>
      <c r="L1" s="1" t="s">
        <v>91</v>
      </c>
      <c r="M1" s="1" t="s">
        <v>92</v>
      </c>
      <c r="N1" s="1" t="s">
        <v>93</v>
      </c>
      <c r="O1" s="1" t="s">
        <v>94</v>
      </c>
      <c r="P1" s="1" t="s">
        <v>95</v>
      </c>
    </row>
    <row r="2" spans="1:15">
      <c r="A2" s="70" t="s">
        <v>97</v>
      </c>
      <c r="B2" s="1" t="s">
        <v>98</v>
      </c>
      <c r="C2">
        <v>0</v>
      </c>
      <c r="D2">
        <v>1.71951</v>
      </c>
      <c r="E2">
        <v>0</v>
      </c>
      <c r="F2">
        <v>0</v>
      </c>
      <c r="J2" s="1"/>
      <c r="K2" s="70" t="s">
        <v>97</v>
      </c>
      <c r="L2" s="1" t="s">
        <v>98</v>
      </c>
      <c r="M2">
        <v>0</v>
      </c>
      <c r="N2">
        <v>1.71951</v>
      </c>
      <c r="O2">
        <v>0</v>
      </c>
    </row>
    <row r="3" spans="1:14">
      <c r="A3" s="39" t="s">
        <v>45</v>
      </c>
      <c r="B3" s="70" t="s">
        <v>97</v>
      </c>
      <c r="C3">
        <v>1.34327</v>
      </c>
      <c r="D3">
        <v>1.71951</v>
      </c>
      <c r="E3">
        <v>0.37624</v>
      </c>
      <c r="F3">
        <v>-376.24</v>
      </c>
      <c r="K3" s="39" t="s">
        <v>45</v>
      </c>
      <c r="L3" s="70" t="s">
        <v>97</v>
      </c>
      <c r="M3">
        <v>1.34327</v>
      </c>
      <c r="N3">
        <v>1.71951</v>
      </c>
    </row>
    <row r="4" spans="1:14">
      <c r="A4" s="39" t="s">
        <v>46</v>
      </c>
      <c r="B4" s="39" t="s">
        <v>97</v>
      </c>
      <c r="C4">
        <v>1.36554</v>
      </c>
      <c r="D4">
        <v>1.71951</v>
      </c>
      <c r="E4">
        <v>0.35397</v>
      </c>
      <c r="F4">
        <v>-353.97</v>
      </c>
      <c r="K4" s="39" t="s">
        <v>46</v>
      </c>
      <c r="L4" s="39" t="s">
        <v>97</v>
      </c>
      <c r="M4">
        <v>1.36554</v>
      </c>
      <c r="N4">
        <v>1.71951</v>
      </c>
    </row>
    <row r="5" spans="1:14">
      <c r="A5" s="39" t="s">
        <v>47</v>
      </c>
      <c r="B5" s="39" t="s">
        <v>97</v>
      </c>
      <c r="C5">
        <v>1.38873</v>
      </c>
      <c r="D5">
        <v>1.71951</v>
      </c>
      <c r="E5">
        <v>0.33078</v>
      </c>
      <c r="F5">
        <v>-330.78</v>
      </c>
      <c r="K5" s="39" t="s">
        <v>47</v>
      </c>
      <c r="L5" s="39" t="s">
        <v>97</v>
      </c>
      <c r="M5">
        <v>1.38873</v>
      </c>
      <c r="N5">
        <v>1.71951</v>
      </c>
    </row>
    <row r="6" spans="1:14">
      <c r="A6" s="39" t="s">
        <v>48</v>
      </c>
      <c r="B6" s="39" t="s">
        <v>97</v>
      </c>
      <c r="C6">
        <v>1.74934</v>
      </c>
      <c r="D6">
        <v>1.71951</v>
      </c>
      <c r="E6">
        <v>-0.0298299999999998</v>
      </c>
      <c r="F6">
        <v>29.8299999999998</v>
      </c>
      <c r="K6" s="39" t="s">
        <v>48</v>
      </c>
      <c r="L6" s="39" t="s">
        <v>97</v>
      </c>
      <c r="M6">
        <v>1.74934</v>
      </c>
      <c r="N6">
        <v>1.71951</v>
      </c>
    </row>
    <row r="7" spans="1:14">
      <c r="A7" s="39" t="s">
        <v>49</v>
      </c>
      <c r="B7" s="39" t="s">
        <v>97</v>
      </c>
      <c r="C7">
        <v>1.72875</v>
      </c>
      <c r="D7">
        <v>1.71951</v>
      </c>
      <c r="E7">
        <v>-0.00923999999999991</v>
      </c>
      <c r="F7">
        <v>9.23999999999991</v>
      </c>
      <c r="K7" s="39" t="s">
        <v>49</v>
      </c>
      <c r="L7" s="39" t="s">
        <v>97</v>
      </c>
      <c r="M7">
        <v>1.72875</v>
      </c>
      <c r="N7">
        <v>1.71951</v>
      </c>
    </row>
    <row r="8" spans="1:14">
      <c r="A8" s="39" t="s">
        <v>50</v>
      </c>
      <c r="B8" s="39" t="s">
        <v>97</v>
      </c>
      <c r="C8">
        <v>1.6987</v>
      </c>
      <c r="D8">
        <v>1.71951</v>
      </c>
      <c r="E8">
        <v>0.02081</v>
      </c>
      <c r="F8">
        <v>-20.81</v>
      </c>
      <c r="K8" s="39" t="s">
        <v>50</v>
      </c>
      <c r="L8" s="39" t="s">
        <v>97</v>
      </c>
      <c r="M8">
        <v>1.6987</v>
      </c>
      <c r="N8">
        <v>1.71951</v>
      </c>
    </row>
    <row r="9" spans="1:14">
      <c r="A9" s="39" t="s">
        <v>51</v>
      </c>
      <c r="B9" s="39" t="s">
        <v>97</v>
      </c>
      <c r="C9">
        <v>1.67526</v>
      </c>
      <c r="D9">
        <v>1.71951</v>
      </c>
      <c r="E9">
        <v>0.0442500000000001</v>
      </c>
      <c r="F9">
        <v>-44.2500000000001</v>
      </c>
      <c r="K9" s="39" t="s">
        <v>51</v>
      </c>
      <c r="L9" s="39" t="s">
        <v>97</v>
      </c>
      <c r="M9">
        <v>1.67526</v>
      </c>
      <c r="N9">
        <v>1.71951</v>
      </c>
    </row>
    <row r="10" spans="1:14">
      <c r="A10" s="39" t="s">
        <v>52</v>
      </c>
      <c r="B10" s="39" t="s">
        <v>97</v>
      </c>
      <c r="C10">
        <v>1.66155</v>
      </c>
      <c r="D10">
        <v>1.71951</v>
      </c>
      <c r="E10">
        <v>0.05796</v>
      </c>
      <c r="F10">
        <v>-57.96</v>
      </c>
      <c r="K10" s="39" t="s">
        <v>52</v>
      </c>
      <c r="L10" s="39" t="s">
        <v>97</v>
      </c>
      <c r="M10">
        <v>1.66155</v>
      </c>
      <c r="N10">
        <v>1.71951</v>
      </c>
    </row>
    <row r="11" spans="1:14">
      <c r="A11" s="39" t="s">
        <v>53</v>
      </c>
      <c r="B11" s="39" t="s">
        <v>97</v>
      </c>
      <c r="C11">
        <v>1.64923</v>
      </c>
      <c r="D11">
        <v>1.71951</v>
      </c>
      <c r="E11">
        <v>0.0702800000000001</v>
      </c>
      <c r="F11">
        <v>-70.2800000000001</v>
      </c>
      <c r="K11" s="39" t="s">
        <v>53</v>
      </c>
      <c r="L11" s="39" t="s">
        <v>97</v>
      </c>
      <c r="M11">
        <v>1.64923</v>
      </c>
      <c r="N11">
        <v>1.71951</v>
      </c>
    </row>
    <row r="12" spans="1:14">
      <c r="A12" s="70" t="s">
        <v>99</v>
      </c>
      <c r="B12" s="70" t="s">
        <v>52</v>
      </c>
      <c r="C12">
        <v>1.66053</v>
      </c>
      <c r="D12">
        <v>1.72431</v>
      </c>
      <c r="E12">
        <v>0.12174</v>
      </c>
      <c r="F12">
        <v>-121.74</v>
      </c>
      <c r="K12" s="70" t="s">
        <v>99</v>
      </c>
      <c r="L12" s="70" t="s">
        <v>52</v>
      </c>
      <c r="M12">
        <v>1.66053</v>
      </c>
      <c r="N12">
        <v>1.72431</v>
      </c>
    </row>
    <row r="13" spans="1:14">
      <c r="A13" s="70" t="s">
        <v>100</v>
      </c>
      <c r="B13" s="70" t="s">
        <v>52</v>
      </c>
      <c r="C13">
        <v>1.66256</v>
      </c>
      <c r="D13">
        <v>1.72352</v>
      </c>
      <c r="E13">
        <v>0.11892</v>
      </c>
      <c r="F13">
        <v>-118.92</v>
      </c>
      <c r="K13" s="70" t="s">
        <v>100</v>
      </c>
      <c r="L13" s="70" t="s">
        <v>52</v>
      </c>
      <c r="M13">
        <v>1.66256</v>
      </c>
      <c r="N13">
        <v>1.72352</v>
      </c>
    </row>
    <row r="14" spans="1:14">
      <c r="A14" s="70" t="s">
        <v>101</v>
      </c>
      <c r="B14" s="70" t="s">
        <v>102</v>
      </c>
      <c r="C14">
        <v>1.64823</v>
      </c>
      <c r="D14">
        <v>1.71828</v>
      </c>
      <c r="E14">
        <v>0.14033</v>
      </c>
      <c r="F14">
        <v>-140.33</v>
      </c>
      <c r="K14" s="70" t="s">
        <v>101</v>
      </c>
      <c r="L14" s="70" t="s">
        <v>102</v>
      </c>
      <c r="M14">
        <v>1.64823</v>
      </c>
      <c r="N14">
        <v>1.71828</v>
      </c>
    </row>
    <row r="15" spans="1:14">
      <c r="A15" s="70" t="s">
        <v>103</v>
      </c>
      <c r="B15" s="70" t="s">
        <v>101</v>
      </c>
      <c r="C15">
        <v>1.65823</v>
      </c>
      <c r="D15">
        <v>1.71639</v>
      </c>
      <c r="E15">
        <v>0.19849</v>
      </c>
      <c r="F15">
        <v>-198.49</v>
      </c>
      <c r="K15" s="70" t="s">
        <v>103</v>
      </c>
      <c r="L15" s="70" t="s">
        <v>101</v>
      </c>
      <c r="M15">
        <v>1.65823</v>
      </c>
      <c r="N15">
        <v>1.71639</v>
      </c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65</v>
      </c>
      <c r="C1" t="s">
        <v>66</v>
      </c>
      <c r="E1" t="s">
        <v>65</v>
      </c>
      <c r="F1" t="s">
        <v>66</v>
      </c>
    </row>
    <row r="2" spans="1:6">
      <c r="A2" t="s">
        <v>80</v>
      </c>
      <c r="B2">
        <v>0.97</v>
      </c>
      <c r="C2">
        <v>2.342</v>
      </c>
      <c r="D2" t="s">
        <v>80</v>
      </c>
      <c r="E2">
        <v>0.97</v>
      </c>
      <c r="F2">
        <v>2.342</v>
      </c>
    </row>
    <row r="3" spans="1:6">
      <c r="A3" t="s">
        <v>81</v>
      </c>
      <c r="B3">
        <v>1.28</v>
      </c>
      <c r="C3">
        <v>3.079</v>
      </c>
      <c r="D3" t="s">
        <v>81</v>
      </c>
      <c r="E3">
        <v>1.28</v>
      </c>
      <c r="F3">
        <v>3.079</v>
      </c>
    </row>
    <row r="4" spans="1:6">
      <c r="A4" t="s">
        <v>82</v>
      </c>
      <c r="B4">
        <v>1.64</v>
      </c>
      <c r="C4">
        <v>4.008</v>
      </c>
      <c r="D4" t="s">
        <v>82</v>
      </c>
      <c r="E4">
        <v>1.64</v>
      </c>
      <c r="F4">
        <v>4.008</v>
      </c>
    </row>
    <row r="5" spans="1:6">
      <c r="A5" t="s">
        <v>83</v>
      </c>
      <c r="B5">
        <v>2.03</v>
      </c>
      <c r="C5">
        <v>5.16</v>
      </c>
      <c r="D5" t="s">
        <v>83</v>
      </c>
      <c r="E5">
        <v>5</v>
      </c>
      <c r="F5">
        <v>5.16</v>
      </c>
    </row>
    <row r="6" spans="1:6">
      <c r="A6" t="s">
        <v>84</v>
      </c>
      <c r="B6">
        <v>2.5</v>
      </c>
      <c r="C6">
        <v>5.953</v>
      </c>
      <c r="D6" t="s">
        <v>84</v>
      </c>
      <c r="E6">
        <v>2.5</v>
      </c>
      <c r="F6">
        <v>5.953</v>
      </c>
    </row>
    <row r="7" spans="1:6">
      <c r="A7" t="s">
        <v>85</v>
      </c>
      <c r="B7">
        <v>2.8</v>
      </c>
      <c r="C7">
        <v>6.742</v>
      </c>
      <c r="D7" t="s">
        <v>85</v>
      </c>
      <c r="E7">
        <v>2.8</v>
      </c>
      <c r="F7">
        <v>6.742</v>
      </c>
    </row>
    <row r="8" spans="1:6">
      <c r="A8" t="s">
        <v>86</v>
      </c>
      <c r="B8">
        <v>3.28</v>
      </c>
      <c r="C8">
        <v>7.048</v>
      </c>
      <c r="D8" t="s">
        <v>86</v>
      </c>
      <c r="E8">
        <v>3.28</v>
      </c>
      <c r="F8">
        <v>7.048</v>
      </c>
    </row>
    <row r="9" spans="1:6">
      <c r="A9" t="s">
        <v>87</v>
      </c>
      <c r="B9">
        <v>3.1</v>
      </c>
      <c r="C9">
        <v>7.268</v>
      </c>
      <c r="D9" t="s">
        <v>87</v>
      </c>
      <c r="E9">
        <v>3.1</v>
      </c>
      <c r="F9">
        <v>7.268</v>
      </c>
    </row>
    <row r="10" spans="1:6">
      <c r="A10" t="s">
        <v>88</v>
      </c>
      <c r="B10">
        <v>2.77</v>
      </c>
      <c r="C10">
        <v>6.793</v>
      </c>
      <c r="D10" t="s">
        <v>88</v>
      </c>
      <c r="E10">
        <v>2.77</v>
      </c>
      <c r="F10">
        <v>6.793</v>
      </c>
    </row>
    <row r="11" spans="1:6">
      <c r="A11" t="s">
        <v>89</v>
      </c>
      <c r="B11">
        <v>2.8</v>
      </c>
      <c r="C11">
        <v>6.702</v>
      </c>
      <c r="D11" t="s">
        <v>89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</v>
      </c>
      <c r="B1">
        <v>2</v>
      </c>
    </row>
    <row r="2" spans="1:19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13</v>
      </c>
      <c r="B4">
        <v>42.07</v>
      </c>
      <c r="D4">
        <v>44.37</v>
      </c>
    </row>
    <row r="5" spans="1:4">
      <c r="A5" t="s">
        <v>14</v>
      </c>
      <c r="B5">
        <v>0.08</v>
      </c>
      <c r="D5">
        <v>0.07</v>
      </c>
    </row>
    <row r="6" spans="1:21">
      <c r="A6" t="s">
        <v>15</v>
      </c>
      <c r="B6">
        <v>0.87</v>
      </c>
      <c r="D6">
        <v>0.65</v>
      </c>
      <c r="J6" s="39"/>
      <c r="S6" s="39"/>
      <c r="U6" s="39" t="s">
        <v>16</v>
      </c>
    </row>
    <row r="7" spans="1:21">
      <c r="A7" s="1" t="s">
        <v>17</v>
      </c>
      <c r="B7" s="2">
        <v>0</v>
      </c>
      <c r="D7" s="2">
        <v>0</v>
      </c>
      <c r="J7" s="39"/>
      <c r="S7" s="39"/>
      <c r="U7" s="39" t="s">
        <v>18</v>
      </c>
    </row>
    <row r="8" spans="1:4">
      <c r="A8" s="1" t="s">
        <v>19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21</v>
      </c>
      <c r="B11" s="33"/>
      <c r="C11" s="33"/>
      <c r="D11" s="33"/>
      <c r="E11" s="33"/>
      <c r="F11" s="33"/>
      <c r="G11" s="33"/>
      <c r="H11" s="33"/>
      <c r="L11" s="40" t="s">
        <v>22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24</v>
      </c>
      <c r="B13" s="4" t="s">
        <v>25</v>
      </c>
      <c r="C13" s="4" t="s">
        <v>26</v>
      </c>
      <c r="D13" s="4"/>
      <c r="E13" s="4" t="s">
        <v>27</v>
      </c>
      <c r="F13" s="4"/>
      <c r="G13" s="4" t="s">
        <v>28</v>
      </c>
      <c r="H13" s="4"/>
      <c r="L13" s="4" t="s">
        <v>24</v>
      </c>
      <c r="M13" s="4" t="s">
        <v>25</v>
      </c>
      <c r="N13" s="41" t="s">
        <v>27</v>
      </c>
      <c r="O13" s="41"/>
      <c r="P13" s="41"/>
      <c r="Q13" s="48" t="s">
        <v>28</v>
      </c>
      <c r="R13" s="49"/>
      <c r="S13" s="50"/>
      <c r="T13" s="41" t="s">
        <v>29</v>
      </c>
      <c r="U13" s="41"/>
      <c r="Y13" s="6" t="s">
        <v>24</v>
      </c>
      <c r="Z13" s="6" t="s">
        <v>25</v>
      </c>
      <c r="AA13" s="4" t="s">
        <v>30</v>
      </c>
      <c r="AB13" s="4"/>
      <c r="AC13" s="4"/>
      <c r="AD13" s="4" t="s">
        <v>31</v>
      </c>
      <c r="AE13" s="4" t="s">
        <v>32</v>
      </c>
      <c r="AF13" s="6" t="s">
        <v>33</v>
      </c>
    </row>
    <row r="14" ht="30.75" spans="1:32">
      <c r="A14" s="4"/>
      <c r="B14" s="4"/>
      <c r="C14" s="4" t="s">
        <v>34</v>
      </c>
      <c r="D14" s="4" t="s">
        <v>35</v>
      </c>
      <c r="E14" s="4" t="s">
        <v>34</v>
      </c>
      <c r="F14" s="4" t="s">
        <v>36</v>
      </c>
      <c r="G14" s="4" t="s">
        <v>34</v>
      </c>
      <c r="H14" s="4" t="s">
        <v>36</v>
      </c>
      <c r="L14" s="4"/>
      <c r="M14" s="4"/>
      <c r="N14" s="41" t="s">
        <v>37</v>
      </c>
      <c r="O14" s="41" t="s">
        <v>38</v>
      </c>
      <c r="P14" s="41" t="s">
        <v>39</v>
      </c>
      <c r="Q14" s="41" t="s">
        <v>37</v>
      </c>
      <c r="R14" s="41" t="s">
        <v>38</v>
      </c>
      <c r="S14" s="41" t="s">
        <v>40</v>
      </c>
      <c r="T14" s="4" t="s">
        <v>41</v>
      </c>
      <c r="U14" s="4" t="s">
        <v>39</v>
      </c>
      <c r="Y14" s="58"/>
      <c r="Z14" s="58"/>
      <c r="AA14" s="4" t="s">
        <v>42</v>
      </c>
      <c r="AB14" s="4" t="s">
        <v>43</v>
      </c>
      <c r="AC14" s="4" t="s">
        <v>40</v>
      </c>
      <c r="AD14" s="4"/>
      <c r="AE14" s="4"/>
      <c r="AF14" s="58"/>
    </row>
    <row r="15" spans="1:32">
      <c r="A15" t="s">
        <v>44</v>
      </c>
      <c r="B15" s="35" t="s">
        <v>45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44</v>
      </c>
      <c r="B16" s="35" t="s">
        <v>46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44</v>
      </c>
      <c r="B17" s="36" t="s">
        <v>47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44</v>
      </c>
      <c r="B18" s="35" t="s">
        <v>48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44</v>
      </c>
      <c r="B19" s="35" t="s">
        <v>49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44</v>
      </c>
      <c r="B20" s="36" t="s">
        <v>50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44</v>
      </c>
      <c r="B21" s="35" t="s">
        <v>51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44</v>
      </c>
      <c r="B22" s="35" t="s">
        <v>52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44</v>
      </c>
      <c r="B23" s="35" t="s">
        <v>53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44</v>
      </c>
      <c r="B24" s="37" t="s">
        <v>54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44</v>
      </c>
      <c r="B25" s="35" t="s">
        <v>55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44</v>
      </c>
      <c r="B26" s="35" t="s">
        <v>56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44</v>
      </c>
      <c r="B27" s="37" t="s">
        <v>57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44</v>
      </c>
      <c r="B28" s="36" t="s">
        <v>58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59</v>
      </c>
      <c r="B29" s="38" t="s">
        <v>45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59</v>
      </c>
      <c r="B30" s="35" t="s">
        <v>46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59</v>
      </c>
      <c r="B31" s="36" t="s">
        <v>47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59</v>
      </c>
      <c r="B32" s="35" t="s">
        <v>48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59</v>
      </c>
      <c r="B33" s="35" t="s">
        <v>49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59</v>
      </c>
      <c r="B34" s="36" t="s">
        <v>50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59</v>
      </c>
      <c r="B35" s="35" t="s">
        <v>51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59</v>
      </c>
      <c r="B36" s="35" t="s">
        <v>52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59</v>
      </c>
      <c r="B37" s="35" t="s">
        <v>53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59</v>
      </c>
      <c r="B38" s="37" t="s">
        <v>54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59</v>
      </c>
      <c r="B39" s="35" t="s">
        <v>55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59</v>
      </c>
      <c r="B40" s="35" t="s">
        <v>56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59</v>
      </c>
      <c r="B41" s="37" t="s">
        <v>57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59</v>
      </c>
      <c r="B42" s="35" t="s">
        <v>58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60</v>
      </c>
      <c r="B1">
        <v>1</v>
      </c>
    </row>
    <row r="2" spans="1:19">
      <c r="A2" t="s">
        <v>2</v>
      </c>
      <c r="B2">
        <v>14</v>
      </c>
      <c r="C2" t="s">
        <v>3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2">
      <c r="A3" t="s">
        <v>12</v>
      </c>
      <c r="B3">
        <v>2</v>
      </c>
    </row>
    <row r="4" spans="1:2">
      <c r="A4" s="1" t="s">
        <v>61</v>
      </c>
      <c r="B4">
        <v>3.28</v>
      </c>
    </row>
    <row r="5" spans="1:2">
      <c r="A5" t="s">
        <v>14</v>
      </c>
      <c r="B5">
        <v>0.39</v>
      </c>
    </row>
    <row r="6" spans="1:2">
      <c r="A6" t="s">
        <v>15</v>
      </c>
      <c r="B6">
        <v>0.93</v>
      </c>
    </row>
    <row r="7" spans="1:2">
      <c r="A7" s="1" t="s">
        <v>62</v>
      </c>
      <c r="B7" s="2">
        <v>0.0244</v>
      </c>
    </row>
    <row r="8" spans="1:4">
      <c r="A8" t="s">
        <v>63</v>
      </c>
      <c r="B8" s="2">
        <v>0</v>
      </c>
      <c r="D8" s="2"/>
    </row>
    <row r="11" ht="14.25" spans="1:12">
      <c r="A11" s="3" t="s">
        <v>24</v>
      </c>
      <c r="B11" s="3" t="s">
        <v>25</v>
      </c>
      <c r="C11" s="4" t="s">
        <v>64</v>
      </c>
      <c r="D11" s="4" t="s">
        <v>27</v>
      </c>
      <c r="E11" s="4"/>
      <c r="F11" s="4" t="s">
        <v>28</v>
      </c>
      <c r="G11" s="4"/>
      <c r="H11" s="4"/>
      <c r="I11" s="4" t="s">
        <v>65</v>
      </c>
      <c r="J11" s="4" t="s">
        <v>66</v>
      </c>
      <c r="K11" s="4" t="s">
        <v>32</v>
      </c>
      <c r="L11" s="4" t="s">
        <v>67</v>
      </c>
    </row>
    <row r="12" ht="14.25" spans="1:12">
      <c r="A12" s="3"/>
      <c r="B12" s="5"/>
      <c r="C12" s="6"/>
      <c r="D12" s="4" t="s">
        <v>68</v>
      </c>
      <c r="E12" s="4" t="s">
        <v>69</v>
      </c>
      <c r="F12" s="4" t="s">
        <v>68</v>
      </c>
      <c r="G12" s="4" t="s">
        <v>70</v>
      </c>
      <c r="H12" s="4" t="s">
        <v>71</v>
      </c>
      <c r="I12" s="4"/>
      <c r="J12" s="4"/>
      <c r="K12" s="4"/>
      <c r="L12" s="4"/>
    </row>
    <row r="13" spans="1:12">
      <c r="A13" s="7" t="s">
        <v>44</v>
      </c>
      <c r="B13" s="8" t="s">
        <v>73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44</v>
      </c>
      <c r="B14" s="8" t="s">
        <v>75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44</v>
      </c>
      <c r="B15" s="8" t="s">
        <v>77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44</v>
      </c>
      <c r="B16" s="8" t="s">
        <v>79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44</v>
      </c>
      <c r="B17" s="8" t="s">
        <v>80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44</v>
      </c>
      <c r="B18" s="8" t="s">
        <v>81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44</v>
      </c>
      <c r="B19" s="8" t="s">
        <v>82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44</v>
      </c>
      <c r="B20" s="8" t="s">
        <v>83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44</v>
      </c>
      <c r="B21" s="8" t="s">
        <v>84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44</v>
      </c>
      <c r="B22" s="8" t="s">
        <v>85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44</v>
      </c>
      <c r="B23" s="8" t="s">
        <v>86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44</v>
      </c>
      <c r="B24" s="8" t="s">
        <v>87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44</v>
      </c>
      <c r="B25" s="8" t="s">
        <v>88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44</v>
      </c>
      <c r="B26" s="14" t="s">
        <v>89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73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75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77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79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80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81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82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83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84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85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86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87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88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89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首页</vt:lpstr>
      <vt:lpstr>应变</vt:lpstr>
      <vt:lpstr>挠度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2018-12-18T10:57:09Z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