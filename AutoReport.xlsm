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9B01DE00-7192-46AE-8F2A-7F740F9A3FDA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挠度" sheetId="1" r:id="rId1"/>
    <sheet name="应变" sheetId="2" r:id="rId2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7" i="2" l="1"/>
  <c r="AC37" i="2"/>
  <c r="AF37" i="2" s="1"/>
  <c r="AA37" i="2"/>
  <c r="AB37" i="2" s="1"/>
  <c r="AE37" i="2" s="1"/>
  <c r="AF36" i="2"/>
  <c r="AD36" i="2"/>
  <c r="AC36" i="2"/>
  <c r="AA36" i="2"/>
  <c r="AB36" i="2" s="1"/>
  <c r="AE36" i="2" s="1"/>
  <c r="AD35" i="2"/>
  <c r="AC35" i="2"/>
  <c r="AF35" i="2" s="1"/>
  <c r="AA35" i="2"/>
  <c r="AB35" i="2" s="1"/>
  <c r="AE35" i="2" s="1"/>
  <c r="AD34" i="2"/>
  <c r="AC34" i="2"/>
  <c r="AF34" i="2" s="1"/>
  <c r="AA34" i="2"/>
  <c r="AB34" i="2" s="1"/>
  <c r="AE34" i="2" s="1"/>
  <c r="AD33" i="2"/>
  <c r="AC33" i="2"/>
  <c r="AF33" i="2" s="1"/>
  <c r="AA33" i="2"/>
  <c r="AB33" i="2" s="1"/>
  <c r="AE33" i="2" s="1"/>
  <c r="AF32" i="2"/>
  <c r="AD32" i="2"/>
  <c r="AC32" i="2"/>
  <c r="AA32" i="2"/>
  <c r="AB32" i="2" s="1"/>
  <c r="AE32" i="2" s="1"/>
  <c r="AD31" i="2"/>
  <c r="AC31" i="2"/>
  <c r="AF31" i="2" s="1"/>
  <c r="AA31" i="2"/>
  <c r="AB31" i="2" s="1"/>
  <c r="AE31" i="2" s="1"/>
  <c r="AD30" i="2"/>
  <c r="AC30" i="2"/>
  <c r="AF30" i="2" s="1"/>
  <c r="AA30" i="2"/>
  <c r="AB30" i="2" s="1"/>
  <c r="AE30" i="2" s="1"/>
  <c r="AD29" i="2"/>
  <c r="AC29" i="2"/>
  <c r="AF29" i="2" s="1"/>
  <c r="AA29" i="2"/>
  <c r="AB29" i="2" s="1"/>
  <c r="AE29" i="2" s="1"/>
  <c r="AF28" i="2"/>
  <c r="AD28" i="2"/>
  <c r="AC28" i="2"/>
  <c r="AA28" i="2"/>
  <c r="AB28" i="2" s="1"/>
  <c r="AE28" i="2" s="1"/>
  <c r="AD27" i="2"/>
  <c r="AC27" i="2"/>
  <c r="AF27" i="2" s="1"/>
  <c r="AA27" i="2"/>
  <c r="AB27" i="2" s="1"/>
  <c r="AE27" i="2" s="1"/>
  <c r="AD26" i="2"/>
  <c r="AC26" i="2"/>
  <c r="AF26" i="2" s="1"/>
  <c r="AA26" i="2"/>
  <c r="AB26" i="2" s="1"/>
  <c r="AE26" i="2" s="1"/>
  <c r="AD25" i="2"/>
  <c r="AC25" i="2"/>
  <c r="AF25" i="2" s="1"/>
  <c r="AA25" i="2"/>
  <c r="AB25" i="2" s="1"/>
  <c r="AE25" i="2" s="1"/>
  <c r="AF24" i="2"/>
  <c r="AD24" i="2"/>
  <c r="AC24" i="2"/>
  <c r="AA24" i="2"/>
  <c r="AB24" i="2" s="1"/>
  <c r="AE24" i="2" s="1"/>
  <c r="AD23" i="2"/>
  <c r="AC23" i="2"/>
  <c r="AF23" i="2" s="1"/>
  <c r="AA23" i="2"/>
  <c r="AB23" i="2" s="1"/>
  <c r="AE23" i="2" s="1"/>
  <c r="AD22" i="2"/>
  <c r="AC22" i="2"/>
  <c r="AF22" i="2" s="1"/>
  <c r="AA22" i="2"/>
  <c r="AB22" i="2" s="1"/>
  <c r="AE22" i="2" s="1"/>
  <c r="AD21" i="2"/>
  <c r="AC21" i="2"/>
  <c r="AF21" i="2" s="1"/>
  <c r="AA21" i="2"/>
  <c r="AB21" i="2" s="1"/>
  <c r="AE21" i="2" s="1"/>
  <c r="AF20" i="2"/>
  <c r="AD20" i="2"/>
  <c r="AC20" i="2"/>
  <c r="AA20" i="2"/>
  <c r="AB20" i="2" s="1"/>
  <c r="AE20" i="2" s="1"/>
  <c r="AD19" i="2"/>
  <c r="AC19" i="2"/>
  <c r="AF19" i="2" s="1"/>
  <c r="AA19" i="2"/>
  <c r="AB19" i="2" s="1"/>
  <c r="AE19" i="2" s="1"/>
  <c r="AD18" i="2"/>
  <c r="AC18" i="2"/>
  <c r="AF18" i="2" s="1"/>
  <c r="AB18" i="2"/>
  <c r="AE18" i="2" s="1"/>
  <c r="AA18" i="2"/>
  <c r="AD17" i="2"/>
  <c r="AC17" i="2"/>
  <c r="AF17" i="2" s="1"/>
  <c r="AA17" i="2"/>
  <c r="AB17" i="2" s="1"/>
  <c r="AE17" i="2" s="1"/>
  <c r="AF16" i="2"/>
  <c r="AD16" i="2"/>
  <c r="AC16" i="2"/>
  <c r="AA16" i="2"/>
  <c r="AB16" i="2" s="1"/>
  <c r="AE16" i="2" s="1"/>
  <c r="AD15" i="2"/>
  <c r="AC15" i="2"/>
  <c r="AF15" i="2" s="1"/>
  <c r="AA15" i="2"/>
  <c r="AB15" i="2" s="1"/>
  <c r="AE15" i="2" s="1"/>
  <c r="AD14" i="2"/>
  <c r="AC14" i="2"/>
  <c r="AF14" i="2" s="1"/>
  <c r="AB14" i="2"/>
  <c r="AE14" i="2" s="1"/>
  <c r="AA14" i="2"/>
  <c r="AD13" i="2"/>
  <c r="AC13" i="2"/>
  <c r="AF13" i="2" s="1"/>
  <c r="AA13" i="2"/>
  <c r="AB13" i="2" s="1"/>
  <c r="AE13" i="2" s="1"/>
  <c r="AF12" i="2"/>
  <c r="AD12" i="2"/>
  <c r="AC12" i="2"/>
  <c r="AA12" i="2"/>
  <c r="AB12" i="2" s="1"/>
  <c r="AE12" i="2" s="1"/>
  <c r="AD11" i="2"/>
  <c r="AC11" i="2"/>
  <c r="AF11" i="2" s="1"/>
  <c r="AA11" i="2"/>
  <c r="AB11" i="2" s="1"/>
  <c r="AE11" i="2" s="1"/>
  <c r="AD10" i="2"/>
  <c r="AC10" i="2"/>
  <c r="AF10" i="2" s="1"/>
  <c r="AB10" i="2"/>
  <c r="AE10" i="2" s="1"/>
  <c r="AA10" i="2"/>
  <c r="U37" i="2"/>
  <c r="R37" i="2"/>
  <c r="Q37" i="2"/>
  <c r="S37" i="2" s="1"/>
  <c r="O37" i="2"/>
  <c r="N37" i="2"/>
  <c r="P37" i="2" s="1"/>
  <c r="U36" i="2"/>
  <c r="R36" i="2"/>
  <c r="Q36" i="2"/>
  <c r="S36" i="2" s="1"/>
  <c r="O36" i="2"/>
  <c r="N36" i="2"/>
  <c r="P36" i="2" s="1"/>
  <c r="U35" i="2"/>
  <c r="S35" i="2"/>
  <c r="R35" i="2"/>
  <c r="Q35" i="2"/>
  <c r="O35" i="2"/>
  <c r="N35" i="2"/>
  <c r="P35" i="2" s="1"/>
  <c r="U34" i="2"/>
  <c r="R34" i="2"/>
  <c r="S34" i="2" s="1"/>
  <c r="Q34" i="2"/>
  <c r="O34" i="2"/>
  <c r="N34" i="2"/>
  <c r="P34" i="2" s="1"/>
  <c r="U33" i="2"/>
  <c r="R33" i="2"/>
  <c r="Q33" i="2"/>
  <c r="S33" i="2" s="1"/>
  <c r="O33" i="2"/>
  <c r="N33" i="2"/>
  <c r="P33" i="2" s="1"/>
  <c r="U32" i="2"/>
  <c r="R32" i="2"/>
  <c r="Q32" i="2"/>
  <c r="S32" i="2" s="1"/>
  <c r="P32" i="2"/>
  <c r="O32" i="2"/>
  <c r="N32" i="2"/>
  <c r="U31" i="2"/>
  <c r="R31" i="2"/>
  <c r="Q31" i="2"/>
  <c r="S31" i="2" s="1"/>
  <c r="O31" i="2"/>
  <c r="P31" i="2" s="1"/>
  <c r="N31" i="2"/>
  <c r="U30" i="2"/>
  <c r="R30" i="2"/>
  <c r="Q30" i="2"/>
  <c r="S30" i="2" s="1"/>
  <c r="O30" i="2"/>
  <c r="N30" i="2"/>
  <c r="P30" i="2" s="1"/>
  <c r="U29" i="2"/>
  <c r="R29" i="2"/>
  <c r="Q29" i="2"/>
  <c r="S29" i="2" s="1"/>
  <c r="O29" i="2"/>
  <c r="N29" i="2"/>
  <c r="P29" i="2" s="1"/>
  <c r="U28" i="2"/>
  <c r="R28" i="2"/>
  <c r="Q28" i="2"/>
  <c r="S28" i="2" s="1"/>
  <c r="O28" i="2"/>
  <c r="N28" i="2"/>
  <c r="P28" i="2" s="1"/>
  <c r="U27" i="2"/>
  <c r="S27" i="2"/>
  <c r="R27" i="2"/>
  <c r="Q27" i="2"/>
  <c r="O27" i="2"/>
  <c r="N27" i="2"/>
  <c r="P27" i="2" s="1"/>
  <c r="U26" i="2"/>
  <c r="R26" i="2"/>
  <c r="S26" i="2" s="1"/>
  <c r="Q26" i="2"/>
  <c r="O26" i="2"/>
  <c r="N26" i="2"/>
  <c r="P26" i="2" s="1"/>
  <c r="U25" i="2"/>
  <c r="R25" i="2"/>
  <c r="Q25" i="2"/>
  <c r="S25" i="2" s="1"/>
  <c r="O25" i="2"/>
  <c r="N25" i="2"/>
  <c r="P25" i="2" s="1"/>
  <c r="U24" i="2"/>
  <c r="R24" i="2"/>
  <c r="Q24" i="2"/>
  <c r="S24" i="2" s="1"/>
  <c r="P24" i="2"/>
  <c r="O24" i="2"/>
  <c r="N24" i="2"/>
  <c r="U23" i="2"/>
  <c r="R23" i="2"/>
  <c r="Q23" i="2"/>
  <c r="S23" i="2" s="1"/>
  <c r="O23" i="2"/>
  <c r="P23" i="2" s="1"/>
  <c r="N23" i="2"/>
  <c r="U22" i="2"/>
  <c r="R22" i="2"/>
  <c r="Q22" i="2"/>
  <c r="S22" i="2" s="1"/>
  <c r="O22" i="2"/>
  <c r="N22" i="2"/>
  <c r="P22" i="2" s="1"/>
  <c r="U21" i="2"/>
  <c r="R21" i="2"/>
  <c r="Q21" i="2"/>
  <c r="S21" i="2" s="1"/>
  <c r="O21" i="2"/>
  <c r="N21" i="2"/>
  <c r="P21" i="2" s="1"/>
  <c r="U20" i="2"/>
  <c r="R20" i="2"/>
  <c r="Q20" i="2"/>
  <c r="S20" i="2" s="1"/>
  <c r="O20" i="2"/>
  <c r="N20" i="2"/>
  <c r="P20" i="2" s="1"/>
  <c r="U19" i="2"/>
  <c r="S19" i="2"/>
  <c r="R19" i="2"/>
  <c r="Q19" i="2"/>
  <c r="O19" i="2"/>
  <c r="N19" i="2"/>
  <c r="P19" i="2" s="1"/>
  <c r="U18" i="2"/>
  <c r="R18" i="2"/>
  <c r="S18" i="2" s="1"/>
  <c r="Q18" i="2"/>
  <c r="O18" i="2"/>
  <c r="N18" i="2"/>
  <c r="P18" i="2" s="1"/>
  <c r="U17" i="2"/>
  <c r="R17" i="2"/>
  <c r="Q17" i="2"/>
  <c r="S17" i="2" s="1"/>
  <c r="O17" i="2"/>
  <c r="N17" i="2"/>
  <c r="P17" i="2" s="1"/>
  <c r="U16" i="2"/>
  <c r="R16" i="2"/>
  <c r="Q16" i="2"/>
  <c r="S16" i="2" s="1"/>
  <c r="P16" i="2"/>
  <c r="O16" i="2"/>
  <c r="N16" i="2"/>
  <c r="U15" i="2"/>
  <c r="R15" i="2"/>
  <c r="Q15" i="2"/>
  <c r="S15" i="2" s="1"/>
  <c r="O15" i="2"/>
  <c r="P15" i="2" s="1"/>
  <c r="N15" i="2"/>
  <c r="U14" i="2"/>
  <c r="R14" i="2"/>
  <c r="Q14" i="2"/>
  <c r="S14" i="2" s="1"/>
  <c r="O14" i="2"/>
  <c r="N14" i="2"/>
  <c r="P14" i="2" s="1"/>
  <c r="U13" i="2"/>
  <c r="R13" i="2"/>
  <c r="Q13" i="2"/>
  <c r="S13" i="2" s="1"/>
  <c r="O13" i="2"/>
  <c r="N13" i="2"/>
  <c r="P13" i="2" s="1"/>
  <c r="U12" i="2"/>
  <c r="R12" i="2"/>
  <c r="Q12" i="2"/>
  <c r="S12" i="2" s="1"/>
  <c r="O12" i="2"/>
  <c r="N12" i="2"/>
  <c r="P12" i="2" s="1"/>
  <c r="U11" i="2"/>
  <c r="S11" i="2"/>
  <c r="R11" i="2"/>
  <c r="Q11" i="2"/>
  <c r="O11" i="2"/>
  <c r="N11" i="2"/>
  <c r="P11" i="2" s="1"/>
  <c r="U10" i="2"/>
  <c r="R10" i="2"/>
  <c r="S10" i="2" s="1"/>
  <c r="Q10" i="2"/>
  <c r="O10" i="2"/>
  <c r="N10" i="2"/>
  <c r="P10" i="2" s="1"/>
</calcChain>
</file>

<file path=xl/sharedStrings.xml><?xml version="1.0" encoding="utf-8"?>
<sst xmlns="http://schemas.openxmlformats.org/spreadsheetml/2006/main" count="165" uniqueCount="70">
  <si>
    <t>工况</t>
    <phoneticPr fontId="3" type="noConversion"/>
  </si>
  <si>
    <t>测点</t>
  </si>
  <si>
    <t>初读</t>
  </si>
  <si>
    <t>满载</t>
  </si>
  <si>
    <t>卸载</t>
  </si>
  <si>
    <t>弹性变形</t>
    <phoneticPr fontId="3" type="noConversion"/>
  </si>
  <si>
    <t>理论</t>
    <phoneticPr fontId="3" type="noConversion"/>
  </si>
  <si>
    <t>校验系数</t>
    <phoneticPr fontId="3" type="noConversion"/>
  </si>
  <si>
    <t>相对残余</t>
    <phoneticPr fontId="3" type="noConversion"/>
  </si>
  <si>
    <t>读数</t>
  </si>
  <si>
    <t>总变形</t>
    <phoneticPr fontId="3" type="noConversion"/>
  </si>
  <si>
    <t>增量</t>
    <phoneticPr fontId="3" type="noConversion"/>
  </si>
  <si>
    <t>残余变形</t>
    <phoneticPr fontId="3" type="noConversion"/>
  </si>
  <si>
    <t>Z1</t>
    <phoneticPr fontId="3" type="noConversion"/>
  </si>
  <si>
    <t>Z2</t>
    <phoneticPr fontId="3" type="noConversion"/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</si>
  <si>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</si>
  <si>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</si>
  <si>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</si>
  <si>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</si>
  <si>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</si>
  <si>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</si>
  <si>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</si>
  <si>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</si>
  <si>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</si>
  <si>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</si>
  <si>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</si>
  <si>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</si>
  <si>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</si>
  <si>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一</t>
  </si>
  <si>
    <t>一</t>
    <phoneticPr fontId="2" type="noConversion"/>
  </si>
  <si>
    <t>二</t>
    <phoneticPr fontId="2" type="noConversion"/>
  </si>
  <si>
    <t>试验数据</t>
  </si>
  <si>
    <t>初始读数</t>
  </si>
  <si>
    <t>卸载</t>
    <phoneticPr fontId="3" type="noConversion"/>
  </si>
  <si>
    <t>模数R</t>
  </si>
  <si>
    <t>温度</t>
  </si>
  <si>
    <t>温度T</t>
  </si>
  <si>
    <t>1#</t>
    <phoneticPr fontId="3" type="noConversion"/>
  </si>
  <si>
    <t>2#</t>
    <phoneticPr fontId="3" type="noConversion"/>
  </si>
  <si>
    <t>3#</t>
    <phoneticPr fontId="3" type="noConversion"/>
  </si>
  <si>
    <t>4#</t>
    <phoneticPr fontId="3" type="noConversion"/>
  </si>
  <si>
    <t>5#</t>
    <phoneticPr fontId="3" type="noConversion"/>
  </si>
  <si>
    <t>6#</t>
    <phoneticPr fontId="3" type="noConversion"/>
  </si>
  <si>
    <t>7#</t>
    <phoneticPr fontId="3" type="noConversion"/>
  </si>
  <si>
    <t>8#</t>
    <phoneticPr fontId="3" type="noConversion"/>
  </si>
  <si>
    <t>9#</t>
    <phoneticPr fontId="3" type="noConversion"/>
  </si>
  <si>
    <t>10#</t>
  </si>
  <si>
    <t>11#</t>
  </si>
  <si>
    <t>12#</t>
  </si>
  <si>
    <t>13#</t>
  </si>
  <si>
    <t>14#</t>
  </si>
  <si>
    <t>应变计算</t>
  </si>
  <si>
    <t>满载</t>
    <phoneticPr fontId="3" type="noConversion"/>
  </si>
  <si>
    <t>理论计算值</t>
  </si>
  <si>
    <t>模数计算</t>
  </si>
  <si>
    <t>温度计算</t>
  </si>
  <si>
    <t>应变</t>
    <phoneticPr fontId="3" type="noConversion"/>
  </si>
  <si>
    <t>残余应变</t>
  </si>
  <si>
    <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</si>
  <si>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应变</t>
  </si>
  <si>
    <t>报告数据</t>
  </si>
  <si>
    <t>实测值(με)</t>
  </si>
  <si>
    <t>满载理论值(με)</t>
  </si>
  <si>
    <t>校验系数</t>
  </si>
  <si>
    <t>相对残余应变</t>
  </si>
  <si>
    <t>总应变</t>
  </si>
  <si>
    <t>弹性应变</t>
  </si>
  <si>
    <t>应变计算公式</t>
    <phoneticPr fontId="2" type="noConversion"/>
  </si>
  <si>
    <t>其中G=3.7，C=1.020019</t>
  </si>
  <si>
    <t>混凝土弹性模量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</si>
</sst>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0_ "/>
    <numFmt numFmtId="178" formatCode="0.0_ "/>
  </numFmts>
  <fonts count="7" x14ac:knownFonts="1">
    <font>
      <sz val="11"/>
      <color theme="1"/>
      <name val="等线"/>
      <family val="2"/>
      <scheme val="minor"/>
    </font>
    <font>
      <sz val="12"/>
      <color indexed="6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2"/>
      <color indexed="16"/>
      <name val="宋体"/>
      <family val="3"/>
      <charset val="134"/>
    </font>
    <font>
      <sz val="11"/>
      <color rgb="FF000000"/>
      <name val="等线"/>
      <family val="3"/>
      <charset val="134"/>
    </font>
    <font>
      <u/>
      <vertAlign val="superscript"/>
      <sz val="12"/>
      <color indexed="16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/>
    <xf numFmtId="10" fontId="0" fillId="0" borderId="1" xfId="0" applyNumberFormat="1" applyBorder="1"/>
    <xf numFmtId="177" fontId="0" fillId="0" borderId="5" xfId="0" applyNumberFormat="1" applyBorder="1"/>
    <xf numFmtId="10" fontId="0" fillId="0" borderId="5" xfId="0" applyNumberFormat="1" applyBorder="1"/>
    <xf numFmtId="177" fontId="0" fillId="0" borderId="2" xfId="0" applyNumberFormat="1" applyBorder="1"/>
    <xf numFmtId="10" fontId="0" fillId="0" borderId="2" xfId="0" applyNumberFormat="1" applyBorder="1"/>
    <xf numFmtId="177" fontId="0" fillId="0" borderId="3" xfId="0" applyNumberFormat="1" applyBorder="1"/>
    <xf numFmtId="10" fontId="0" fillId="0" borderId="3" xfId="0" applyNumberFormat="1" applyBorder="1"/>
    <xf numFmtId="177" fontId="0" fillId="2" borderId="1" xfId="0" applyNumberForma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3" borderId="1" xfId="0" applyNumberForma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77" fontId="0" fillId="3" borderId="5" xfId="0" applyNumberFormat="1" applyFill="1" applyBorder="1" applyAlignment="1">
      <alignment horizontal="center" vertic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176" fontId="0" fillId="3" borderId="1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177" fontId="0" fillId="3" borderId="4" xfId="0" applyNumberForma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3" xfId="0" applyNumberFormat="1" applyBorder="1" applyAlignment="1">
      <alignment horizontal="center" vertical="center" wrapText="1"/>
    </xf>
    <xf numFmtId="176" fontId="0" fillId="0" borderId="5" xfId="0" applyNumberForma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6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8" fontId="0" fillId="0" borderId="2" xfId="0" applyNumberFormat="1" applyFont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ill="1" applyBorder="1" applyAlignment="1">
      <alignment horizontal="center" vertical="center"/>
    </xf>
    <xf numFmtId="178" fontId="0" fillId="0" borderId="5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6" fontId="0" fillId="0" borderId="7" xfId="0" applyNumberFormat="1" applyFont="1" applyBorder="1" applyAlignment="1">
      <alignment horizontal="center" vertical="center" wrapText="1"/>
    </xf>
    <xf numFmtId="177" fontId="0" fillId="0" borderId="5" xfId="0" applyNumberFormat="1" applyFill="1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66675</xdr:rowOff>
        </xdr:from>
        <xdr:to>
          <xdr:col>14</xdr:col>
          <xdr:colOff>295275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自动计算位移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238125</xdr:colOff>
      <xdr:row>0</xdr:row>
      <xdr:rowOff>76200</xdr:rowOff>
    </xdr:from>
    <xdr:to>
      <xdr:col>19</xdr:col>
      <xdr:colOff>337185</xdr:colOff>
      <xdr:row>4</xdr:row>
      <xdr:rowOff>41910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 bwMode="auto">
        <a:xfrm>
          <a:off x="7791450" y="7620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workbookViewId="0">
      <selection activeCell="L16" sqref="L16"/>
    </sheetView>
  </sheetViews>
  <sheetFormatPr defaultRowHeight="14.25" x14ac:dyDescent="0.2"/>
  <sheetData>
    <row r="1" spans="1:12" x14ac:dyDescent="0.2">
      <c r="A1" s="60" t="s">
        <v>0</v>
      </c>
      <c r="B1" s="60" t="s">
        <v>1</v>
      </c>
      <c r="C1" s="59" t="s">
        <v>2</v>
      </c>
      <c r="D1" s="59" t="s">
        <v>3</v>
      </c>
      <c r="E1" s="59"/>
      <c r="F1" s="59" t="s">
        <v>4</v>
      </c>
      <c r="G1" s="59"/>
      <c r="H1" s="59"/>
      <c r="I1" s="59" t="s">
        <v>5</v>
      </c>
      <c r="J1" s="59" t="s">
        <v>6</v>
      </c>
      <c r="K1" s="59" t="s">
        <v>7</v>
      </c>
      <c r="L1" s="59" t="s">
        <v>8</v>
      </c>
    </row>
    <row r="2" spans="1:12" x14ac:dyDescent="0.2">
      <c r="A2" s="60"/>
      <c r="B2" s="61"/>
      <c r="C2" s="62"/>
      <c r="D2" s="1" t="s">
        <v>9</v>
      </c>
      <c r="E2" s="1" t="s">
        <v>10</v>
      </c>
      <c r="F2" s="1" t="s">
        <v>9</v>
      </c>
      <c r="G2" s="1" t="s">
        <v>11</v>
      </c>
      <c r="H2" s="1" t="s">
        <v>12</v>
      </c>
      <c r="I2" s="59"/>
      <c r="J2" s="59"/>
      <c r="K2" s="59"/>
      <c r="L2" s="59"/>
    </row>
    <row r="3" spans="1:12" x14ac:dyDescent="0.2">
      <c r="A3" s="27" t="s">
        <v>29</v>
      </c>
      <c r="B3" s="24" t="s">
        <v>13</v>
      </c>
      <c r="C3" s="15">
        <v>8.74</v>
      </c>
      <c r="D3" s="15">
        <v>9.18</v>
      </c>
      <c r="E3" s="11">
        <v>0.4399999999999995</v>
      </c>
      <c r="F3" s="15">
        <v>8.65</v>
      </c>
      <c r="G3" s="11">
        <v>-0.52999999999999936</v>
      </c>
      <c r="H3" s="2">
        <v>0</v>
      </c>
      <c r="I3" s="3">
        <v>0.4399999999999995</v>
      </c>
      <c r="J3" s="20">
        <v>0.47299999999999998</v>
      </c>
      <c r="K3" s="3">
        <v>0.93023255813953387</v>
      </c>
      <c r="L3" s="4">
        <v>0</v>
      </c>
    </row>
    <row r="4" spans="1:12" x14ac:dyDescent="0.2">
      <c r="A4" s="27" t="s">
        <v>29</v>
      </c>
      <c r="B4" s="24" t="s">
        <v>14</v>
      </c>
      <c r="C4" s="15">
        <v>1.29</v>
      </c>
      <c r="D4" s="15">
        <v>1.8</v>
      </c>
      <c r="E4" s="11">
        <v>0.51</v>
      </c>
      <c r="F4" s="15">
        <v>1.1499999999999999</v>
      </c>
      <c r="G4" s="11">
        <v>-0.65000000000000013</v>
      </c>
      <c r="H4" s="2">
        <v>0</v>
      </c>
      <c r="I4" s="3">
        <v>0.51</v>
      </c>
      <c r="J4" s="20">
        <v>0.82499999999999996</v>
      </c>
      <c r="K4" s="3">
        <v>0.61818181818181828</v>
      </c>
      <c r="L4" s="4">
        <v>0</v>
      </c>
    </row>
    <row r="5" spans="1:12" x14ac:dyDescent="0.2">
      <c r="A5" s="27" t="s">
        <v>28</v>
      </c>
      <c r="B5" s="24" t="s">
        <v>15</v>
      </c>
      <c r="C5" s="15">
        <v>8.0399999999999991</v>
      </c>
      <c r="D5" s="15">
        <v>8.74</v>
      </c>
      <c r="E5" s="11">
        <v>0.70000000000000107</v>
      </c>
      <c r="F5" s="15">
        <v>7.95</v>
      </c>
      <c r="G5" s="11">
        <v>-0.79</v>
      </c>
      <c r="H5" s="2">
        <v>0</v>
      </c>
      <c r="I5" s="3">
        <v>0.70000000000000107</v>
      </c>
      <c r="J5" s="20">
        <v>1.2450000000000001</v>
      </c>
      <c r="K5" s="3">
        <v>0.56224899598393652</v>
      </c>
      <c r="L5" s="4">
        <v>0</v>
      </c>
    </row>
    <row r="6" spans="1:12" x14ac:dyDescent="0.2">
      <c r="A6" s="27" t="s">
        <v>28</v>
      </c>
      <c r="B6" s="24" t="s">
        <v>16</v>
      </c>
      <c r="C6" s="16">
        <v>2.23</v>
      </c>
      <c r="D6" s="16">
        <v>3</v>
      </c>
      <c r="E6" s="11">
        <v>0.77</v>
      </c>
      <c r="F6" s="16">
        <v>2.2000000000000002</v>
      </c>
      <c r="G6" s="11">
        <v>-0.79999999999999982</v>
      </c>
      <c r="H6" s="2">
        <v>0</v>
      </c>
      <c r="I6" s="3">
        <v>0.77</v>
      </c>
      <c r="J6" s="20">
        <v>1.7430000000000001</v>
      </c>
      <c r="K6" s="3">
        <v>0.44176706827309237</v>
      </c>
      <c r="L6" s="4">
        <v>0</v>
      </c>
    </row>
    <row r="7" spans="1:12" x14ac:dyDescent="0.2">
      <c r="A7" s="27" t="s">
        <v>28</v>
      </c>
      <c r="B7" s="24" t="s">
        <v>17</v>
      </c>
      <c r="C7" s="15">
        <v>4.05</v>
      </c>
      <c r="D7" s="15">
        <v>5.0199999999999996</v>
      </c>
      <c r="E7" s="11">
        <v>0.96999999999999975</v>
      </c>
      <c r="F7" s="15">
        <v>3.93</v>
      </c>
      <c r="G7" s="11">
        <v>-1.0899999999999994</v>
      </c>
      <c r="H7" s="2">
        <v>0</v>
      </c>
      <c r="I7" s="3">
        <v>0.96999999999999975</v>
      </c>
      <c r="J7" s="20">
        <v>2.3420000000000001</v>
      </c>
      <c r="K7" s="3">
        <v>0.41417591801878723</v>
      </c>
      <c r="L7" s="4">
        <v>0</v>
      </c>
    </row>
    <row r="8" spans="1:12" x14ac:dyDescent="0.2">
      <c r="A8" s="27" t="s">
        <v>28</v>
      </c>
      <c r="B8" s="24" t="s">
        <v>18</v>
      </c>
      <c r="C8" s="15">
        <v>6.32</v>
      </c>
      <c r="D8" s="15">
        <v>7.6</v>
      </c>
      <c r="E8" s="11">
        <v>1.2799999999999994</v>
      </c>
      <c r="F8" s="17">
        <v>6.24</v>
      </c>
      <c r="G8" s="11">
        <v>-1.3599999999999994</v>
      </c>
      <c r="H8" s="2">
        <v>0</v>
      </c>
      <c r="I8" s="3">
        <v>1.2799999999999994</v>
      </c>
      <c r="J8" s="20">
        <v>3.0790000000000002</v>
      </c>
      <c r="K8" s="3">
        <v>0.41571938941214659</v>
      </c>
      <c r="L8" s="4">
        <v>0</v>
      </c>
    </row>
    <row r="9" spans="1:12" x14ac:dyDescent="0.2">
      <c r="A9" s="27" t="s">
        <v>28</v>
      </c>
      <c r="B9" s="24" t="s">
        <v>19</v>
      </c>
      <c r="C9" s="15">
        <v>7.98</v>
      </c>
      <c r="D9" s="15">
        <v>9.6199999999999992</v>
      </c>
      <c r="E9" s="11">
        <v>1.6399999999999988</v>
      </c>
      <c r="F9" s="17">
        <v>7.91</v>
      </c>
      <c r="G9" s="11">
        <v>-1.7099999999999991</v>
      </c>
      <c r="H9" s="2">
        <v>0</v>
      </c>
      <c r="I9" s="3">
        <v>1.6399999999999988</v>
      </c>
      <c r="J9" s="20">
        <v>4.008</v>
      </c>
      <c r="K9" s="3">
        <v>0.40918163672654662</v>
      </c>
      <c r="L9" s="4">
        <v>0</v>
      </c>
    </row>
    <row r="10" spans="1:12" x14ac:dyDescent="0.2">
      <c r="A10" s="27" t="s">
        <v>28</v>
      </c>
      <c r="B10" s="24" t="s">
        <v>20</v>
      </c>
      <c r="C10" s="15">
        <v>14.28</v>
      </c>
      <c r="D10" s="15">
        <v>16.309999999999999</v>
      </c>
      <c r="E10" s="11">
        <v>2.0299999999999994</v>
      </c>
      <c r="F10" s="17">
        <v>14.19</v>
      </c>
      <c r="G10" s="11">
        <v>-2.1199999999999992</v>
      </c>
      <c r="H10" s="2">
        <v>0</v>
      </c>
      <c r="I10" s="3">
        <v>2.0299999999999994</v>
      </c>
      <c r="J10" s="20">
        <v>5.16</v>
      </c>
      <c r="K10" s="3">
        <v>0.39341085271317816</v>
      </c>
      <c r="L10" s="4">
        <v>0</v>
      </c>
    </row>
    <row r="11" spans="1:12" x14ac:dyDescent="0.2">
      <c r="A11" s="27" t="s">
        <v>28</v>
      </c>
      <c r="B11" s="24" t="s">
        <v>21</v>
      </c>
      <c r="C11" s="15">
        <v>12.58</v>
      </c>
      <c r="D11" s="15">
        <v>15.08</v>
      </c>
      <c r="E11" s="11">
        <v>2.5</v>
      </c>
      <c r="F11" s="17">
        <v>12.55</v>
      </c>
      <c r="G11" s="11">
        <v>-2.5299999999999994</v>
      </c>
      <c r="H11" s="2">
        <v>0</v>
      </c>
      <c r="I11" s="3">
        <v>2.5</v>
      </c>
      <c r="J11" s="20">
        <v>5.9530000000000003</v>
      </c>
      <c r="K11" s="3">
        <v>0.41995632454224757</v>
      </c>
      <c r="L11" s="4">
        <v>0</v>
      </c>
    </row>
    <row r="12" spans="1:12" x14ac:dyDescent="0.2">
      <c r="A12" s="27" t="s">
        <v>28</v>
      </c>
      <c r="B12" s="24" t="s">
        <v>22</v>
      </c>
      <c r="C12" s="15">
        <v>6.85</v>
      </c>
      <c r="D12" s="15">
        <v>9.65</v>
      </c>
      <c r="E12" s="11">
        <v>2.8000000000000007</v>
      </c>
      <c r="F12" s="17">
        <v>6.8</v>
      </c>
      <c r="G12" s="11">
        <v>-2.8500000000000005</v>
      </c>
      <c r="H12" s="2">
        <v>0</v>
      </c>
      <c r="I12" s="3">
        <v>2.8000000000000007</v>
      </c>
      <c r="J12" s="20">
        <v>6.742</v>
      </c>
      <c r="K12" s="3">
        <v>0.41530703055473162</v>
      </c>
      <c r="L12" s="4">
        <v>0</v>
      </c>
    </row>
    <row r="13" spans="1:12" x14ac:dyDescent="0.2">
      <c r="A13" s="27" t="s">
        <v>28</v>
      </c>
      <c r="B13" s="24" t="s">
        <v>23</v>
      </c>
      <c r="C13" s="15">
        <v>11.92</v>
      </c>
      <c r="D13" s="15">
        <v>15.21</v>
      </c>
      <c r="E13" s="11">
        <v>3.2900000000000009</v>
      </c>
      <c r="F13" s="17">
        <v>11.93</v>
      </c>
      <c r="G13" s="11">
        <v>-3.2800000000000011</v>
      </c>
      <c r="H13" s="2">
        <v>9.9999999999997868E-3</v>
      </c>
      <c r="I13" s="3">
        <v>3.2800000000000011</v>
      </c>
      <c r="J13" s="20">
        <v>7.048</v>
      </c>
      <c r="K13" s="3">
        <v>0.46538024971623171</v>
      </c>
      <c r="L13" s="4">
        <v>3.0395136778114847E-3</v>
      </c>
    </row>
    <row r="14" spans="1:12" x14ac:dyDescent="0.2">
      <c r="A14" s="27" t="s">
        <v>28</v>
      </c>
      <c r="B14" s="24" t="s">
        <v>24</v>
      </c>
      <c r="C14" s="15">
        <v>16.899999999999999</v>
      </c>
      <c r="D14" s="15">
        <v>20</v>
      </c>
      <c r="E14" s="11">
        <v>3.1000000000000014</v>
      </c>
      <c r="F14" s="17">
        <v>16.78</v>
      </c>
      <c r="G14" s="11">
        <v>-3.2199999999999989</v>
      </c>
      <c r="H14" s="2">
        <v>0</v>
      </c>
      <c r="I14" s="3">
        <v>3.1000000000000014</v>
      </c>
      <c r="J14" s="20">
        <v>7.2679999999999998</v>
      </c>
      <c r="K14" s="3">
        <v>0.42652724270776027</v>
      </c>
      <c r="L14" s="4">
        <v>0</v>
      </c>
    </row>
    <row r="15" spans="1:12" x14ac:dyDescent="0.2">
      <c r="A15" s="27" t="s">
        <v>28</v>
      </c>
      <c r="B15" s="24" t="s">
        <v>25</v>
      </c>
      <c r="C15" s="15">
        <v>12.43</v>
      </c>
      <c r="D15" s="15">
        <v>15.34</v>
      </c>
      <c r="E15" s="11">
        <v>2.91</v>
      </c>
      <c r="F15" s="17">
        <v>12.57</v>
      </c>
      <c r="G15" s="11">
        <v>-2.7699999999999996</v>
      </c>
      <c r="H15" s="2">
        <v>0.14000000000000057</v>
      </c>
      <c r="I15" s="3">
        <v>2.7699999999999996</v>
      </c>
      <c r="J15" s="20">
        <v>6.7930000000000001</v>
      </c>
      <c r="K15" s="3">
        <v>0.40777270719858671</v>
      </c>
      <c r="L15" s="4">
        <v>4.8109965635739022E-2</v>
      </c>
    </row>
    <row r="16" spans="1:12" ht="15" thickBot="1" x14ac:dyDescent="0.25">
      <c r="A16" s="27" t="s">
        <v>28</v>
      </c>
      <c r="B16" s="25" t="s">
        <v>26</v>
      </c>
      <c r="C16" s="26">
        <v>13.65</v>
      </c>
      <c r="D16" s="26">
        <v>16.52</v>
      </c>
      <c r="E16" s="11">
        <v>2.8699999999999992</v>
      </c>
      <c r="F16" s="18">
        <v>13.72</v>
      </c>
      <c r="G16" s="11">
        <v>-2.7999999999999989</v>
      </c>
      <c r="H16" s="2">
        <v>7.0000000000000284E-2</v>
      </c>
      <c r="I16" s="3">
        <v>2.7999999999999989</v>
      </c>
      <c r="J16" s="20">
        <v>6.702</v>
      </c>
      <c r="K16" s="3">
        <v>0.41778573560131288</v>
      </c>
      <c r="L16" s="4">
        <v>2.4390243902439129E-2</v>
      </c>
    </row>
    <row r="17" spans="1:12" x14ac:dyDescent="0.2">
      <c r="A17" s="27" t="s">
        <v>30</v>
      </c>
      <c r="B17" s="24" t="s">
        <v>13</v>
      </c>
      <c r="C17" s="15">
        <v>8.74</v>
      </c>
      <c r="D17" s="19">
        <v>11.47</v>
      </c>
      <c r="E17" s="12">
        <v>2.7300000000000004</v>
      </c>
      <c r="F17" s="19">
        <v>8.6999999999999993</v>
      </c>
      <c r="G17" s="12">
        <v>-2.7700000000000014</v>
      </c>
      <c r="H17" s="2">
        <v>0</v>
      </c>
      <c r="I17" s="5">
        <v>2.7300000000000004</v>
      </c>
      <c r="J17" s="21">
        <v>6.6319999999999997</v>
      </c>
      <c r="K17" s="5">
        <v>0.41164053075995183</v>
      </c>
      <c r="L17" s="6">
        <v>0</v>
      </c>
    </row>
    <row r="18" spans="1:12" x14ac:dyDescent="0.2">
      <c r="A18" s="27" t="s">
        <v>30</v>
      </c>
      <c r="B18" s="24" t="s">
        <v>14</v>
      </c>
      <c r="C18" s="15">
        <v>1.29</v>
      </c>
      <c r="D18" s="15">
        <v>4.1900000000000004</v>
      </c>
      <c r="E18" s="11">
        <v>2.9000000000000004</v>
      </c>
      <c r="F18" s="15">
        <v>1.23</v>
      </c>
      <c r="G18" s="11">
        <v>-2.9600000000000004</v>
      </c>
      <c r="H18" s="2">
        <v>0</v>
      </c>
      <c r="I18" s="3">
        <v>2.9000000000000004</v>
      </c>
      <c r="J18" s="20">
        <v>6.7249999999999996</v>
      </c>
      <c r="K18" s="3">
        <v>0.43122676579925656</v>
      </c>
      <c r="L18" s="4">
        <v>0</v>
      </c>
    </row>
    <row r="19" spans="1:12" x14ac:dyDescent="0.2">
      <c r="A19" s="27" t="s">
        <v>27</v>
      </c>
      <c r="B19" s="24" t="s">
        <v>15</v>
      </c>
      <c r="C19" s="15">
        <v>8.0399999999999991</v>
      </c>
      <c r="D19" s="15">
        <v>11.15</v>
      </c>
      <c r="E19" s="13">
        <v>3.1100000000000012</v>
      </c>
      <c r="F19" s="15">
        <v>8</v>
      </c>
      <c r="G19" s="11">
        <v>-3.1500000000000004</v>
      </c>
      <c r="H19" s="2">
        <v>0</v>
      </c>
      <c r="I19" s="7">
        <v>3.1100000000000012</v>
      </c>
      <c r="J19" s="22">
        <v>7.1950000000000003</v>
      </c>
      <c r="K19" s="7">
        <v>0.43224461431549704</v>
      </c>
      <c r="L19" s="8">
        <v>0</v>
      </c>
    </row>
    <row r="20" spans="1:12" x14ac:dyDescent="0.2">
      <c r="A20" s="27" t="s">
        <v>27</v>
      </c>
      <c r="B20" s="24" t="s">
        <v>16</v>
      </c>
      <c r="C20" s="16">
        <v>2.23</v>
      </c>
      <c r="D20" s="16">
        <v>5.35</v>
      </c>
      <c r="E20" s="11">
        <v>3.1199999999999997</v>
      </c>
      <c r="F20" s="16">
        <v>2.25</v>
      </c>
      <c r="G20" s="14">
        <v>-3.0999999999999996</v>
      </c>
      <c r="H20" s="2">
        <v>2.0000000000000018E-2</v>
      </c>
      <c r="I20" s="3">
        <v>3.0999999999999996</v>
      </c>
      <c r="J20" s="20">
        <v>7</v>
      </c>
      <c r="K20" s="3">
        <v>0.44285714285714278</v>
      </c>
      <c r="L20" s="4">
        <v>6.410256410256417E-3</v>
      </c>
    </row>
    <row r="21" spans="1:12" x14ac:dyDescent="0.2">
      <c r="A21" s="27" t="s">
        <v>27</v>
      </c>
      <c r="B21" s="24" t="s">
        <v>17</v>
      </c>
      <c r="C21" s="15">
        <v>4.05</v>
      </c>
      <c r="D21" s="15">
        <v>6.97</v>
      </c>
      <c r="E21" s="11">
        <v>2.92</v>
      </c>
      <c r="F21" s="15">
        <v>3.96</v>
      </c>
      <c r="G21" s="11">
        <v>-3.01</v>
      </c>
      <c r="H21" s="2">
        <v>0</v>
      </c>
      <c r="I21" s="3">
        <v>2.92</v>
      </c>
      <c r="J21" s="20">
        <v>6.7279999999999998</v>
      </c>
      <c r="K21" s="3">
        <v>0.43400713436385258</v>
      </c>
      <c r="L21" s="4">
        <v>0</v>
      </c>
    </row>
    <row r="22" spans="1:12" x14ac:dyDescent="0.2">
      <c r="A22" s="27" t="s">
        <v>27</v>
      </c>
      <c r="B22" s="24" t="s">
        <v>18</v>
      </c>
      <c r="C22" s="15">
        <v>6.32</v>
      </c>
      <c r="D22" s="15">
        <v>8.7100000000000009</v>
      </c>
      <c r="E22" s="11">
        <v>2.3900000000000006</v>
      </c>
      <c r="F22" s="17">
        <v>6.25</v>
      </c>
      <c r="G22" s="11">
        <v>-2.4600000000000009</v>
      </c>
      <c r="H22" s="2">
        <v>0</v>
      </c>
      <c r="I22" s="3">
        <v>2.3900000000000006</v>
      </c>
      <c r="J22" s="20">
        <v>5.9749999999999996</v>
      </c>
      <c r="K22" s="3">
        <v>0.40000000000000013</v>
      </c>
      <c r="L22" s="4">
        <v>0</v>
      </c>
    </row>
    <row r="23" spans="1:12" x14ac:dyDescent="0.2">
      <c r="A23" s="27" t="s">
        <v>27</v>
      </c>
      <c r="B23" s="24" t="s">
        <v>19</v>
      </c>
      <c r="C23" s="15">
        <v>7.98</v>
      </c>
      <c r="D23" s="15">
        <v>10.17</v>
      </c>
      <c r="E23" s="14">
        <v>2.1899999999999995</v>
      </c>
      <c r="F23" s="17">
        <v>7.92</v>
      </c>
      <c r="G23" s="11">
        <v>-2.25</v>
      </c>
      <c r="H23" s="2">
        <v>0</v>
      </c>
      <c r="I23" s="9">
        <v>2.1899999999999995</v>
      </c>
      <c r="J23" s="23">
        <v>5.2030000000000003</v>
      </c>
      <c r="K23" s="9">
        <v>0.42091101287718613</v>
      </c>
      <c r="L23" s="10">
        <v>0</v>
      </c>
    </row>
    <row r="24" spans="1:12" x14ac:dyDescent="0.2">
      <c r="A24" s="27" t="s">
        <v>27</v>
      </c>
      <c r="B24" s="24" t="s">
        <v>20</v>
      </c>
      <c r="C24" s="15">
        <v>14.28</v>
      </c>
      <c r="D24" s="15">
        <v>15.97</v>
      </c>
      <c r="E24" s="11">
        <v>1.6900000000000013</v>
      </c>
      <c r="F24" s="17">
        <v>14.17</v>
      </c>
      <c r="G24" s="11">
        <v>-1.8000000000000007</v>
      </c>
      <c r="H24" s="2">
        <v>0</v>
      </c>
      <c r="I24" s="3">
        <v>1.6900000000000013</v>
      </c>
      <c r="J24" s="20">
        <v>4.0430000000000001</v>
      </c>
      <c r="K24" s="3">
        <v>0.41800643086816752</v>
      </c>
      <c r="L24" s="4">
        <v>0</v>
      </c>
    </row>
    <row r="25" spans="1:12" x14ac:dyDescent="0.2">
      <c r="A25" s="27" t="s">
        <v>27</v>
      </c>
      <c r="B25" s="24" t="s">
        <v>21</v>
      </c>
      <c r="C25" s="15">
        <v>12.58</v>
      </c>
      <c r="D25" s="15">
        <v>13.91</v>
      </c>
      <c r="E25" s="13">
        <v>1.33</v>
      </c>
      <c r="F25" s="17">
        <v>12.53</v>
      </c>
      <c r="G25" s="11">
        <v>-1.3800000000000008</v>
      </c>
      <c r="H25" s="2">
        <v>0</v>
      </c>
      <c r="I25" s="7">
        <v>1.33</v>
      </c>
      <c r="J25" s="22">
        <v>3.11</v>
      </c>
      <c r="K25" s="7">
        <v>0.42765273311897112</v>
      </c>
      <c r="L25" s="8">
        <v>0</v>
      </c>
    </row>
    <row r="26" spans="1:12" x14ac:dyDescent="0.2">
      <c r="A26" s="27" t="s">
        <v>27</v>
      </c>
      <c r="B26" s="24" t="s">
        <v>22</v>
      </c>
      <c r="C26" s="15">
        <v>6.85</v>
      </c>
      <c r="D26" s="15">
        <v>7.72</v>
      </c>
      <c r="E26" s="11">
        <v>0.87000000000000011</v>
      </c>
      <c r="F26" s="17">
        <v>6.78</v>
      </c>
      <c r="G26" s="11">
        <v>-0.9399999999999995</v>
      </c>
      <c r="H26" s="2">
        <v>0</v>
      </c>
      <c r="I26" s="3">
        <v>0.87000000000000011</v>
      </c>
      <c r="J26" s="20">
        <v>2.3690000000000002</v>
      </c>
      <c r="K26" s="3">
        <v>0.36724356268467712</v>
      </c>
      <c r="L26" s="4">
        <v>0</v>
      </c>
    </row>
    <row r="27" spans="1:12" x14ac:dyDescent="0.2">
      <c r="A27" s="27" t="s">
        <v>27</v>
      </c>
      <c r="B27" s="24" t="s">
        <v>23</v>
      </c>
      <c r="C27" s="15">
        <v>11.92</v>
      </c>
      <c r="D27" s="15">
        <v>12.73</v>
      </c>
      <c r="E27" s="11">
        <v>0.8100000000000005</v>
      </c>
      <c r="F27" s="17">
        <v>11.9</v>
      </c>
      <c r="G27" s="11">
        <v>-0.83000000000000007</v>
      </c>
      <c r="H27" s="2">
        <v>0</v>
      </c>
      <c r="I27" s="3">
        <v>0.8100000000000005</v>
      </c>
      <c r="J27" s="20">
        <v>1.7689999999999999</v>
      </c>
      <c r="K27" s="3">
        <v>0.45788581119276456</v>
      </c>
      <c r="L27" s="4">
        <v>0</v>
      </c>
    </row>
    <row r="28" spans="1:12" x14ac:dyDescent="0.2">
      <c r="A28" s="27" t="s">
        <v>27</v>
      </c>
      <c r="B28" s="24" t="s">
        <v>24</v>
      </c>
      <c r="C28" s="15">
        <v>16.899999999999999</v>
      </c>
      <c r="D28" s="15">
        <v>17.41</v>
      </c>
      <c r="E28" s="11">
        <v>0.51000000000000156</v>
      </c>
      <c r="F28" s="17">
        <v>16.739999999999998</v>
      </c>
      <c r="G28" s="11">
        <v>-0.67000000000000171</v>
      </c>
      <c r="H28" s="2">
        <v>0</v>
      </c>
      <c r="I28" s="3">
        <v>0.51000000000000156</v>
      </c>
      <c r="J28" s="20">
        <v>1.2709999999999999</v>
      </c>
      <c r="K28" s="3">
        <v>0.40125885129819167</v>
      </c>
      <c r="L28" s="4">
        <v>0</v>
      </c>
    </row>
    <row r="29" spans="1:12" x14ac:dyDescent="0.2">
      <c r="A29" s="27" t="s">
        <v>27</v>
      </c>
      <c r="B29" s="24" t="s">
        <v>25</v>
      </c>
      <c r="C29" s="15">
        <v>12.43</v>
      </c>
      <c r="D29" s="15">
        <v>12.84</v>
      </c>
      <c r="E29" s="14">
        <v>0.41000000000000014</v>
      </c>
      <c r="F29" s="17">
        <v>12.5</v>
      </c>
      <c r="G29" s="11">
        <v>-0.33999999999999986</v>
      </c>
      <c r="H29" s="2">
        <v>7.0000000000000284E-2</v>
      </c>
      <c r="I29" s="9">
        <v>0.33999999999999986</v>
      </c>
      <c r="J29" s="23">
        <v>0.85199999999999998</v>
      </c>
      <c r="K29" s="9">
        <v>0.39906103286384959</v>
      </c>
      <c r="L29" s="10">
        <v>0.17073170731707379</v>
      </c>
    </row>
    <row r="30" spans="1:12" ht="15" thickBot="1" x14ac:dyDescent="0.25">
      <c r="A30" s="27" t="s">
        <v>27</v>
      </c>
      <c r="B30" s="25" t="s">
        <v>26</v>
      </c>
      <c r="C30" s="26">
        <v>13.65</v>
      </c>
      <c r="D30" s="15">
        <v>14.18</v>
      </c>
      <c r="E30" s="11">
        <v>0.52999999999999936</v>
      </c>
      <c r="F30" s="17">
        <v>13.68</v>
      </c>
      <c r="G30" s="11">
        <v>-0.5</v>
      </c>
      <c r="H30" s="2">
        <v>2.9999999999999361E-2</v>
      </c>
      <c r="I30" s="3">
        <v>0.5</v>
      </c>
      <c r="J30" s="20">
        <v>0.499</v>
      </c>
      <c r="K30" s="3">
        <v>1.002004008016032</v>
      </c>
      <c r="L30" s="4">
        <v>5.6603773584904524E-2</v>
      </c>
    </row>
  </sheetData>
  <mergeCells count="9">
    <mergeCell ref="J1:J2"/>
    <mergeCell ref="K1:K2"/>
    <mergeCell ref="L1:L2"/>
    <mergeCell ref="A1:A2"/>
    <mergeCell ref="B1:B2"/>
    <mergeCell ref="C1:C2"/>
    <mergeCell ref="D1:E1"/>
    <mergeCell ref="F1:H1"/>
    <mergeCell ref="I1:I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Disp_Click">
                <anchor moveWithCells="1">
                  <from>
                    <xdr:col>13</xdr:col>
                    <xdr:colOff>0</xdr:colOff>
                    <xdr:row>4</xdr:row>
                    <xdr:rowOff>66675</xdr:rowOff>
                  </from>
                  <to>
                    <xdr:col>14</xdr:col>
                    <xdr:colOff>295275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FE97-50AD-4300-A7B1-14DB3CBC6F8B}">
  <sheetPr codeName="Sheet2"/>
  <dimension ref="A1:AF37"/>
  <sheetViews>
    <sheetView workbookViewId="0">
      <selection activeCell="O10" sqref="O10"/>
    </sheetView>
  </sheetViews>
  <sheetFormatPr defaultRowHeight="14.25" x14ac:dyDescent="0.2"/>
  <cols>
    <col min="1" max="1" width="13.25" customWidth="1"/>
    <col min="2" max="2" width="9.125" customWidth="1"/>
  </cols>
  <sheetData>
    <row r="1" spans="1:32" x14ac:dyDescent="0.2">
      <c r="A1" t="s">
        <v>69</v>
      </c>
      <c r="B1">
        <v>3.45</v>
      </c>
    </row>
    <row r="3" spans="1:32" x14ac:dyDescent="0.2">
      <c r="J3" s="58" t="s">
        <v>67</v>
      </c>
    </row>
    <row r="4" spans="1:32" x14ac:dyDescent="0.2">
      <c r="J4" s="58" t="s">
        <v>68</v>
      </c>
    </row>
    <row r="6" spans="1:32" x14ac:dyDescent="0.2">
      <c r="A6" s="70" t="s">
        <v>31</v>
      </c>
      <c r="B6" s="70"/>
      <c r="C6" s="70"/>
      <c r="D6" s="70"/>
      <c r="E6" s="70"/>
      <c r="F6" s="70"/>
      <c r="G6" s="70"/>
      <c r="H6" s="70"/>
      <c r="L6" s="63" t="s">
        <v>51</v>
      </c>
      <c r="M6" s="63"/>
      <c r="N6" s="63"/>
      <c r="O6" s="63"/>
      <c r="P6" s="63"/>
      <c r="Q6" s="63"/>
      <c r="R6" s="63"/>
      <c r="S6" s="63"/>
      <c r="T6" s="63"/>
      <c r="U6" s="63"/>
      <c r="Y6" s="63" t="s">
        <v>60</v>
      </c>
      <c r="Z6" s="63"/>
      <c r="AA6" s="63"/>
      <c r="AB6" s="63"/>
      <c r="AC6" s="63"/>
      <c r="AD6" s="63"/>
      <c r="AE6" s="63"/>
      <c r="AF6" s="63"/>
    </row>
    <row r="7" spans="1:32" x14ac:dyDescent="0.2">
      <c r="A7" s="64"/>
      <c r="B7" s="64"/>
      <c r="C7" s="64"/>
      <c r="D7" s="64"/>
      <c r="E7" s="64"/>
      <c r="F7" s="64"/>
      <c r="G7" s="64"/>
      <c r="H7" s="64"/>
      <c r="L7" s="64"/>
      <c r="M7" s="64"/>
      <c r="N7" s="64"/>
      <c r="O7" s="64"/>
      <c r="P7" s="64"/>
      <c r="Q7" s="64"/>
      <c r="R7" s="64"/>
      <c r="S7" s="64"/>
      <c r="T7" s="64"/>
      <c r="U7" s="64"/>
      <c r="Y7" s="64"/>
      <c r="Z7" s="64"/>
      <c r="AA7" s="64"/>
      <c r="AB7" s="64"/>
      <c r="AC7" s="64"/>
      <c r="AD7" s="64"/>
      <c r="AE7" s="64"/>
      <c r="AF7" s="64"/>
    </row>
    <row r="8" spans="1:32" x14ac:dyDescent="0.2">
      <c r="A8" s="59" t="s">
        <v>0</v>
      </c>
      <c r="B8" s="59" t="s">
        <v>1</v>
      </c>
      <c r="C8" s="59" t="s">
        <v>32</v>
      </c>
      <c r="D8" s="59"/>
      <c r="E8" s="59" t="s">
        <v>3</v>
      </c>
      <c r="F8" s="59"/>
      <c r="G8" s="59" t="s">
        <v>33</v>
      </c>
      <c r="H8" s="59"/>
      <c r="L8" s="59" t="s">
        <v>0</v>
      </c>
      <c r="M8" s="59" t="s">
        <v>1</v>
      </c>
      <c r="N8" s="66" t="s">
        <v>52</v>
      </c>
      <c r="O8" s="66"/>
      <c r="P8" s="66"/>
      <c r="Q8" s="67" t="s">
        <v>33</v>
      </c>
      <c r="R8" s="68"/>
      <c r="S8" s="69"/>
      <c r="T8" s="66" t="s">
        <v>53</v>
      </c>
      <c r="U8" s="66"/>
      <c r="Y8" s="62" t="s">
        <v>0</v>
      </c>
      <c r="Z8" s="62" t="s">
        <v>1</v>
      </c>
      <c r="AA8" s="59" t="s">
        <v>61</v>
      </c>
      <c r="AB8" s="59"/>
      <c r="AC8" s="59"/>
      <c r="AD8" s="59" t="s">
        <v>62</v>
      </c>
      <c r="AE8" s="59" t="s">
        <v>63</v>
      </c>
      <c r="AF8" s="62" t="s">
        <v>64</v>
      </c>
    </row>
    <row r="9" spans="1:32" ht="30.75" x14ac:dyDescent="0.2">
      <c r="A9" s="59"/>
      <c r="B9" s="59"/>
      <c r="C9" s="28" t="s">
        <v>34</v>
      </c>
      <c r="D9" s="28" t="s">
        <v>35</v>
      </c>
      <c r="E9" s="28" t="s">
        <v>34</v>
      </c>
      <c r="F9" s="28" t="s">
        <v>36</v>
      </c>
      <c r="G9" s="28" t="s">
        <v>34</v>
      </c>
      <c r="H9" s="28" t="s">
        <v>36</v>
      </c>
      <c r="L9" s="59"/>
      <c r="M9" s="59"/>
      <c r="N9" s="33" t="s">
        <v>54</v>
      </c>
      <c r="O9" s="33" t="s">
        <v>55</v>
      </c>
      <c r="P9" s="33" t="s">
        <v>56</v>
      </c>
      <c r="Q9" s="33" t="s">
        <v>54</v>
      </c>
      <c r="R9" s="33" t="s">
        <v>55</v>
      </c>
      <c r="S9" s="33" t="s">
        <v>57</v>
      </c>
      <c r="T9" s="28" t="s">
        <v>58</v>
      </c>
      <c r="U9" s="28" t="s">
        <v>59</v>
      </c>
      <c r="Y9" s="65"/>
      <c r="Z9" s="65"/>
      <c r="AA9" s="28" t="s">
        <v>65</v>
      </c>
      <c r="AB9" s="28" t="s">
        <v>66</v>
      </c>
      <c r="AC9" s="28" t="s">
        <v>57</v>
      </c>
      <c r="AD9" s="59"/>
      <c r="AE9" s="59"/>
      <c r="AF9" s="65"/>
    </row>
    <row r="10" spans="1:32" x14ac:dyDescent="0.2">
      <c r="A10" t="s">
        <v>29</v>
      </c>
      <c r="B10" s="29" t="s">
        <v>37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29"/>
      <c r="M10" s="29"/>
      <c r="N10" s="34">
        <f>E10-C10</f>
        <v>2.6000000000000227</v>
      </c>
      <c r="O10" s="34">
        <f>F10-D10</f>
        <v>-0.30000000000000071</v>
      </c>
      <c r="P10" s="35">
        <f t="shared" ref="P10:P37" si="0">3.7*1.020019*(N10)+1.8*(O10)</f>
        <v>9.2725827800000857</v>
      </c>
      <c r="Q10" s="34">
        <f>G10-C10</f>
        <v>0.60000000000002274</v>
      </c>
      <c r="R10" s="34">
        <f>H10-D10</f>
        <v>-0.30000000000000071</v>
      </c>
      <c r="S10" s="35">
        <f>IF(3.7*1.020019*(Q10)+1.8*(R10)&gt;=0,3.7*1.020019*(Q10)+1.8*(R10),0)</f>
        <v>1.7244421800000849</v>
      </c>
      <c r="T10" s="2">
        <v>0.3</v>
      </c>
      <c r="U10" s="29">
        <f>T10*100/3.45</f>
        <v>8.695652173913043</v>
      </c>
      <c r="Y10" s="29"/>
      <c r="Z10" s="29"/>
      <c r="AA10" s="35">
        <f>Q10</f>
        <v>0.60000000000002274</v>
      </c>
      <c r="AB10" s="47">
        <f>ROUND(AA10,0)-ROUND(AC10,0)</f>
        <v>1</v>
      </c>
      <c r="AC10" s="47">
        <f>T10</f>
        <v>0.3</v>
      </c>
      <c r="AD10" s="47">
        <f>V10</f>
        <v>0</v>
      </c>
      <c r="AE10" s="48" t="e">
        <f t="shared" ref="AE10:AE37" si="1">ROUND(AB10,0)/ROUND(AD10,0)</f>
        <v>#DIV/0!</v>
      </c>
      <c r="AF10" s="49">
        <f t="shared" ref="AF10:AF37" si="2">ROUND(AC10,0)/ROUND(AA10,0)</f>
        <v>0</v>
      </c>
    </row>
    <row r="11" spans="1:32" x14ac:dyDescent="0.2">
      <c r="A11" t="s">
        <v>29</v>
      </c>
      <c r="B11" s="29" t="s">
        <v>38</v>
      </c>
      <c r="C11">
        <v>651.9</v>
      </c>
      <c r="D11">
        <v>23.4</v>
      </c>
      <c r="E11">
        <v>653.70000000000005</v>
      </c>
      <c r="F11">
        <v>23.2</v>
      </c>
      <c r="G11">
        <v>652.29999999999995</v>
      </c>
      <c r="H11">
        <v>23.1</v>
      </c>
      <c r="L11" s="29"/>
      <c r="M11" s="29"/>
      <c r="N11" s="34">
        <f t="shared" ref="N11:O26" si="3">E11-C11</f>
        <v>1.8000000000000682</v>
      </c>
      <c r="O11" s="34">
        <f t="shared" si="3"/>
        <v>-0.19999999999999929</v>
      </c>
      <c r="P11" s="35">
        <f t="shared" si="0"/>
        <v>6.4333265400002597</v>
      </c>
      <c r="Q11" s="34">
        <f t="shared" ref="Q11:R26" si="4">G11-C11</f>
        <v>0.39999999999997726</v>
      </c>
      <c r="R11" s="34">
        <f t="shared" si="4"/>
        <v>-0.29999999999999716</v>
      </c>
      <c r="S11" s="35">
        <f t="shared" ref="S11:S23" si="5">IF(3.7*1.020019*(Q11)+1.8*(R11)&gt;=0,3.7*1.020019*(Q11)+1.8*(R11),0)</f>
        <v>0.96962811999991949</v>
      </c>
      <c r="T11" s="36">
        <v>0.4</v>
      </c>
      <c r="U11" s="29">
        <f t="shared" ref="U11:U37" si="6">T11*100/3.45</f>
        <v>11.594202898550725</v>
      </c>
      <c r="Y11" s="29"/>
      <c r="Z11" s="29"/>
      <c r="AA11" s="35">
        <f t="shared" ref="AA11:AA37" si="7">Q11</f>
        <v>0.39999999999997726</v>
      </c>
      <c r="AB11" s="47">
        <f t="shared" ref="AB11:AB37" si="8">ROUND(AA11,0)-ROUND(AC11,0)</f>
        <v>0</v>
      </c>
      <c r="AC11" s="47">
        <f t="shared" ref="AC11:AC37" si="9">T11</f>
        <v>0.4</v>
      </c>
      <c r="AD11" s="47">
        <f t="shared" ref="AD11:AD37" si="10">V11</f>
        <v>0</v>
      </c>
      <c r="AE11" s="48" t="e">
        <f t="shared" si="1"/>
        <v>#DIV/0!</v>
      </c>
      <c r="AF11" s="49" t="e">
        <f t="shared" si="2"/>
        <v>#DIV/0!</v>
      </c>
    </row>
    <row r="12" spans="1:32" x14ac:dyDescent="0.2">
      <c r="A12" t="s">
        <v>28</v>
      </c>
      <c r="B12" s="30" t="s">
        <v>39</v>
      </c>
      <c r="C12">
        <v>629.4</v>
      </c>
      <c r="D12">
        <v>23.3</v>
      </c>
      <c r="E12">
        <v>632.29999999999995</v>
      </c>
      <c r="F12">
        <v>23.1</v>
      </c>
      <c r="G12">
        <v>630</v>
      </c>
      <c r="H12">
        <v>23</v>
      </c>
      <c r="L12" s="30"/>
      <c r="M12" s="30"/>
      <c r="N12" s="34">
        <f t="shared" si="3"/>
        <v>2.8999999999999773</v>
      </c>
      <c r="O12" s="34">
        <f t="shared" si="3"/>
        <v>-0.19999999999999929</v>
      </c>
      <c r="P12" s="35">
        <f t="shared" si="0"/>
        <v>10.584803869999917</v>
      </c>
      <c r="Q12" s="34">
        <f t="shared" si="4"/>
        <v>0.60000000000002274</v>
      </c>
      <c r="R12" s="34">
        <f t="shared" si="4"/>
        <v>-0.30000000000000071</v>
      </c>
      <c r="S12" s="35">
        <f t="shared" si="5"/>
        <v>1.7244421800000849</v>
      </c>
      <c r="T12" s="37">
        <v>0.6</v>
      </c>
      <c r="U12" s="30">
        <f t="shared" si="6"/>
        <v>17.391304347826086</v>
      </c>
      <c r="Y12" s="30"/>
      <c r="Z12" s="30"/>
      <c r="AA12" s="35">
        <f t="shared" si="7"/>
        <v>0.60000000000002274</v>
      </c>
      <c r="AB12" s="47">
        <f t="shared" si="8"/>
        <v>0</v>
      </c>
      <c r="AC12" s="47">
        <f t="shared" si="9"/>
        <v>0.6</v>
      </c>
      <c r="AD12" s="47">
        <f t="shared" si="10"/>
        <v>0</v>
      </c>
      <c r="AE12" s="48" t="e">
        <f t="shared" si="1"/>
        <v>#DIV/0!</v>
      </c>
      <c r="AF12" s="49">
        <f t="shared" si="2"/>
        <v>1</v>
      </c>
    </row>
    <row r="13" spans="1:32" x14ac:dyDescent="0.2">
      <c r="A13" t="s">
        <v>28</v>
      </c>
      <c r="B13" s="29" t="s">
        <v>40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29"/>
      <c r="M13" s="29"/>
      <c r="N13" s="34">
        <f t="shared" si="3"/>
        <v>0.80000000000001137</v>
      </c>
      <c r="O13" s="34">
        <f t="shared" si="3"/>
        <v>-0.19999999999999929</v>
      </c>
      <c r="P13" s="35">
        <f t="shared" si="0"/>
        <v>2.6592562400000448</v>
      </c>
      <c r="Q13" s="34">
        <f t="shared" si="4"/>
        <v>-1.8999999999999773</v>
      </c>
      <c r="R13" s="34">
        <f t="shared" si="4"/>
        <v>-0.30000000000000071</v>
      </c>
      <c r="S13" s="35">
        <f t="shared" si="5"/>
        <v>0</v>
      </c>
      <c r="T13" s="38">
        <v>0.8</v>
      </c>
      <c r="U13" s="29">
        <f t="shared" si="6"/>
        <v>23.188405797101449</v>
      </c>
      <c r="Y13" s="29"/>
      <c r="Z13" s="29"/>
      <c r="AA13" s="35">
        <f t="shared" si="7"/>
        <v>-1.8999999999999773</v>
      </c>
      <c r="AB13" s="47">
        <f t="shared" si="8"/>
        <v>-3</v>
      </c>
      <c r="AC13" s="47">
        <f t="shared" si="9"/>
        <v>0.8</v>
      </c>
      <c r="AD13" s="47">
        <f t="shared" si="10"/>
        <v>0</v>
      </c>
      <c r="AE13" s="48" t="e">
        <f t="shared" si="1"/>
        <v>#DIV/0!</v>
      </c>
      <c r="AF13" s="49">
        <f t="shared" si="2"/>
        <v>-0.5</v>
      </c>
    </row>
    <row r="14" spans="1:32" x14ac:dyDescent="0.2">
      <c r="A14" t="s">
        <v>28</v>
      </c>
      <c r="B14" s="29" t="s">
        <v>41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29"/>
      <c r="M14" s="29"/>
      <c r="N14" s="34">
        <f t="shared" si="3"/>
        <v>4.1000000000000227</v>
      </c>
      <c r="O14" s="34">
        <f t="shared" si="3"/>
        <v>-0.19999999999999929</v>
      </c>
      <c r="P14" s="35">
        <f t="shared" si="0"/>
        <v>15.113688230000088</v>
      </c>
      <c r="Q14" s="34">
        <f t="shared" si="4"/>
        <v>-1.2000000000000455</v>
      </c>
      <c r="R14" s="34">
        <f t="shared" si="4"/>
        <v>-0.40000000000000213</v>
      </c>
      <c r="S14" s="35">
        <f t="shared" si="5"/>
        <v>0</v>
      </c>
      <c r="T14" s="38">
        <v>1</v>
      </c>
      <c r="U14" s="29">
        <f t="shared" si="6"/>
        <v>28.985507246376809</v>
      </c>
      <c r="Y14" s="29"/>
      <c r="Z14" s="29"/>
      <c r="AA14" s="35">
        <f t="shared" si="7"/>
        <v>-1.2000000000000455</v>
      </c>
      <c r="AB14" s="47">
        <f t="shared" si="8"/>
        <v>-2</v>
      </c>
      <c r="AC14" s="47">
        <f t="shared" si="9"/>
        <v>1</v>
      </c>
      <c r="AD14" s="47">
        <f t="shared" si="10"/>
        <v>0</v>
      </c>
      <c r="AE14" s="48" t="e">
        <f t="shared" si="1"/>
        <v>#DIV/0!</v>
      </c>
      <c r="AF14" s="49">
        <f t="shared" si="2"/>
        <v>-1</v>
      </c>
    </row>
    <row r="15" spans="1:32" x14ac:dyDescent="0.2">
      <c r="A15" t="s">
        <v>28</v>
      </c>
      <c r="B15" s="30" t="s">
        <v>42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30"/>
      <c r="M15" s="30"/>
      <c r="N15" s="34">
        <f t="shared" si="3"/>
        <v>4.5</v>
      </c>
      <c r="O15" s="34">
        <f t="shared" si="3"/>
        <v>-0.19999999999999929</v>
      </c>
      <c r="P15" s="35">
        <f t="shared" si="0"/>
        <v>16.623316350000003</v>
      </c>
      <c r="Q15" s="34">
        <f t="shared" si="4"/>
        <v>0.39999999999997726</v>
      </c>
      <c r="R15" s="34">
        <f t="shared" si="4"/>
        <v>-0.30000000000000071</v>
      </c>
      <c r="S15" s="35">
        <f t="shared" si="5"/>
        <v>0.96962811999991316</v>
      </c>
      <c r="T15" s="38">
        <v>1.4</v>
      </c>
      <c r="U15" s="29">
        <f t="shared" si="6"/>
        <v>40.579710144927532</v>
      </c>
      <c r="Y15" s="30"/>
      <c r="Z15" s="30"/>
      <c r="AA15" s="35">
        <f t="shared" si="7"/>
        <v>0.39999999999997726</v>
      </c>
      <c r="AB15" s="47">
        <f t="shared" si="8"/>
        <v>-1</v>
      </c>
      <c r="AC15" s="47">
        <f t="shared" si="9"/>
        <v>1.4</v>
      </c>
      <c r="AD15" s="47">
        <f t="shared" si="10"/>
        <v>0</v>
      </c>
      <c r="AE15" s="48" t="e">
        <f t="shared" si="1"/>
        <v>#DIV/0!</v>
      </c>
      <c r="AF15" s="49" t="e">
        <f t="shared" si="2"/>
        <v>#DIV/0!</v>
      </c>
    </row>
    <row r="16" spans="1:32" x14ac:dyDescent="0.2">
      <c r="A16" t="s">
        <v>28</v>
      </c>
      <c r="B16" s="29" t="s">
        <v>43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29"/>
      <c r="M16" s="29"/>
      <c r="N16" s="34">
        <f t="shared" si="3"/>
        <v>1.1999999999999886</v>
      </c>
      <c r="O16" s="34">
        <f t="shared" si="3"/>
        <v>-0.19999999999999929</v>
      </c>
      <c r="P16" s="35">
        <f t="shared" si="0"/>
        <v>4.168884359999959</v>
      </c>
      <c r="Q16" s="34">
        <f t="shared" si="4"/>
        <v>-0.19999999999998863</v>
      </c>
      <c r="R16" s="34">
        <f t="shared" si="4"/>
        <v>-0.30000000000000071</v>
      </c>
      <c r="S16" s="35">
        <f t="shared" si="5"/>
        <v>0</v>
      </c>
      <c r="T16" s="39">
        <v>1.9</v>
      </c>
      <c r="U16" s="31">
        <f t="shared" si="6"/>
        <v>55.072463768115938</v>
      </c>
      <c r="Y16" s="29"/>
      <c r="Z16" s="29"/>
      <c r="AA16" s="35">
        <f t="shared" si="7"/>
        <v>-0.19999999999998863</v>
      </c>
      <c r="AB16" s="47">
        <f t="shared" si="8"/>
        <v>-2</v>
      </c>
      <c r="AC16" s="47">
        <f t="shared" si="9"/>
        <v>1.9</v>
      </c>
      <c r="AD16" s="47">
        <f t="shared" si="10"/>
        <v>0</v>
      </c>
      <c r="AE16" s="48" t="e">
        <f t="shared" si="1"/>
        <v>#DIV/0!</v>
      </c>
      <c r="AF16" s="49" t="e">
        <f t="shared" si="2"/>
        <v>#DIV/0!</v>
      </c>
    </row>
    <row r="17" spans="1:32" x14ac:dyDescent="0.2">
      <c r="A17" t="s">
        <v>28</v>
      </c>
      <c r="B17" s="29" t="s">
        <v>44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29"/>
      <c r="M17" s="29"/>
      <c r="N17" s="34">
        <f t="shared" si="3"/>
        <v>6.3999999999999773</v>
      </c>
      <c r="O17" s="34">
        <f t="shared" si="3"/>
        <v>-9.9999999999997868E-2</v>
      </c>
      <c r="P17" s="35">
        <f t="shared" si="0"/>
        <v>23.974049919999921</v>
      </c>
      <c r="Q17" s="34">
        <f t="shared" si="4"/>
        <v>0.10000000000002274</v>
      </c>
      <c r="R17" s="34">
        <f t="shared" si="4"/>
        <v>-0.19999999999999929</v>
      </c>
      <c r="S17" s="35">
        <f t="shared" si="5"/>
        <v>1.7407030000087143E-2</v>
      </c>
      <c r="T17" s="38">
        <v>2.9</v>
      </c>
      <c r="U17" s="29">
        <f t="shared" si="6"/>
        <v>84.05797101449275</v>
      </c>
      <c r="Y17" s="29"/>
      <c r="Z17" s="29"/>
      <c r="AA17" s="35">
        <f t="shared" si="7"/>
        <v>0.10000000000002274</v>
      </c>
      <c r="AB17" s="47">
        <f t="shared" si="8"/>
        <v>-3</v>
      </c>
      <c r="AC17" s="47">
        <f t="shared" si="9"/>
        <v>2.9</v>
      </c>
      <c r="AD17" s="47">
        <f t="shared" si="10"/>
        <v>0</v>
      </c>
      <c r="AE17" s="48" t="e">
        <f t="shared" si="1"/>
        <v>#DIV/0!</v>
      </c>
      <c r="AF17" s="49" t="e">
        <f t="shared" si="2"/>
        <v>#DIV/0!</v>
      </c>
    </row>
    <row r="18" spans="1:32" x14ac:dyDescent="0.2">
      <c r="A18" t="s">
        <v>28</v>
      </c>
      <c r="B18" s="29" t="s">
        <v>45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29"/>
      <c r="M18" s="29"/>
      <c r="N18" s="34">
        <f t="shared" si="3"/>
        <v>7.7999999999999545</v>
      </c>
      <c r="O18" s="34">
        <f t="shared" si="3"/>
        <v>-9.9999999999997868E-2</v>
      </c>
      <c r="P18" s="35">
        <f t="shared" si="0"/>
        <v>29.257748339999836</v>
      </c>
      <c r="Q18" s="34">
        <f t="shared" si="4"/>
        <v>0.20000000000004547</v>
      </c>
      <c r="R18" s="34">
        <f t="shared" si="4"/>
        <v>-0.19999999999999929</v>
      </c>
      <c r="S18" s="35">
        <f t="shared" si="5"/>
        <v>0.39481406000017299</v>
      </c>
      <c r="T18" s="38">
        <v>3.2</v>
      </c>
      <c r="U18" s="29">
        <f t="shared" si="6"/>
        <v>92.753623188405797</v>
      </c>
      <c r="Y18" s="29"/>
      <c r="Z18" s="29"/>
      <c r="AA18" s="35">
        <f t="shared" si="7"/>
        <v>0.20000000000004547</v>
      </c>
      <c r="AB18" s="47">
        <f t="shared" si="8"/>
        <v>-3</v>
      </c>
      <c r="AC18" s="47">
        <f t="shared" si="9"/>
        <v>3.2</v>
      </c>
      <c r="AD18" s="47">
        <f t="shared" si="10"/>
        <v>0</v>
      </c>
      <c r="AE18" s="48" t="e">
        <f t="shared" si="1"/>
        <v>#DIV/0!</v>
      </c>
      <c r="AF18" s="49" t="e">
        <f t="shared" si="2"/>
        <v>#DIV/0!</v>
      </c>
    </row>
    <row r="19" spans="1:32" x14ac:dyDescent="0.2">
      <c r="A19" t="s">
        <v>28</v>
      </c>
      <c r="B19" s="31" t="s">
        <v>46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31"/>
      <c r="M19" s="31"/>
      <c r="N19" s="34">
        <f t="shared" si="3"/>
        <v>2.6999999999999318</v>
      </c>
      <c r="O19" s="34">
        <f t="shared" si="3"/>
        <v>-0.19999999999999929</v>
      </c>
      <c r="P19" s="35">
        <f t="shared" si="0"/>
        <v>9.8299898099997449</v>
      </c>
      <c r="Q19" s="34">
        <f t="shared" si="4"/>
        <v>-0.20000000000004547</v>
      </c>
      <c r="R19" s="34">
        <f t="shared" si="4"/>
        <v>-0.19999999999999929</v>
      </c>
      <c r="S19" s="35">
        <f t="shared" si="5"/>
        <v>0</v>
      </c>
      <c r="T19" s="39">
        <v>3.6</v>
      </c>
      <c r="U19" s="31">
        <f t="shared" si="6"/>
        <v>104.34782608695652</v>
      </c>
      <c r="Y19" s="31"/>
      <c r="Z19" s="31"/>
      <c r="AA19" s="35">
        <f t="shared" si="7"/>
        <v>-0.20000000000004547</v>
      </c>
      <c r="AB19" s="47">
        <f t="shared" si="8"/>
        <v>-4</v>
      </c>
      <c r="AC19" s="47">
        <f t="shared" si="9"/>
        <v>3.6</v>
      </c>
      <c r="AD19" s="47">
        <f t="shared" si="10"/>
        <v>0</v>
      </c>
      <c r="AE19" s="48" t="e">
        <f t="shared" si="1"/>
        <v>#DIV/0!</v>
      </c>
      <c r="AF19" s="49" t="e">
        <f t="shared" si="2"/>
        <v>#DIV/0!</v>
      </c>
    </row>
    <row r="20" spans="1:32" x14ac:dyDescent="0.2">
      <c r="A20" t="s">
        <v>28</v>
      </c>
      <c r="B20" s="29" t="s">
        <v>47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29"/>
      <c r="M20" s="29"/>
      <c r="N20" s="34">
        <f t="shared" si="3"/>
        <v>10.600000000000023</v>
      </c>
      <c r="O20" s="34">
        <f t="shared" si="3"/>
        <v>-9.9999999999997868E-2</v>
      </c>
      <c r="P20" s="35">
        <f t="shared" si="0"/>
        <v>39.825145180000092</v>
      </c>
      <c r="Q20" s="34">
        <f t="shared" si="4"/>
        <v>-0.10000000000002274</v>
      </c>
      <c r="R20" s="34">
        <f t="shared" si="4"/>
        <v>-0.19999999999999929</v>
      </c>
      <c r="S20" s="35">
        <f t="shared" si="5"/>
        <v>0</v>
      </c>
      <c r="T20" s="38">
        <v>3.5</v>
      </c>
      <c r="U20" s="29">
        <f t="shared" si="6"/>
        <v>101.44927536231883</v>
      </c>
      <c r="Y20" s="29"/>
      <c r="Z20" s="29"/>
      <c r="AA20" s="35">
        <f t="shared" si="7"/>
        <v>-0.10000000000002274</v>
      </c>
      <c r="AB20" s="47">
        <f t="shared" si="8"/>
        <v>-4</v>
      </c>
      <c r="AC20" s="47">
        <f t="shared" si="9"/>
        <v>3.5</v>
      </c>
      <c r="AD20" s="47">
        <f t="shared" si="10"/>
        <v>0</v>
      </c>
      <c r="AE20" s="48" t="e">
        <f t="shared" si="1"/>
        <v>#DIV/0!</v>
      </c>
      <c r="AF20" s="49" t="e">
        <f t="shared" si="2"/>
        <v>#DIV/0!</v>
      </c>
    </row>
    <row r="21" spans="1:32" x14ac:dyDescent="0.2">
      <c r="A21" t="s">
        <v>28</v>
      </c>
      <c r="B21" s="29" t="s">
        <v>48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29"/>
      <c r="M21" s="29"/>
      <c r="N21" s="34">
        <f t="shared" si="3"/>
        <v>11.5</v>
      </c>
      <c r="O21" s="34">
        <f t="shared" si="3"/>
        <v>-0.10000000000000142</v>
      </c>
      <c r="P21" s="35">
        <f t="shared" si="0"/>
        <v>43.221808450000005</v>
      </c>
      <c r="Q21" s="34">
        <f t="shared" si="4"/>
        <v>0.39999999999997726</v>
      </c>
      <c r="R21" s="34">
        <f t="shared" si="4"/>
        <v>-0.19999999999999929</v>
      </c>
      <c r="S21" s="35">
        <f t="shared" si="5"/>
        <v>1.1496281199999157</v>
      </c>
      <c r="T21" s="38">
        <v>3.6</v>
      </c>
      <c r="U21" s="29">
        <f t="shared" si="6"/>
        <v>104.34782608695652</v>
      </c>
      <c r="Y21" s="29"/>
      <c r="Z21" s="29"/>
      <c r="AA21" s="35">
        <f t="shared" si="7"/>
        <v>0.39999999999997726</v>
      </c>
      <c r="AB21" s="47">
        <f t="shared" si="8"/>
        <v>-4</v>
      </c>
      <c r="AC21" s="47">
        <f t="shared" si="9"/>
        <v>3.6</v>
      </c>
      <c r="AD21" s="47">
        <f t="shared" si="10"/>
        <v>0</v>
      </c>
      <c r="AE21" s="48" t="e">
        <f t="shared" si="1"/>
        <v>#DIV/0!</v>
      </c>
      <c r="AF21" s="49" t="e">
        <f t="shared" si="2"/>
        <v>#DIV/0!</v>
      </c>
    </row>
    <row r="22" spans="1:32" x14ac:dyDescent="0.2">
      <c r="A22" t="s">
        <v>28</v>
      </c>
      <c r="B22" s="31" t="s">
        <v>49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31"/>
      <c r="M22" s="31"/>
      <c r="N22" s="34">
        <f t="shared" si="3"/>
        <v>9.0999999999999091</v>
      </c>
      <c r="O22" s="34">
        <f t="shared" si="3"/>
        <v>-0.19999999999999929</v>
      </c>
      <c r="P22" s="35">
        <f t="shared" si="0"/>
        <v>33.984039729999658</v>
      </c>
      <c r="Q22" s="34">
        <f t="shared" si="4"/>
        <v>0.19999999999993179</v>
      </c>
      <c r="R22" s="34">
        <f t="shared" si="4"/>
        <v>-0.30000000000000071</v>
      </c>
      <c r="S22" s="35">
        <f t="shared" si="5"/>
        <v>0.21481405999974135</v>
      </c>
      <c r="T22" s="39">
        <v>3.1</v>
      </c>
      <c r="U22" s="31">
        <f t="shared" si="6"/>
        <v>89.85507246376811</v>
      </c>
      <c r="Y22" s="31"/>
      <c r="Z22" s="31"/>
      <c r="AA22" s="35">
        <f t="shared" si="7"/>
        <v>0.19999999999993179</v>
      </c>
      <c r="AB22" s="47">
        <f t="shared" si="8"/>
        <v>-3</v>
      </c>
      <c r="AC22" s="47">
        <f t="shared" si="9"/>
        <v>3.1</v>
      </c>
      <c r="AD22" s="47">
        <f t="shared" si="10"/>
        <v>0</v>
      </c>
      <c r="AE22" s="48" t="e">
        <f t="shared" si="1"/>
        <v>#DIV/0!</v>
      </c>
      <c r="AF22" s="49" t="e">
        <f t="shared" si="2"/>
        <v>#DIV/0!</v>
      </c>
    </row>
    <row r="23" spans="1:32" ht="15" thickBot="1" x14ac:dyDescent="0.25">
      <c r="A23" t="s">
        <v>28</v>
      </c>
      <c r="B23" s="30" t="s">
        <v>50</v>
      </c>
      <c r="C23">
        <v>594.70000000000005</v>
      </c>
      <c r="D23">
        <v>23.3</v>
      </c>
      <c r="E23">
        <v>605.5</v>
      </c>
      <c r="F23">
        <v>23.2</v>
      </c>
      <c r="G23">
        <v>594.29999999999995</v>
      </c>
      <c r="H23">
        <v>23.1</v>
      </c>
      <c r="L23" s="30"/>
      <c r="M23" s="30"/>
      <c r="N23" s="40">
        <f t="shared" si="3"/>
        <v>10.799999999999955</v>
      </c>
      <c r="O23" s="40">
        <f t="shared" si="3"/>
        <v>-0.10000000000000142</v>
      </c>
      <c r="P23" s="41">
        <f t="shared" si="0"/>
        <v>40.57995923999983</v>
      </c>
      <c r="Q23" s="40">
        <f t="shared" si="4"/>
        <v>-0.40000000000009095</v>
      </c>
      <c r="R23" s="40">
        <f t="shared" si="4"/>
        <v>-0.19999999999999929</v>
      </c>
      <c r="S23" s="35">
        <f t="shared" si="5"/>
        <v>0</v>
      </c>
      <c r="T23" s="42">
        <v>2.9</v>
      </c>
      <c r="U23" s="30">
        <f t="shared" si="6"/>
        <v>84.05797101449275</v>
      </c>
      <c r="Y23" s="30"/>
      <c r="Z23" s="30"/>
      <c r="AA23" s="50">
        <f t="shared" si="7"/>
        <v>-0.40000000000009095</v>
      </c>
      <c r="AB23" s="51">
        <f t="shared" si="8"/>
        <v>-3</v>
      </c>
      <c r="AC23" s="51">
        <f t="shared" si="9"/>
        <v>2.9</v>
      </c>
      <c r="AD23" s="51">
        <f t="shared" si="10"/>
        <v>0</v>
      </c>
      <c r="AE23" s="52" t="e">
        <f t="shared" si="1"/>
        <v>#DIV/0!</v>
      </c>
      <c r="AF23" s="53" t="e">
        <f t="shared" si="2"/>
        <v>#DIV/0!</v>
      </c>
    </row>
    <row r="24" spans="1:32" x14ac:dyDescent="0.2">
      <c r="A24" t="s">
        <v>30</v>
      </c>
      <c r="B24" s="32" t="s">
        <v>37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32"/>
      <c r="M24" s="32"/>
      <c r="N24" s="43">
        <f t="shared" si="3"/>
        <v>12.100000000000023</v>
      </c>
      <c r="O24" s="43">
        <f t="shared" si="3"/>
        <v>-0.5</v>
      </c>
      <c r="P24" s="44">
        <f t="shared" si="0"/>
        <v>44.766250630000094</v>
      </c>
      <c r="Q24" s="43">
        <f t="shared" si="4"/>
        <v>1</v>
      </c>
      <c r="R24" s="43">
        <f t="shared" si="4"/>
        <v>-0.40000000000000213</v>
      </c>
      <c r="S24" s="45">
        <f>IF(3.7*1.020019*(Q24)+1.8*(R24)&gt;=0,3.7*1.020019*(Q24)+1.8*(R24),0)</f>
        <v>3.0540702999999967</v>
      </c>
      <c r="T24" s="46">
        <v>2.9</v>
      </c>
      <c r="U24" s="32">
        <f t="shared" si="6"/>
        <v>84.05797101449275</v>
      </c>
      <c r="Y24" s="32"/>
      <c r="Z24" s="32"/>
      <c r="AA24" s="54">
        <f t="shared" si="7"/>
        <v>1</v>
      </c>
      <c r="AB24" s="55">
        <f t="shared" si="8"/>
        <v>-2</v>
      </c>
      <c r="AC24" s="55">
        <f t="shared" si="9"/>
        <v>2.9</v>
      </c>
      <c r="AD24" s="55">
        <f t="shared" si="10"/>
        <v>0</v>
      </c>
      <c r="AE24" s="56" t="e">
        <f t="shared" si="1"/>
        <v>#DIV/0!</v>
      </c>
      <c r="AF24" s="57">
        <f t="shared" si="2"/>
        <v>3</v>
      </c>
    </row>
    <row r="25" spans="1:32" x14ac:dyDescent="0.2">
      <c r="A25" t="s">
        <v>30</v>
      </c>
      <c r="B25" s="29" t="s">
        <v>38</v>
      </c>
      <c r="C25">
        <v>651.9</v>
      </c>
      <c r="D25">
        <v>23.4</v>
      </c>
      <c r="E25">
        <v>661.7</v>
      </c>
      <c r="F25">
        <v>23</v>
      </c>
      <c r="G25">
        <v>652.29999999999995</v>
      </c>
      <c r="H25">
        <v>23.1</v>
      </c>
      <c r="L25" s="29"/>
      <c r="M25" s="29"/>
      <c r="N25" s="34">
        <f t="shared" si="3"/>
        <v>9.8000000000000682</v>
      </c>
      <c r="O25" s="34">
        <f t="shared" si="3"/>
        <v>-0.39999999999999858</v>
      </c>
      <c r="P25" s="35">
        <f t="shared" si="0"/>
        <v>36.265888940000259</v>
      </c>
      <c r="Q25" s="34">
        <f t="shared" si="4"/>
        <v>0.39999999999997726</v>
      </c>
      <c r="R25" s="34">
        <f t="shared" si="4"/>
        <v>-0.29999999999999716</v>
      </c>
      <c r="S25" s="35">
        <f>IF(3.7*1.020019*(Q25)+1.8*(R25)&gt;=0,3.7*1.020019*(Q25)+1.8*(R25),0)</f>
        <v>0.96962811999991949</v>
      </c>
      <c r="T25" s="39">
        <v>3</v>
      </c>
      <c r="U25" s="31">
        <f t="shared" si="6"/>
        <v>86.956521739130437</v>
      </c>
      <c r="Y25" s="29"/>
      <c r="Z25" s="29"/>
      <c r="AA25" s="35">
        <f t="shared" si="7"/>
        <v>0.39999999999997726</v>
      </c>
      <c r="AB25" s="47">
        <f t="shared" si="8"/>
        <v>-3</v>
      </c>
      <c r="AC25" s="47">
        <f t="shared" si="9"/>
        <v>3</v>
      </c>
      <c r="AD25" s="47">
        <f t="shared" si="10"/>
        <v>0</v>
      </c>
      <c r="AE25" s="48" t="e">
        <f t="shared" si="1"/>
        <v>#DIV/0!</v>
      </c>
      <c r="AF25" s="49" t="e">
        <f t="shared" si="2"/>
        <v>#DIV/0!</v>
      </c>
    </row>
    <row r="26" spans="1:32" x14ac:dyDescent="0.2">
      <c r="A26" t="s">
        <v>27</v>
      </c>
      <c r="B26" s="30" t="s">
        <v>39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30"/>
      <c r="M26" s="30"/>
      <c r="N26" s="34">
        <f t="shared" si="3"/>
        <v>12.600000000000023</v>
      </c>
      <c r="O26" s="34">
        <f t="shared" si="3"/>
        <v>-0.40000000000000213</v>
      </c>
      <c r="P26" s="35">
        <f t="shared" si="0"/>
        <v>46.833285780000082</v>
      </c>
      <c r="Q26" s="34">
        <f t="shared" si="4"/>
        <v>0.70000000000004547</v>
      </c>
      <c r="R26" s="34">
        <f t="shared" si="4"/>
        <v>-0.10000000000000142</v>
      </c>
      <c r="S26" s="35">
        <f t="shared" ref="S26:S37" si="11">IF(3.7*1.020019*(Q26)+1.8*(R26)&gt;=0,3.7*1.020019*(Q26)+1.8*(R26),0)</f>
        <v>2.4618492100001697</v>
      </c>
      <c r="T26" s="38">
        <v>3.6</v>
      </c>
      <c r="U26" s="29">
        <f t="shared" si="6"/>
        <v>104.34782608695652</v>
      </c>
      <c r="Y26" s="30"/>
      <c r="Z26" s="30"/>
      <c r="AA26" s="35">
        <f t="shared" si="7"/>
        <v>0.70000000000004547</v>
      </c>
      <c r="AB26" s="47">
        <f t="shared" si="8"/>
        <v>-3</v>
      </c>
      <c r="AC26" s="47">
        <f t="shared" si="9"/>
        <v>3.6</v>
      </c>
      <c r="AD26" s="47">
        <f t="shared" si="10"/>
        <v>0</v>
      </c>
      <c r="AE26" s="48" t="e">
        <f t="shared" si="1"/>
        <v>#DIV/0!</v>
      </c>
      <c r="AF26" s="49">
        <f t="shared" si="2"/>
        <v>4</v>
      </c>
    </row>
    <row r="27" spans="1:32" x14ac:dyDescent="0.2">
      <c r="A27" t="s">
        <v>27</v>
      </c>
      <c r="B27" s="29" t="s">
        <v>40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29"/>
      <c r="M27" s="29"/>
      <c r="N27" s="34">
        <f t="shared" ref="N27:O37" si="12">E27-C27</f>
        <v>7</v>
      </c>
      <c r="O27" s="34">
        <f t="shared" si="12"/>
        <v>-0.40000000000000213</v>
      </c>
      <c r="P27" s="35">
        <f t="shared" si="0"/>
        <v>25.698492099999999</v>
      </c>
      <c r="Q27" s="34">
        <f t="shared" ref="Q27:R37" si="13">G27-C27</f>
        <v>-3.8999999999999773</v>
      </c>
      <c r="R27" s="34">
        <f t="shared" si="13"/>
        <v>-0.30000000000000071</v>
      </c>
      <c r="S27" s="35">
        <f t="shared" si="11"/>
        <v>0</v>
      </c>
      <c r="T27" s="38">
        <v>3.4</v>
      </c>
      <c r="U27" s="29">
        <f t="shared" si="6"/>
        <v>98.550724637681157</v>
      </c>
      <c r="Y27" s="29"/>
      <c r="Z27" s="29"/>
      <c r="AA27" s="35">
        <f t="shared" si="7"/>
        <v>-3.8999999999999773</v>
      </c>
      <c r="AB27" s="47">
        <f t="shared" si="8"/>
        <v>-7</v>
      </c>
      <c r="AC27" s="47">
        <f t="shared" si="9"/>
        <v>3.4</v>
      </c>
      <c r="AD27" s="47">
        <f t="shared" si="10"/>
        <v>0</v>
      </c>
      <c r="AE27" s="48" t="e">
        <f t="shared" si="1"/>
        <v>#DIV/0!</v>
      </c>
      <c r="AF27" s="49">
        <f t="shared" si="2"/>
        <v>-0.75</v>
      </c>
    </row>
    <row r="28" spans="1:32" x14ac:dyDescent="0.2">
      <c r="A28" t="s">
        <v>27</v>
      </c>
      <c r="B28" s="29" t="s">
        <v>41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29"/>
      <c r="M28" s="29"/>
      <c r="N28" s="34">
        <f t="shared" si="12"/>
        <v>10.699999999999932</v>
      </c>
      <c r="O28" s="34">
        <f t="shared" si="12"/>
        <v>-0.40000000000000213</v>
      </c>
      <c r="P28" s="35">
        <f t="shared" si="0"/>
        <v>39.662552209999738</v>
      </c>
      <c r="Q28" s="34">
        <f t="shared" si="13"/>
        <v>-2.2000000000000455</v>
      </c>
      <c r="R28" s="34">
        <f t="shared" si="13"/>
        <v>-0.30000000000000071</v>
      </c>
      <c r="S28" s="35">
        <f t="shared" si="11"/>
        <v>0</v>
      </c>
      <c r="T28" s="39">
        <v>3.6</v>
      </c>
      <c r="U28" s="31">
        <f t="shared" si="6"/>
        <v>104.34782608695652</v>
      </c>
      <c r="Y28" s="29"/>
      <c r="Z28" s="29"/>
      <c r="AA28" s="35">
        <f t="shared" si="7"/>
        <v>-2.2000000000000455</v>
      </c>
      <c r="AB28" s="47">
        <f t="shared" si="8"/>
        <v>-6</v>
      </c>
      <c r="AC28" s="47">
        <f t="shared" si="9"/>
        <v>3.6</v>
      </c>
      <c r="AD28" s="47">
        <f t="shared" si="10"/>
        <v>0</v>
      </c>
      <c r="AE28" s="48" t="e">
        <f t="shared" si="1"/>
        <v>#DIV/0!</v>
      </c>
      <c r="AF28" s="49">
        <f t="shared" si="2"/>
        <v>-2</v>
      </c>
    </row>
    <row r="29" spans="1:32" x14ac:dyDescent="0.2">
      <c r="A29" t="s">
        <v>27</v>
      </c>
      <c r="B29" s="30" t="s">
        <v>42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30"/>
      <c r="M29" s="30"/>
      <c r="N29" s="34">
        <f t="shared" si="12"/>
        <v>9.6000000000000227</v>
      </c>
      <c r="O29" s="34">
        <f t="shared" si="12"/>
        <v>-0.40000000000000213</v>
      </c>
      <c r="P29" s="35">
        <f t="shared" si="0"/>
        <v>35.511074880000081</v>
      </c>
      <c r="Q29" s="34">
        <f t="shared" si="13"/>
        <v>0.5</v>
      </c>
      <c r="R29" s="34">
        <f t="shared" si="13"/>
        <v>-0.30000000000000071</v>
      </c>
      <c r="S29" s="35">
        <f t="shared" si="11"/>
        <v>1.3470351499999991</v>
      </c>
      <c r="T29" s="38">
        <v>3.2</v>
      </c>
      <c r="U29" s="29">
        <f t="shared" si="6"/>
        <v>92.753623188405797</v>
      </c>
      <c r="Y29" s="30"/>
      <c r="Z29" s="30"/>
      <c r="AA29" s="35">
        <f t="shared" si="7"/>
        <v>0.5</v>
      </c>
      <c r="AB29" s="47">
        <f t="shared" si="8"/>
        <v>-2</v>
      </c>
      <c r="AC29" s="47">
        <f t="shared" si="9"/>
        <v>3.2</v>
      </c>
      <c r="AD29" s="47">
        <f t="shared" si="10"/>
        <v>0</v>
      </c>
      <c r="AE29" s="48" t="e">
        <f t="shared" si="1"/>
        <v>#DIV/0!</v>
      </c>
      <c r="AF29" s="49">
        <f t="shared" si="2"/>
        <v>3</v>
      </c>
    </row>
    <row r="30" spans="1:32" x14ac:dyDescent="0.2">
      <c r="A30" t="s">
        <v>27</v>
      </c>
      <c r="B30" s="29" t="s">
        <v>43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29"/>
      <c r="M30" s="29"/>
      <c r="N30" s="34">
        <f t="shared" si="12"/>
        <v>2.8999999999999773</v>
      </c>
      <c r="O30" s="34">
        <f t="shared" si="12"/>
        <v>-0.40000000000000213</v>
      </c>
      <c r="P30" s="35">
        <f t="shared" si="0"/>
        <v>10.224803869999912</v>
      </c>
      <c r="Q30" s="34">
        <f t="shared" si="13"/>
        <v>-0.39999999999997726</v>
      </c>
      <c r="R30" s="34">
        <f t="shared" si="13"/>
        <v>-0.30000000000000071</v>
      </c>
      <c r="S30" s="35">
        <f t="shared" si="11"/>
        <v>0</v>
      </c>
      <c r="T30" s="38">
        <v>3</v>
      </c>
      <c r="U30" s="29">
        <f t="shared" si="6"/>
        <v>86.956521739130437</v>
      </c>
      <c r="Y30" s="29"/>
      <c r="Z30" s="29"/>
      <c r="AA30" s="35">
        <f t="shared" si="7"/>
        <v>-0.39999999999997726</v>
      </c>
      <c r="AB30" s="47">
        <f t="shared" si="8"/>
        <v>-3</v>
      </c>
      <c r="AC30" s="47">
        <f t="shared" si="9"/>
        <v>3</v>
      </c>
      <c r="AD30" s="47">
        <f t="shared" si="10"/>
        <v>0</v>
      </c>
      <c r="AE30" s="48" t="e">
        <f t="shared" si="1"/>
        <v>#DIV/0!</v>
      </c>
      <c r="AF30" s="49" t="e">
        <f t="shared" si="2"/>
        <v>#DIV/0!</v>
      </c>
    </row>
    <row r="31" spans="1:32" x14ac:dyDescent="0.2">
      <c r="A31" t="s">
        <v>27</v>
      </c>
      <c r="B31" s="29" t="s">
        <v>44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29"/>
      <c r="M31" s="29"/>
      <c r="N31" s="34">
        <f t="shared" si="12"/>
        <v>5.1000000000000227</v>
      </c>
      <c r="O31" s="34">
        <f t="shared" si="12"/>
        <v>-0.30000000000000071</v>
      </c>
      <c r="P31" s="35">
        <f t="shared" si="0"/>
        <v>18.707758530000085</v>
      </c>
      <c r="Q31" s="34">
        <f t="shared" si="13"/>
        <v>0.10000000000002274</v>
      </c>
      <c r="R31" s="34">
        <f t="shared" si="13"/>
        <v>-0.19999999999999929</v>
      </c>
      <c r="S31" s="35">
        <f t="shared" si="11"/>
        <v>1.7407030000087143E-2</v>
      </c>
      <c r="T31" s="39">
        <v>2</v>
      </c>
      <c r="U31" s="31">
        <f t="shared" si="6"/>
        <v>57.971014492753618</v>
      </c>
      <c r="Y31" s="29"/>
      <c r="Z31" s="29"/>
      <c r="AA31" s="35">
        <f t="shared" si="7"/>
        <v>0.10000000000002274</v>
      </c>
      <c r="AB31" s="47">
        <f t="shared" si="8"/>
        <v>-2</v>
      </c>
      <c r="AC31" s="47">
        <f t="shared" si="9"/>
        <v>2</v>
      </c>
      <c r="AD31" s="47">
        <f t="shared" si="10"/>
        <v>0</v>
      </c>
      <c r="AE31" s="48" t="e">
        <f t="shared" si="1"/>
        <v>#DIV/0!</v>
      </c>
      <c r="AF31" s="49" t="e">
        <f t="shared" si="2"/>
        <v>#DIV/0!</v>
      </c>
    </row>
    <row r="32" spans="1:32" x14ac:dyDescent="0.2">
      <c r="A32" t="s">
        <v>27</v>
      </c>
      <c r="B32" s="29" t="s">
        <v>45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29"/>
      <c r="M32" s="29"/>
      <c r="N32" s="34">
        <f t="shared" si="12"/>
        <v>4.8999999999999773</v>
      </c>
      <c r="O32" s="34">
        <f t="shared" si="12"/>
        <v>-0.30000000000000071</v>
      </c>
      <c r="P32" s="35">
        <f t="shared" si="0"/>
        <v>17.952944469999913</v>
      </c>
      <c r="Q32" s="34">
        <f t="shared" si="13"/>
        <v>0.20000000000004547</v>
      </c>
      <c r="R32" s="34">
        <f t="shared" si="13"/>
        <v>-0.19999999999999929</v>
      </c>
      <c r="S32" s="35">
        <f t="shared" si="11"/>
        <v>0.39481406000017299</v>
      </c>
      <c r="T32" s="38">
        <v>1.4</v>
      </c>
      <c r="U32" s="29">
        <f t="shared" si="6"/>
        <v>40.579710144927532</v>
      </c>
      <c r="Y32" s="29"/>
      <c r="Z32" s="29"/>
      <c r="AA32" s="35">
        <f t="shared" si="7"/>
        <v>0.20000000000004547</v>
      </c>
      <c r="AB32" s="47">
        <f t="shared" si="8"/>
        <v>-1</v>
      </c>
      <c r="AC32" s="47">
        <f t="shared" si="9"/>
        <v>1.4</v>
      </c>
      <c r="AD32" s="47">
        <f t="shared" si="10"/>
        <v>0</v>
      </c>
      <c r="AE32" s="48" t="e">
        <f t="shared" si="1"/>
        <v>#DIV/0!</v>
      </c>
      <c r="AF32" s="49" t="e">
        <f t="shared" si="2"/>
        <v>#DIV/0!</v>
      </c>
    </row>
    <row r="33" spans="1:32" x14ac:dyDescent="0.2">
      <c r="A33" t="s">
        <v>27</v>
      </c>
      <c r="B33" s="31" t="s">
        <v>46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31"/>
      <c r="M33" s="31"/>
      <c r="N33" s="34">
        <f t="shared" si="12"/>
        <v>0.79999999999995453</v>
      </c>
      <c r="O33" s="34">
        <f t="shared" si="12"/>
        <v>-0.40000000000000213</v>
      </c>
      <c r="P33" s="35">
        <f t="shared" si="0"/>
        <v>2.2992562399998251</v>
      </c>
      <c r="Q33" s="34">
        <f t="shared" si="13"/>
        <v>-0.30000000000006821</v>
      </c>
      <c r="R33" s="34">
        <f t="shared" si="13"/>
        <v>-0.30000000000000071</v>
      </c>
      <c r="S33" s="35">
        <f t="shared" si="11"/>
        <v>0</v>
      </c>
      <c r="T33" s="38">
        <v>1.1000000000000001</v>
      </c>
      <c r="U33" s="29">
        <f t="shared" si="6"/>
        <v>31.884057971014496</v>
      </c>
      <c r="Y33" s="31"/>
      <c r="Z33" s="31"/>
      <c r="AA33" s="35">
        <f t="shared" si="7"/>
        <v>-0.30000000000006821</v>
      </c>
      <c r="AB33" s="47">
        <f t="shared" si="8"/>
        <v>-1</v>
      </c>
      <c r="AC33" s="47">
        <f t="shared" si="9"/>
        <v>1.1000000000000001</v>
      </c>
      <c r="AD33" s="47">
        <f t="shared" si="10"/>
        <v>0</v>
      </c>
      <c r="AE33" s="48" t="e">
        <f t="shared" si="1"/>
        <v>#DIV/0!</v>
      </c>
      <c r="AF33" s="49" t="e">
        <f t="shared" si="2"/>
        <v>#DIV/0!</v>
      </c>
    </row>
    <row r="34" spans="1:32" x14ac:dyDescent="0.2">
      <c r="A34" t="s">
        <v>27</v>
      </c>
      <c r="B34" s="29" t="s">
        <v>47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29"/>
      <c r="M34" s="29"/>
      <c r="N34" s="34">
        <f t="shared" si="12"/>
        <v>2.3000000000000682</v>
      </c>
      <c r="O34" s="34">
        <f t="shared" si="12"/>
        <v>-0.30000000000000071</v>
      </c>
      <c r="P34" s="35">
        <f t="shared" si="0"/>
        <v>8.1403616900002582</v>
      </c>
      <c r="Q34" s="34">
        <f t="shared" si="13"/>
        <v>-0.19999999999993179</v>
      </c>
      <c r="R34" s="34">
        <f t="shared" si="13"/>
        <v>-0.19999999999999929</v>
      </c>
      <c r="S34" s="35">
        <f t="shared" si="11"/>
        <v>0</v>
      </c>
      <c r="T34" s="39">
        <v>0.8</v>
      </c>
      <c r="U34" s="31">
        <f t="shared" si="6"/>
        <v>23.188405797101449</v>
      </c>
      <c r="Y34" s="29"/>
      <c r="Z34" s="29"/>
      <c r="AA34" s="35">
        <f t="shared" si="7"/>
        <v>-0.19999999999993179</v>
      </c>
      <c r="AB34" s="47">
        <f t="shared" si="8"/>
        <v>-1</v>
      </c>
      <c r="AC34" s="47">
        <f t="shared" si="9"/>
        <v>0.8</v>
      </c>
      <c r="AD34" s="47">
        <f t="shared" si="10"/>
        <v>0</v>
      </c>
      <c r="AE34" s="48" t="e">
        <f t="shared" si="1"/>
        <v>#DIV/0!</v>
      </c>
      <c r="AF34" s="49" t="e">
        <f t="shared" si="2"/>
        <v>#DIV/0!</v>
      </c>
    </row>
    <row r="35" spans="1:32" x14ac:dyDescent="0.2">
      <c r="A35" t="s">
        <v>27</v>
      </c>
      <c r="B35" s="29" t="s">
        <v>48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29"/>
      <c r="M35" s="29"/>
      <c r="N35" s="34">
        <f t="shared" si="12"/>
        <v>2.8999999999999773</v>
      </c>
      <c r="O35" s="34">
        <f t="shared" si="12"/>
        <v>-0.30000000000000071</v>
      </c>
      <c r="P35" s="35">
        <f t="shared" si="0"/>
        <v>10.404803869999915</v>
      </c>
      <c r="Q35" s="34">
        <f t="shared" si="13"/>
        <v>0.39999999999997726</v>
      </c>
      <c r="R35" s="34">
        <f t="shared" si="13"/>
        <v>-0.19999999999999929</v>
      </c>
      <c r="S35" s="35">
        <f t="shared" si="11"/>
        <v>1.1496281199999157</v>
      </c>
      <c r="T35" s="38">
        <v>0.6</v>
      </c>
      <c r="U35" s="29">
        <f t="shared" si="6"/>
        <v>17.391304347826086</v>
      </c>
      <c r="Y35" s="29"/>
      <c r="Z35" s="29"/>
      <c r="AA35" s="35">
        <f t="shared" si="7"/>
        <v>0.39999999999997726</v>
      </c>
      <c r="AB35" s="47">
        <f t="shared" si="8"/>
        <v>-1</v>
      </c>
      <c r="AC35" s="47">
        <f t="shared" si="9"/>
        <v>0.6</v>
      </c>
      <c r="AD35" s="47">
        <f t="shared" si="10"/>
        <v>0</v>
      </c>
      <c r="AE35" s="48" t="e">
        <f t="shared" si="1"/>
        <v>#DIV/0!</v>
      </c>
      <c r="AF35" s="49" t="e">
        <f t="shared" si="2"/>
        <v>#DIV/0!</v>
      </c>
    </row>
    <row r="36" spans="1:32" x14ac:dyDescent="0.2">
      <c r="A36" t="s">
        <v>27</v>
      </c>
      <c r="B36" s="31" t="s">
        <v>49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31"/>
      <c r="M36" s="31"/>
      <c r="N36" s="34">
        <f t="shared" si="12"/>
        <v>2</v>
      </c>
      <c r="O36" s="34">
        <f t="shared" si="12"/>
        <v>-0.30000000000000071</v>
      </c>
      <c r="P36" s="35">
        <f t="shared" si="0"/>
        <v>7.0081405999999999</v>
      </c>
      <c r="Q36" s="34">
        <f t="shared" si="13"/>
        <v>9.9999999999909051E-2</v>
      </c>
      <c r="R36" s="34">
        <f t="shared" si="13"/>
        <v>-0.30000000000000071</v>
      </c>
      <c r="S36" s="35">
        <f t="shared" si="11"/>
        <v>0</v>
      </c>
      <c r="T36" s="38">
        <v>0.4</v>
      </c>
      <c r="U36" s="29">
        <f t="shared" si="6"/>
        <v>11.594202898550725</v>
      </c>
      <c r="Y36" s="31"/>
      <c r="Z36" s="31"/>
      <c r="AA36" s="35">
        <f t="shared" si="7"/>
        <v>9.9999999999909051E-2</v>
      </c>
      <c r="AB36" s="47">
        <f t="shared" si="8"/>
        <v>0</v>
      </c>
      <c r="AC36" s="47">
        <f t="shared" si="9"/>
        <v>0.4</v>
      </c>
      <c r="AD36" s="47">
        <f t="shared" si="10"/>
        <v>0</v>
      </c>
      <c r="AE36" s="48" t="e">
        <f t="shared" si="1"/>
        <v>#DIV/0!</v>
      </c>
      <c r="AF36" s="49" t="e">
        <f t="shared" si="2"/>
        <v>#DIV/0!</v>
      </c>
    </row>
    <row r="37" spans="1:32" x14ac:dyDescent="0.2">
      <c r="A37" t="s">
        <v>27</v>
      </c>
      <c r="B37" s="29" t="s">
        <v>50</v>
      </c>
      <c r="C37">
        <v>594.70000000000005</v>
      </c>
      <c r="D37">
        <v>23.3</v>
      </c>
      <c r="E37">
        <v>596.29999999999995</v>
      </c>
      <c r="F37">
        <v>23.1</v>
      </c>
      <c r="G37">
        <v>594.29999999999995</v>
      </c>
      <c r="H37">
        <v>23</v>
      </c>
      <c r="L37" s="30"/>
      <c r="M37" s="30"/>
      <c r="N37" s="34">
        <f t="shared" si="12"/>
        <v>1.5999999999999091</v>
      </c>
      <c r="O37" s="34">
        <f t="shared" si="12"/>
        <v>-0.19999999999999929</v>
      </c>
      <c r="P37" s="35">
        <f t="shared" si="0"/>
        <v>5.6785124799996591</v>
      </c>
      <c r="Q37" s="34">
        <f t="shared" si="13"/>
        <v>-0.40000000000009095</v>
      </c>
      <c r="R37" s="34">
        <f t="shared" si="13"/>
        <v>-0.30000000000000071</v>
      </c>
      <c r="S37" s="35">
        <f t="shared" si="11"/>
        <v>0</v>
      </c>
      <c r="T37" s="39">
        <v>0.3</v>
      </c>
      <c r="U37" s="31">
        <f t="shared" si="6"/>
        <v>8.695652173913043</v>
      </c>
      <c r="Y37" s="30"/>
      <c r="Z37" s="30"/>
      <c r="AA37" s="35">
        <f t="shared" si="7"/>
        <v>-0.40000000000009095</v>
      </c>
      <c r="AB37" s="47">
        <f t="shared" si="8"/>
        <v>0</v>
      </c>
      <c r="AC37" s="47">
        <f t="shared" si="9"/>
        <v>0.3</v>
      </c>
      <c r="AD37" s="47">
        <f t="shared" si="10"/>
        <v>0</v>
      </c>
      <c r="AE37" s="48" t="e">
        <f t="shared" si="1"/>
        <v>#DIV/0!</v>
      </c>
      <c r="AF37" s="49" t="e">
        <f t="shared" si="2"/>
        <v>#DIV/0!</v>
      </c>
    </row>
  </sheetData>
  <mergeCells count="19">
    <mergeCell ref="A6:H7"/>
    <mergeCell ref="A8:A9"/>
    <mergeCell ref="B8:B9"/>
    <mergeCell ref="C8:D8"/>
    <mergeCell ref="E8:F8"/>
    <mergeCell ref="G8:H8"/>
    <mergeCell ref="L6:U7"/>
    <mergeCell ref="L8:L9"/>
    <mergeCell ref="M8:M9"/>
    <mergeCell ref="N8:P8"/>
    <mergeCell ref="Q8:S8"/>
    <mergeCell ref="T8:U8"/>
    <mergeCell ref="Y6:AF7"/>
    <mergeCell ref="Y8:Y9"/>
    <mergeCell ref="Z8:Z9"/>
    <mergeCell ref="AA8:AC8"/>
    <mergeCell ref="AD8:AD9"/>
    <mergeCell ref="AE8:AE9"/>
    <mergeCell ref="AF8:AF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utoStrain_Click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挠度</vt:lpstr>
      <vt:lpstr>应变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2018-12-10T13:16:36Z</dcterms:modified>
</cp:coreProperties>
</file>